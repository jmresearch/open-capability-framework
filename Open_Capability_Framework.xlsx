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Proficiency Scale" sheetId="2" state="visible" r:id="rId4"/>
    <sheet name="Scope &amp; Levels" sheetId="3" state="visible" r:id="rId5"/>
    <sheet name="Capability Library" sheetId="4" state="visible" r:id="rId6"/>
    <sheet name="Org Capability Map" sheetId="5" state="visible" r:id="rId7"/>
    <sheet name="Role Builder (Audit)" sheetId="6" state="visible" r:id="rId8"/>
    <sheet name="Methodology &amp; Sources" sheetId="7" state="visible" r:id="rId9"/>
  </sheets>
  <definedNames>
    <definedName function="false" hidden="true" localSheetId="3" name="_xlnm._FilterDatabase" vbProcedure="false">'Capability Library'!$A$4:$M$433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<sst xmlns="http://schemas.openxmlformats.org/spreadsheetml/2006/main" count="6030" uniqueCount="4332">
  <si>
    <t xml:space="preserve">Open Capability Framework  ·  v0.7</t>
  </si>
  <si>
    <t xml:space="preserve">A technology-agnostic capability library (an open alternative to SFIA) for career ladders AND whole-organization capability planning. 429 capabilities across 36 domains in 3 segments (Engineering &amp; Technology, Product/Cross-functional, Business &amp; Corporate), distilled from roadmap.sh, APQC PCF + industry ladders.</t>
  </si>
  <si>
    <t xml:space="preserve">The model in one line</t>
  </si>
  <si>
    <t xml:space="preserve">Org -&gt; Domains -&gt; Capabilities is the spine. A capability describes WHAT competence is needed, never the tool. Roles are served by capabilities; capabilities are served by technologies — both are additive layers we attach later.</t>
  </si>
  <si>
    <t xml:space="preserve">Two axes (kept separate on purpose)</t>
  </si>
  <si>
    <t xml:space="preserve">Expertise — Proficiency P1-P6</t>
  </si>
  <si>
    <t xml:space="preserve">HOW WELL a person performs a capability. Intrinsic to the capability; reusable across every role. P1 Assisted -&gt; P6 Pioneer. The audit unit. Industry-defining mastery (e.g. Linus Torvalds) lives at P6 here, on the expertise axis.</t>
  </si>
  <si>
    <t xml:space="preserve">Scope — S1-S6</t>
  </si>
  <si>
    <t xml:space="preserve">HOW BROAD the role's remit is: task -&gt; component -&gt; domain -&gt; multi-team -&gt; org -&gt; company. A property of the role, not the capability. Kept at 6 for simplicity; 'industry' impact is expressed via P6 expertise, not a 7th scope band.</t>
  </si>
  <si>
    <t xml:space="preserve">Technology-agnostic — by design</t>
  </si>
  <si>
    <t xml:space="preserve">Capabilities are 'Relational data modeling', not 'PostgreSQL'; 'Container orchestration', not 'Kubernetes'. Technologies are assessed SEPARATELY as things that satisfy a capability. This mirrors how ESCO and Lightcast keep competencies separate from tools, and means tech churn never rewrites the ladder.</t>
  </si>
  <si>
    <t xml:space="preserve">What each sheet is for</t>
  </si>
  <si>
    <t xml:space="preserve">Proficiency Scale</t>
  </si>
  <si>
    <t xml:space="preserve">The universal P1-P6 rubric. Read first — it levels every capability.</t>
  </si>
  <si>
    <t xml:space="preserve">Scope &amp; Levels</t>
  </si>
  <si>
    <t xml:space="preserve">The S1-S6 role-scope axis, mapped to titles and Google / Meta / levels.fyi / SFIA.</t>
  </si>
  <si>
    <t xml:space="preserve">Capability Library</t>
  </si>
  <si>
    <t xml:space="preserve">The single master catalog (whole-enterprise). Segment &gt; Domain &gt; Focus Area &gt; Capability, typed Behavioral/Technical, each with a P1-P6 behavioral profile in-line. Filter by Segment/Domain; compose ladders and org maps from these IDs.</t>
  </si>
  <si>
    <t xml:space="preserve">Org Capability Map</t>
  </si>
  <si>
    <t xml:space="preserve">Proactive org design: split an org into domains, set the capabilities each must hold + target level, and mark each Covered or an explicit Accepted gap. Coverage % computes automatically.</t>
  </si>
  <si>
    <t xml:space="preserve">Role Builder (Audit)</t>
  </si>
  <si>
    <t xml:space="preserve">SOC 2-style: a role = required capabilities @ minimum proficiency + a scope band. Assess a person -&gt; PASS/GAP.</t>
  </si>
  <si>
    <t xml:space="preserve">Methodology &amp; Sources</t>
  </si>
  <si>
    <t xml:space="preserve">Research basis and full source list.</t>
  </si>
  <si>
    <t xml:space="preserve">Roadmap (not built yet)</t>
  </si>
  <si>
    <t xml:space="preserve">(1) Technology registry mapped to capabilities. (2) Role objects as first-class records. (3) Pay-band modeling — roles are already numeric capability/scope vectors, ready to regress onto open compensation data.</t>
  </si>
  <si>
    <t xml:space="preserve">Proficiency Scale (P1-P6) — the universal capability rubric</t>
  </si>
  <si>
    <t xml:space="preserve">One intrinsic scale applied to EVERY capability. Dreyfus-derived, extended to six used levels. Describes how well someone performs the capability itself, independent of role scope.</t>
  </si>
  <si>
    <t xml:space="preserve">Level</t>
  </si>
  <si>
    <t xml:space="preserve">Name</t>
  </si>
  <si>
    <t xml:space="preserve">Skill-acquisition analog</t>
  </si>
  <si>
    <t xml:space="preserve">Autonomy &amp; guidance</t>
  </si>
  <si>
    <t xml:space="preserve">Complexity handled</t>
  </si>
  <si>
    <t xml:space="preserve">Quality / reliability bar</t>
  </si>
  <si>
    <t xml:space="preserve">Effect on others</t>
  </si>
  <si>
    <t xml:space="preserve">P1</t>
  </si>
  <si>
    <t xml:space="preserve">Assisted</t>
  </si>
  <si>
    <t xml:space="preserve">Novice</t>
  </si>
  <si>
    <t xml:space="preserve">Entry-level professional. Works on well-defined tasks; has work reviewed before it lands; knows when to ask.</t>
  </si>
  <si>
    <t xml:space="preserve">Single, well-scoped tasks with a known approach.</t>
  </si>
  <si>
    <t xml:space="preserve">Output is correct after review; follows established patterns.</t>
  </si>
  <si>
    <t xml:space="preserve">Is a learner; absorbs feedback.</t>
  </si>
  <si>
    <t xml:space="preserve">P2</t>
  </si>
  <si>
    <t xml:space="preserve">Independent</t>
  </si>
  <si>
    <t xml:space="preserve">Advanced beginner</t>
  </si>
  <si>
    <t xml:space="preserve">Performs standard work on their own with normal review. Handles routine variation.</t>
  </si>
  <si>
    <t xml:space="preserve">Moderately complex, mostly-defined problems within an established approach.</t>
  </si>
  <si>
    <t xml:space="preserve">Reliably ships correct, tested work without close supervision.</t>
  </si>
  <si>
    <t xml:space="preserve">Self-sufficient; helps peers with familiar problems.</t>
  </si>
  <si>
    <t xml:space="preserve">P3</t>
  </si>
  <si>
    <t xml:space="preserve">Proficient</t>
  </si>
  <si>
    <t xml:space="preserve">Competent</t>
  </si>
  <si>
    <t xml:space="preserve">Fully autonomous on the capability; handles ambiguity and the hard cases. Sets the local standard.</t>
  </si>
  <si>
    <t xml:space="preserve">Ambiguous, non-routine problems; chooses among approaches and justifies trade-offs.</t>
  </si>
  <si>
    <t xml:space="preserve">Work is a reference others copy; anticipates failure modes.</t>
  </si>
  <si>
    <t xml:space="preserve">Reviews and levels up others; the go-to for this capability.</t>
  </si>
  <si>
    <t xml:space="preserve">P4</t>
  </si>
  <si>
    <t xml:space="preserve">Expert</t>
  </si>
  <si>
    <t xml:space="preserve">No oversight; defines the approach others adopt. Brought in on problems no one else can crack.</t>
  </si>
  <si>
    <t xml:space="preserve">Novel problems at scale; second-order consequences; no established playbook.</t>
  </si>
  <si>
    <t xml:space="preserve">Sets the quality bar; designs so whole classes of failure can't occur.</t>
  </si>
  <si>
    <t xml:space="preserve">Teaches the proficient; patterns spread beyond the team.</t>
  </si>
  <si>
    <t xml:space="preserve">P5</t>
  </si>
  <si>
    <t xml:space="preserve">Authority</t>
  </si>
  <si>
    <t xml:space="preserve">Recognized authority across the org. Sets the standard and strategy for the capability; anticipates where it's heading.</t>
  </si>
  <si>
    <t xml:space="preserve">Org-shaping problems; structural risk and direction.</t>
  </si>
  <si>
    <t xml:space="preserve">Is the internal standard others are measured against.</t>
  </si>
  <si>
    <t xml:space="preserve">Direction and standards propagate org-wide.</t>
  </si>
  <si>
    <t xml:space="preserve">P6</t>
  </si>
  <si>
    <t xml:space="preserve">Pioneer</t>
  </si>
  <si>
    <t xml:space="preserve">Master</t>
  </si>
  <si>
    <t xml:space="preserve">Defines what 'good' means for the discipline. Advances practice and repositions ahead of the field.</t>
  </si>
  <si>
    <t xml:space="preserve">The rare, field-shaping problems.</t>
  </si>
  <si>
    <t xml:space="preserve">Externally credible; the bar the market references.</t>
  </si>
  <si>
    <t xml:space="preserve">Shapes practice across the company and the wider industry.</t>
  </si>
  <si>
    <t xml:space="preserve">A role specifies a MINIMUM proficiency per required capability; people may exceed it. P-levels are about depth of the skill, not seniority of the person.</t>
  </si>
  <si>
    <t xml:space="preserve">Scope &amp; Levels (S1-S6) — the role axis</t>
  </si>
  <si>
    <t xml:space="preserve">Scope = organizational blast radius of a role, not a property of any capability. Kept at six bands. Calibrated to common market ladders.</t>
  </si>
  <si>
    <t xml:space="preserve">Scope</t>
  </si>
  <si>
    <t xml:space="preserve">Blast radius</t>
  </si>
  <si>
    <t xml:space="preserve">SFIA LoR</t>
  </si>
  <si>
    <t xml:space="preserve">Typical IC title</t>
  </si>
  <si>
    <t xml:space="preserve">Typical mgmt title</t>
  </si>
  <si>
    <t xml:space="preserve">Google / Meta</t>
  </si>
  <si>
    <t xml:space="preserve">Essence (autonomy / influence / ambiguity)</t>
  </si>
  <si>
    <t xml:space="preserve">S1</t>
  </si>
  <si>
    <t xml:space="preserve">Task</t>
  </si>
  <si>
    <t xml:space="preserve">2</t>
  </si>
  <si>
    <t xml:space="preserve">Associate / Jr Engineer</t>
  </si>
  <si>
    <t xml:space="preserve">-</t>
  </si>
  <si>
    <t xml:space="preserve">L3 / E3</t>
  </si>
  <si>
    <t xml:space="preserve">Executes assigned tasks under guidance; learning the system.</t>
  </si>
  <si>
    <t xml:space="preserve">S2</t>
  </si>
  <si>
    <t xml:space="preserve">Component</t>
  </si>
  <si>
    <t xml:space="preserve">3</t>
  </si>
  <si>
    <t xml:space="preserve">Engineer</t>
  </si>
  <si>
    <t xml:space="preserve">L4 / E4</t>
  </si>
  <si>
    <t xml:space="preserve">Owns a component independently; delivers features with little supervision.</t>
  </si>
  <si>
    <t xml:space="preserve">S3</t>
  </si>
  <si>
    <t xml:space="preserve">Domain</t>
  </si>
  <si>
    <t xml:space="preserve">4</t>
  </si>
  <si>
    <t xml:space="preserve">Senior Engineer</t>
  </si>
  <si>
    <t xml:space="preserve">Eng Manager</t>
  </si>
  <si>
    <t xml:space="preserve">L5 / E5</t>
  </si>
  <si>
    <t xml:space="preserve">Owns a domain/subsystem; sets local technical direction; tackles ambiguity.</t>
  </si>
  <si>
    <t xml:space="preserve">S4</t>
  </si>
  <si>
    <t xml:space="preserve">Multi-team</t>
  </si>
  <si>
    <t xml:space="preserve">5</t>
  </si>
  <si>
    <t xml:space="preserve">Staff Engineer</t>
  </si>
  <si>
    <t xml:space="preserve">Sr Manager / Director</t>
  </si>
  <si>
    <t xml:space="preserve">L6 / E6</t>
  </si>
  <si>
    <t xml:space="preserve">Leverage across several teams; creates scope rather than executing it.</t>
  </si>
  <si>
    <t xml:space="preserve">S5</t>
  </si>
  <si>
    <t xml:space="preserve">Org</t>
  </si>
  <si>
    <t xml:space="preserve">6</t>
  </si>
  <si>
    <t xml:space="preserve">Sr / Principal Engineer</t>
  </si>
  <si>
    <t xml:space="preserve">Director / VP</t>
  </si>
  <si>
    <t xml:space="preserve">L7 / E7</t>
  </si>
  <si>
    <t xml:space="preserve">Sets multi-year direction for a function/org; org-level bets.</t>
  </si>
  <si>
    <t xml:space="preserve">S6</t>
  </si>
  <si>
    <t xml:space="preserve">Company</t>
  </si>
  <si>
    <t xml:space="preserve">7</t>
  </si>
  <si>
    <t xml:space="preserve">Principal / Fellow</t>
  </si>
  <si>
    <t xml:space="preserve">VP / SVP</t>
  </si>
  <si>
    <t xml:space="preserve">L8 / E8</t>
  </si>
  <si>
    <t xml:space="preserve">Company-wide authority; trusted with irreversible, high-cost decisions.</t>
  </si>
  <si>
    <t xml:space="preserve">Where is 'Industry' (e.g. Linus Torvalds)? Scope caps at Company because an employee's org blast radius does. Industry-defining impact is a statement about DEPTH OF EXPERTISE and lives at P6 'Pioneer' on the Proficiency axis — not a 7th scope band. SFIA has no band for it either; we capture it on the expertise axis instead.</t>
  </si>
  <si>
    <t xml:space="preserve">Capability Library — 429 technology-agnostic capabilities, fully leveled</t>
  </si>
  <si>
    <t xml:space="preserve">Segment &gt; Domain &gt; Focus Area &gt; Capability, typed Behavioral/Technical, with a P1-P6 behavioral profile for every level. Filter by Segment/Domain; the first columns stay frozen so the capability name is visible while reading the level columns.</t>
  </si>
  <si>
    <t xml:space="preserve">Segment</t>
  </si>
  <si>
    <t xml:space="preserve">ID</t>
  </si>
  <si>
    <t xml:space="preserve">Focus Area</t>
  </si>
  <si>
    <t xml:space="preserve">Capability</t>
  </si>
  <si>
    <t xml:space="preserve">Type</t>
  </si>
  <si>
    <t xml:space="preserve">Description</t>
  </si>
  <si>
    <t xml:space="preserve">P1 Assisted</t>
  </si>
  <si>
    <t xml:space="preserve">P2 Independent</t>
  </si>
  <si>
    <t xml:space="preserve">P3 Proficient</t>
  </si>
  <si>
    <t xml:space="preserve">P4 Expert</t>
  </si>
  <si>
    <t xml:space="preserve">P5 Authority</t>
  </si>
  <si>
    <t xml:space="preserve">P6 Pioneer</t>
  </si>
  <si>
    <t xml:space="preserve">Engineering &amp; Technology</t>
  </si>
  <si>
    <t xml:space="preserve">SWE-01</t>
  </si>
  <si>
    <t xml:space="preserve">Software Engineering</t>
  </si>
  <si>
    <t xml:space="preserve">Code &amp; Quality</t>
  </si>
  <si>
    <t xml:space="preserve">Writing Code</t>
  </si>
  <si>
    <t xml:space="preserve">Technical</t>
  </si>
  <si>
    <t xml:space="preserve">Produces correct, readable, idiomatic code.</t>
  </si>
  <si>
    <t xml:space="preserve">Writes working, readable code in the team's language; debugs own changes.</t>
  </si>
  <si>
    <t xml:space="preserve">Proficient in the primary language/ecosystem; handles errors, async and concurrency basics correctly.</t>
  </si>
  <si>
    <t xml:space="preserve">Code is a reference others learn from; debugs the hard problems (races, memory, nondeterminism).</t>
  </si>
  <si>
    <t xml:space="preserve">Mastery across multiple stacks/paradigms; solves problems others can't; sets implementation patterns.</t>
  </si>
  <si>
    <t xml:space="preserve">Sets implementation standards adopted across the org; anticipates where code breaks at scale.</t>
  </si>
  <si>
    <t xml:space="preserve">Industry-level depth; authors foundational primitives and idioms others build on.</t>
  </si>
  <si>
    <t xml:space="preserve">SWE-02</t>
  </si>
  <si>
    <t xml:space="preserve">Code Quality &amp; Maintainability</t>
  </si>
  <si>
    <t xml:space="preserve">Keeps code healthy, modular and maintainable.</t>
  </si>
  <si>
    <t xml:space="preserve">Writes functional, readable code; uses version control correctly; responds well to review.</t>
  </si>
  <si>
    <t xml:space="preserve">Writes clean, documented, modular code; gives useful review feedback.</t>
  </si>
  <si>
    <t xml:space="preserve">Designs for maintainability; leads refactors of problem areas; review feedback teaches.</t>
  </si>
  <si>
    <t xml:space="preserve">Expert in code health at scale (shared libraries, deprecations, large migrations).</t>
  </si>
  <si>
    <t xml:space="preserve">Shapes org-wide engineering standards for long-lived codebases.</t>
  </si>
  <si>
    <t xml:space="preserve">Defines what good engineering looks like company-wide; externally recognized.</t>
  </si>
  <si>
    <t xml:space="preserve">SWE-03</t>
  </si>
  <si>
    <t xml:space="preserve">Testing &amp; Verification</t>
  </si>
  <si>
    <t xml:space="preserve">Designs tests that give real confidence to ship.</t>
  </si>
  <si>
    <t xml:space="preserve">Writes unit tests with guidance; tests own changes before merging.</t>
  </si>
  <si>
    <t xml:space="preserve">Applies the testing pyramid; everything shipped arrives tested; mocks dependencies sensibly.</t>
  </si>
  <si>
    <t xml:space="preserve">Designs testable systems (contract, property-based, replay from prod); owns a test strategy.</t>
  </si>
  <si>
    <t xml:space="preserve">Expert in test strategy at scale (test data, environments, deployment safety).</t>
  </si>
  <si>
    <t xml:space="preserve">Sets testing/verification discipline across the org.</t>
  </si>
  <si>
    <t xml:space="preserve">Shapes the company-wide quality culture; advances verification practice.</t>
  </si>
  <si>
    <t xml:space="preserve">SWE-04</t>
  </si>
  <si>
    <t xml:space="preserve">Code Comprehension &amp; Review</t>
  </si>
  <si>
    <t xml:space="preserve">Reads, reasons about and reviews others' code.</t>
  </si>
  <si>
    <t xml:space="preserve">Navigates the codebase and understands code shown; reviews small changes.</t>
  </si>
  <si>
    <t xml:space="preserve">Independently understands unfamiliar code; gives timely, specific review feedback.</t>
  </si>
  <si>
    <t xml:space="preserve">Quickly grasps complex/legacy systems; reviews raise the bar across a domain.</t>
  </si>
  <si>
    <t xml:space="preserve">Expert at reviewing high-risk changes; review standards spread across teams.</t>
  </si>
  <si>
    <t xml:space="preserve">Authority on review practice org-wide.</t>
  </si>
  <si>
    <t xml:space="preserve">Defines what good review looks like; shapes industry-facing practice.</t>
  </si>
  <si>
    <t xml:space="preserve">SWE-05</t>
  </si>
  <si>
    <t xml:space="preserve">Design &amp; Architecture</t>
  </si>
  <si>
    <t xml:space="preserve">Software Design &amp; Architecture</t>
  </si>
  <si>
    <t xml:space="preserve">Structures software — modules, boundaries, interfaces.</t>
  </si>
  <si>
    <t xml:space="preserve">Implements designs specified by others; asks why, not just how.</t>
  </si>
  <si>
    <t xml:space="preserve">Designs sound components; understands coupling, cohesion, interface design.</t>
  </si>
  <si>
    <t xml:space="preserve">Designs systems for evolution: clean seams, versioned interfaces, replaceable parts.</t>
  </si>
  <si>
    <t xml:space="preserve">Mastery of architecture for complex systems; sets patterns and prevents drift.</t>
  </si>
  <si>
    <t xml:space="preserve">Sets multi-year architecture direction across the org.</t>
  </si>
  <si>
    <t xml:space="preserve">Authoritative and externally credible; defines architectural approach others follow.</t>
  </si>
  <si>
    <t xml:space="preserve">SWE-06</t>
  </si>
  <si>
    <t xml:space="preserve">Debugging &amp; Systems Diagnosis</t>
  </si>
  <si>
    <t xml:space="preserve">Diagnoses defects and anomalies methodically.</t>
  </si>
  <si>
    <t xml:space="preserve">Debugs issues in own code with support; uses basic tooling.</t>
  </si>
  <si>
    <t xml:space="preserve">Independently diagnoses defects in own area systematically.</t>
  </si>
  <si>
    <t xml:space="preserve">Leads diagnosis of hard, cross-cutting failures; root cause not symptoms.</t>
  </si>
  <si>
    <t xml:space="preserve">Expert at the rare/systemic failures; builds tooling that makes them visible.</t>
  </si>
  <si>
    <t xml:space="preserve">The person called for the worst failures; sets diagnostic practice org-wide.</t>
  </si>
  <si>
    <t xml:space="preserve">Authority on diagnosis; advances the discipline.</t>
  </si>
  <si>
    <t xml:space="preserve">SWE-07</t>
  </si>
  <si>
    <t xml:space="preserve">API &amp; Service Design</t>
  </si>
  <si>
    <t xml:space="preserve">Designs clean, durable interfaces between systems.</t>
  </si>
  <si>
    <t xml:space="preserve">Understands HTTP/REST and the deploy pipeline; makes guided changes.</t>
  </si>
  <si>
    <t xml:space="preserve">Designs clean APIs; understands rate limits, retries, timeouts, idempotency.</t>
  </si>
  <si>
    <t xml:space="preserve">Designs services for scale and cost; understands distributed failure modes.</t>
  </si>
  <si>
    <t xml:space="preserve">Expert in platform/service design (multi-tenancy, capacity, shared services).</t>
  </si>
  <si>
    <t xml:space="preserve">Sets interface standards used across the org.</t>
  </si>
  <si>
    <t xml:space="preserve">Defines company-wide API approach; trusted with irreversible interface bets.</t>
  </si>
  <si>
    <t xml:space="preserve">FE-01</t>
  </si>
  <si>
    <t xml:space="preserve">Frontend &amp; Client Engineering</t>
  </si>
  <si>
    <t xml:space="preserve">UI Construction &amp; Rendering</t>
  </si>
  <si>
    <t xml:space="preserve">Component-based UI architecture</t>
  </si>
  <si>
    <t xml:space="preserve">Composing user interfaces from reusable, encapsulated UI components with clear boundaries and contracts.</t>
  </si>
  <si>
    <t xml:space="preserve">Builds simple components from existing patterns; relies on review to validate boundaries and props.</t>
  </si>
  <si>
    <t xml:space="preserve">Composes reusable components independently, handling standard prop, state, and event wiring with normal review.</t>
  </si>
  <si>
    <t xml:space="preserve">Designs component hierarchies and clear interfaces autonomously; resolves tricky composition and reuse trade-offs.</t>
  </si>
  <si>
    <t xml:space="preserve">Defines the component architecture and conventions teams adopt; untangles deeply coupled or overgrown trees.</t>
  </si>
  <si>
    <t xml:space="preserve">Sets organization-wide component design strategy; anticipates how composition models should evolve.</t>
  </si>
  <si>
    <t xml:space="preserve">Defines what good component architecture means industrywide; shapes practice through widely adopted patterns.</t>
  </si>
  <si>
    <t xml:space="preserve">FE-02</t>
  </si>
  <si>
    <t xml:space="preserve">Declarative UI rendering &amp; reactivity</t>
  </si>
  <si>
    <t xml:space="preserve">Expressing UI as a function of state and managing efficient re-rendering when data changes.</t>
  </si>
  <si>
    <t xml:space="preserve">Binds data to views and updates state for simple cases under review.</t>
  </si>
  <si>
    <t xml:space="preserve">Builds reactive views independently, managing derived state and updates with routine review.</t>
  </si>
  <si>
    <t xml:space="preserve">Designs reactive data flows autonomously; debugs subtle re-render and dependency issues.</t>
  </si>
  <si>
    <t xml:space="preserve">Defines reactivity patterns others follow; resolves the hardest update and consistency problems.</t>
  </si>
  <si>
    <t xml:space="preserve">Sets strategy for declarative rendering models; anticipates where reactivity paradigms head.</t>
  </si>
  <si>
    <t xml:space="preserve">Defines industry understanding of reactive UI; pioneers widely emulated rendering approaches.</t>
  </si>
  <si>
    <t xml:space="preserve">FE-03</t>
  </si>
  <si>
    <t xml:space="preserve">Document structure &amp; semantic markup</t>
  </si>
  <si>
    <t xml:space="preserve">Structuring content with meaningful, well-formed markup that conveys semantics and hierarchy.</t>
  </si>
  <si>
    <t xml:space="preserve">Writes valid markup using common semantic elements for simple pages under review.</t>
  </si>
  <si>
    <t xml:space="preserve">Structures documents independently with correct semantics for standard content layouts.</t>
  </si>
  <si>
    <t xml:space="preserve">Designs robust semantic structures autonomously; handles complex, dynamic, or nested content.</t>
  </si>
  <si>
    <t xml:space="preserve">Defines markup conventions teams adopt; resolves ambiguous structural and semantic edge cases.</t>
  </si>
  <si>
    <t xml:space="preserve">Sets organizational standards for semantic document structure; anticipates evolving markup capabilities.</t>
  </si>
  <si>
    <t xml:space="preserve">Shapes industry norms for semantic markup; influences standards and widely referenced practice.</t>
  </si>
  <si>
    <t xml:space="preserve">FE-04</t>
  </si>
  <si>
    <t xml:space="preserve">Client-side rendering strategies</t>
  </si>
  <si>
    <t xml:space="preserve">Choosing among client, server, static, and hybrid rendering approaches to balance speed and interactivity.</t>
  </si>
  <si>
    <t xml:space="preserve">Implements basic client rendering for simple views under guidance.</t>
  </si>
  <si>
    <t xml:space="preserve">Applies standard rendering approaches independently, handling routine hydration and load cases.</t>
  </si>
  <si>
    <t xml:space="preserve">Chooses and tunes rendering strategies autonomously across varied app and performance needs.</t>
  </si>
  <si>
    <t xml:space="preserve">Defines rendering-strategy approaches teams adopt; solves hard hydration and timing problems.</t>
  </si>
  <si>
    <t xml:space="preserve">Sets rendering strategy across systems; anticipates shifts in client rendering models.</t>
  </si>
  <si>
    <t xml:space="preserve">Defines best practice for rendering strategies industrywide; pioneers influential approaches.</t>
  </si>
  <si>
    <t xml:space="preserve">FE-05</t>
  </si>
  <si>
    <t xml:space="preserve">State &amp; Data on the Client</t>
  </si>
  <si>
    <t xml:space="preserve">Client-side state management</t>
  </si>
  <si>
    <t xml:space="preserve">Modeling, storing, and synchronizing application and UI state across the client at appropriate scope.</t>
  </si>
  <si>
    <t xml:space="preserve">Reads and updates simple shared state following established patterns under review.</t>
  </si>
  <si>
    <t xml:space="preserve">Manages component and shared state independently for standard flows with normal review.</t>
  </si>
  <si>
    <t xml:space="preserve">Designs state architecture autonomously; resolves complex synchronization and ownership issues.</t>
  </si>
  <si>
    <t xml:space="preserve">Defines state-management patterns others adopt; untangles tangled global and derived state.</t>
  </si>
  <si>
    <t xml:space="preserve">Sets state-management strategy across the organization; anticipates evolving paradigms.</t>
  </si>
  <si>
    <t xml:space="preserve">Defines what good client state management means; shapes industry patterns and practice.</t>
  </si>
  <si>
    <t xml:space="preserve">FE-06</t>
  </si>
  <si>
    <t xml:space="preserve">Client-side data fetching &amp; caching</t>
  </si>
  <si>
    <t xml:space="preserve">Retrieving, caching, revalidating, and synchronizing remote data within the client lifecycle.</t>
  </si>
  <si>
    <t xml:space="preserve">Fetches and displays data for simple endpoints under review.</t>
  </si>
  <si>
    <t xml:space="preserve">Implements fetching with loading and error states independently for standard cases.</t>
  </si>
  <si>
    <t xml:space="preserve">Designs fetching and caching strategies autonomously; handles invalidation and race conditions.</t>
  </si>
  <si>
    <t xml:space="preserve">Defines fetching and caching patterns teams adopt; solves hard staleness and consistency problems.</t>
  </si>
  <si>
    <t xml:space="preserve">Sets strategy for client data access and caching; anticipates evolving data-sync models.</t>
  </si>
  <si>
    <t xml:space="preserve">Shapes industry practice for client data fetching and caching; pioneers influential approaches.</t>
  </si>
  <si>
    <t xml:space="preserve">FE-07</t>
  </si>
  <si>
    <t xml:space="preserve">Client-side routing &amp; navigation</t>
  </si>
  <si>
    <t xml:space="preserve">Managing in-application navigation, route state, and history without full reloads.</t>
  </si>
  <si>
    <t xml:space="preserve">Adds routes and links for simple navigation under guidance.</t>
  </si>
  <si>
    <t xml:space="preserve">Implements nested and parameterized routing independently for standard flows.</t>
  </si>
  <si>
    <t xml:space="preserve">Designs routing architecture autonomously; handles guards, lazy loading, and deep linking.</t>
  </si>
  <si>
    <t xml:space="preserve">Defines routing patterns others adopt; resolves complex navigation and state-preservation cases.</t>
  </si>
  <si>
    <t xml:space="preserve">Sets navigation architecture strategy across applications; anticipates evolving routing models.</t>
  </si>
  <si>
    <t xml:space="preserve">Defines best practice for client routing industrywide; shapes widely adopted approaches.</t>
  </si>
  <si>
    <t xml:space="preserve">FE-08</t>
  </si>
  <si>
    <t xml:space="preserve">Layout &amp; Visual Styling</t>
  </si>
  <si>
    <t xml:space="preserve">Responsive &amp; adaptive layout</t>
  </si>
  <si>
    <t xml:space="preserve">Designing layouts that fluidly adapt across viewport sizes, orientations, and device capabilities.</t>
  </si>
  <si>
    <t xml:space="preserve">Applies provided responsive rules to simple layouts under review.</t>
  </si>
  <si>
    <t xml:space="preserve">Builds responsive layouts independently across common breakpoints and devices.</t>
  </si>
  <si>
    <t xml:space="preserve">Designs adaptive layout systems autonomously; handles complex fluid and content-driven cases.</t>
  </si>
  <si>
    <t xml:space="preserve">Defines responsive layout approaches teams adopt; solves the hardest cross-device challenges.</t>
  </si>
  <si>
    <t xml:space="preserve">Sets organizational strategy for responsive and adaptive layout; anticipates new device classes.</t>
  </si>
  <si>
    <t xml:space="preserve">Shapes industry practice for responsive design; pioneers widely referenced layout techniques.</t>
  </si>
  <si>
    <t xml:space="preserve">FE-09</t>
  </si>
  <si>
    <t xml:space="preserve">Visual styling &amp; presentation systems</t>
  </si>
  <si>
    <t xml:space="preserve">Applying scalable styling approaches for visual presentation, theming, and consistent appearance.</t>
  </si>
  <si>
    <t xml:space="preserve">Applies existing styles and tokens to components under review.</t>
  </si>
  <si>
    <t xml:space="preserve">Implements styling independently following design systems for standard components.</t>
  </si>
  <si>
    <t xml:space="preserve">Designs scalable styling systems autonomously; resolves specificity, theming, and reuse issues.</t>
  </si>
  <si>
    <t xml:space="preserve">Defines styling architecture and conventions others adopt; untangles fragile, sprawling styles.</t>
  </si>
  <si>
    <t xml:space="preserve">Sets styling-system strategy across the organization; anticipates evolving presentation approaches.</t>
  </si>
  <si>
    <t xml:space="preserve">Defines what good styling architecture means industrywide; shapes widely adopted systems.</t>
  </si>
  <si>
    <t xml:space="preserve">FE-10</t>
  </si>
  <si>
    <t xml:space="preserve">Cross-browser &amp; cross-device compatibility</t>
  </si>
  <si>
    <t xml:space="preserve">Ensuring consistent behavior and appearance across differing rendering engines and environments.</t>
  </si>
  <si>
    <t xml:space="preserve">Fixes obvious compatibility issues on common browsers under guidance.</t>
  </si>
  <si>
    <t xml:space="preserve">Tests and resolves standard cross-browser problems independently.</t>
  </si>
  <si>
    <t xml:space="preserve">Designs compatibility strategies autonomously; diagnoses obscure rendering and behavior differences.</t>
  </si>
  <si>
    <t xml:space="preserve">Defines compatibility approaches teams adopt; solves the most elusive cross-environment bugs.</t>
  </si>
  <si>
    <t xml:space="preserve">Sets cross-browser and device strategy; anticipates platform fragmentation and capability shifts.</t>
  </si>
  <si>
    <t xml:space="preserve">Shapes industry practice for compatibility; pioneers influential approaches to fragmentation.</t>
  </si>
  <si>
    <t xml:space="preserve">FE-11</t>
  </si>
  <si>
    <t xml:space="preserve">Animation &amp; motion implementation</t>
  </si>
  <si>
    <t xml:space="preserve">Implementing performant, purposeful transitions and motion that enhance usability without distraction.</t>
  </si>
  <si>
    <t xml:space="preserve">Implements simple transitions from provided specs under review.</t>
  </si>
  <si>
    <t xml:space="preserve">Builds standard animations independently with attention to timing and smoothness.</t>
  </si>
  <si>
    <t xml:space="preserve">Designs performant motion systems autonomously; handles complex sequencing and interruption.</t>
  </si>
  <si>
    <t xml:space="preserve">Defines animation patterns others adopt; solves hard performance and choreography problems.</t>
  </si>
  <si>
    <t xml:space="preserve">Sets motion-design implementation strategy; anticipates evolving animation capabilities.</t>
  </si>
  <si>
    <t xml:space="preserve">Defines best practice for motion implementation industrywide; shapes widely adopted techniques.</t>
  </si>
  <si>
    <t xml:space="preserve">FE-12</t>
  </si>
  <si>
    <t xml:space="preserve">User Experience Quality</t>
  </si>
  <si>
    <t xml:space="preserve">Accessibility engineering</t>
  </si>
  <si>
    <t xml:space="preserve">Building interfaces usable by people with diverse abilities and assistive technologies per inclusive standards.</t>
  </si>
  <si>
    <t xml:space="preserve">Applies basic accessibility fixes following checklists under review.</t>
  </si>
  <si>
    <t xml:space="preserve">Implements accessible components independently meeting standard requirements.</t>
  </si>
  <si>
    <t xml:space="preserve">Designs accessible experiences autonomously; resolves complex assistive-technology and interaction cases.</t>
  </si>
  <si>
    <t xml:space="preserve">Defines accessibility approaches teams adopt; solves the hardest inclusive-design problems.</t>
  </si>
  <si>
    <t xml:space="preserve">Sets accessibility strategy across the organization; anticipates evolving standards and needs.</t>
  </si>
  <si>
    <t xml:space="preserve">Shapes industry accessibility practice; influences standards and widely referenced guidance.</t>
  </si>
  <si>
    <t xml:space="preserve">FE-13</t>
  </si>
  <si>
    <t xml:space="preserve">Frontend performance optimization</t>
  </si>
  <si>
    <t xml:space="preserve">Optimizing load, render, and runtime responsiveness through asset, network, and rendering improvements.</t>
  </si>
  <si>
    <t xml:space="preserve">Applies known performance fixes to simple cases under guidance.</t>
  </si>
  <si>
    <t xml:space="preserve">Profiles and improves standard performance issues independently.</t>
  </si>
  <si>
    <t xml:space="preserve">Diagnoses and optimizes performance autonomously across rendering, loading, and runtime.</t>
  </si>
  <si>
    <t xml:space="preserve">Defines performance approaches teams adopt; solves the most stubborn bottlenecks.</t>
  </si>
  <si>
    <t xml:space="preserve">Sets frontend performance strategy and budgets; anticipates emerging performance concerns.</t>
  </si>
  <si>
    <t xml:space="preserve">Defines what good frontend performance means industrywide; pioneers influential techniques.</t>
  </si>
  <si>
    <t xml:space="preserve">FE-14</t>
  </si>
  <si>
    <t xml:space="preserve">Internationalization &amp; localization</t>
  </si>
  <si>
    <t xml:space="preserve">Adapting interfaces for multiple languages, locales, formats, and writing directions.</t>
  </si>
  <si>
    <t xml:space="preserve">Externalizes strings and applies locale formatting for simple cases under review.</t>
  </si>
  <si>
    <t xml:space="preserve">Implements internationalization independently for standard content and locales.</t>
  </si>
  <si>
    <t xml:space="preserve">Designs i18n architecture autonomously; handles pluralization, bidirectionality, and complex formatting.</t>
  </si>
  <si>
    <t xml:space="preserve">Defines internationalization approaches teams adopt; solves hard multilingual and cultural cases.</t>
  </si>
  <si>
    <t xml:space="preserve">Sets i18n and localization strategy across products; anticipates expanding locale and market needs.</t>
  </si>
  <si>
    <t xml:space="preserve">Shapes industry practice for internationalization; pioneers widely adopted approaches.</t>
  </si>
  <si>
    <t xml:space="preserve">FE-15</t>
  </si>
  <si>
    <t xml:space="preserve">Progressive enhancement &amp; offline capability</t>
  </si>
  <si>
    <t xml:space="preserve">Delivering resilient experiences that degrade gracefully and function under intermittent connectivity.</t>
  </si>
  <si>
    <t xml:space="preserve">Adds basic fallbacks and simple offline behavior under guidance.</t>
  </si>
  <si>
    <t xml:space="preserve">Implements progressive enhancement and standard offline support independently.</t>
  </si>
  <si>
    <t xml:space="preserve">Designs resilient offline-capable experiences autonomously; handles sync and conflict cases.</t>
  </si>
  <si>
    <t xml:space="preserve">Defines progressive-enhancement patterns teams adopt; solves hard offline and degradation problems.</t>
  </si>
  <si>
    <t xml:space="preserve">Sets strategy for resilience and offline capability; anticipates evolving connectivity scenarios.</t>
  </si>
  <si>
    <t xml:space="preserve">Defines best practice for progressive enhancement industrywide; shapes widely adopted approaches.</t>
  </si>
  <si>
    <t xml:space="preserve">FE-16</t>
  </si>
  <si>
    <t xml:space="preserve">Client Platform &amp; Tooling</t>
  </si>
  <si>
    <t xml:space="preserve">Client build tooling &amp; module bundling</t>
  </si>
  <si>
    <t xml:space="preserve">Configuring build pipelines, bundling, and transpilation to package and optimize client artifacts.</t>
  </si>
  <si>
    <t xml:space="preserve">Runs and tweaks existing build configurations under review.</t>
  </si>
  <si>
    <t xml:space="preserve">Configures standard build and bundling setups independently.</t>
  </si>
  <si>
    <t xml:space="preserve">Designs build pipelines autonomously; optimizes bundling, splitting, and asset handling.</t>
  </si>
  <si>
    <t xml:space="preserve">Defines build-tooling approaches teams adopt; solves hard performance and configuration problems.</t>
  </si>
  <si>
    <t xml:space="preserve">Sets build and bundling strategy across projects; anticipates evolving tooling models.</t>
  </si>
  <si>
    <t xml:space="preserve">Shapes industry practice for client build tooling; pioneers influential approaches.</t>
  </si>
  <si>
    <t xml:space="preserve">FE-17</t>
  </si>
  <si>
    <t xml:space="preserve">Browser platform &amp; runtime fundamentals</t>
  </si>
  <si>
    <t xml:space="preserve">Leveraging core client runtime capabilities, event models, storage, and rendering pipeline behavior.</t>
  </si>
  <si>
    <t xml:space="preserve">Uses common platform APIs for simple tasks under guidance.</t>
  </si>
  <si>
    <t xml:space="preserve">Applies browser runtime and lifecycle knowledge independently for standard work.</t>
  </si>
  <si>
    <t xml:space="preserve">Leverages platform internals autonomously; debugs subtle runtime and event-loop behavior.</t>
  </si>
  <si>
    <t xml:space="preserve">Defines platform-usage approaches teams adopt; solves deep runtime and capability problems.</t>
  </si>
  <si>
    <t xml:space="preserve">Sets strategy for platform adoption; anticipates evolving browser capabilities and standards.</t>
  </si>
  <si>
    <t xml:space="preserve">Defines authoritative understanding of the browser platform; shapes industry practice.</t>
  </si>
  <si>
    <t xml:space="preserve">BE-01</t>
  </si>
  <si>
    <t xml:space="preserve">Backend &amp; Distributed Services</t>
  </si>
  <si>
    <t xml:space="preserve">Data Persistence &amp; Modeling</t>
  </si>
  <si>
    <t xml:space="preserve">Relational data modeling &amp; querying</t>
  </si>
  <si>
    <t xml:space="preserve">Designs normalized relational schemas, relationships, and set-based queries for transactional data.</t>
  </si>
  <si>
    <t xml:space="preserve">Writes simple queries and follows existing schemas under review.</t>
  </si>
  <si>
    <t xml:space="preserve">Models standard entities and writes correct queries independently with normal review.</t>
  </si>
  <si>
    <t xml:space="preserve">Designs normalized schemas autonomously; writes complex queries and resolves modeling trade-offs.</t>
  </si>
  <si>
    <t xml:space="preserve">Defines data-modeling approaches teams adopt; solves the hardest schema and query problems.</t>
  </si>
  <si>
    <t xml:space="preserve">Sets relational modeling strategy across systems; anticipates evolving data and access needs.</t>
  </si>
  <si>
    <t xml:space="preserve">Defines best practice for relational modeling industrywide; shapes widely adopted approaches.</t>
  </si>
  <si>
    <t xml:space="preserve">BE-02</t>
  </si>
  <si>
    <t xml:space="preserve">Non-relational data modeling</t>
  </si>
  <si>
    <t xml:space="preserve">Models document, key-value, columnar, and graph data shaped around access patterns rather than normalization.</t>
  </si>
  <si>
    <t xml:space="preserve">Stores and retrieves simple documents or records following patterns under review.</t>
  </si>
  <si>
    <t xml:space="preserve">Models standard non-relational structures independently for known access patterns.</t>
  </si>
  <si>
    <t xml:space="preserve">Designs non-relational schemas autonomously; optimizes for access patterns and denormalization.</t>
  </si>
  <si>
    <t xml:space="preserve">Defines non-relational modeling approaches teams adopt; solves hard data-shape and scale problems.</t>
  </si>
  <si>
    <t xml:space="preserve">Sets strategy for non-relational data modeling; anticipates evolving workload and access needs.</t>
  </si>
  <si>
    <t xml:space="preserve">Shapes industry practice for non-relational modeling; pioneers influential approaches.</t>
  </si>
  <si>
    <t xml:space="preserve">BE-03</t>
  </si>
  <si>
    <t xml:space="preserve">Consistency &amp; transaction design</t>
  </si>
  <si>
    <t xml:space="preserve">Applies transactions, isolation levels, and consistency models to keep data correct under concurrent access.</t>
  </si>
  <si>
    <t xml:space="preserve">Uses provided transaction patterns for simple operations under review.</t>
  </si>
  <si>
    <t xml:space="preserve">Implements standard transactions and isolation independently with normal review.</t>
  </si>
  <si>
    <t xml:space="preserve">Designs consistency and transaction boundaries autonomously; resolves concurrency and isolation issues.</t>
  </si>
  <si>
    <t xml:space="preserve">Defines consistency approaches teams adopt; solves the hardest correctness and contention problems.</t>
  </si>
  <si>
    <t xml:space="preserve">Sets consistency and transaction strategy across systems; anticipates distributed-correctness challenges.</t>
  </si>
  <si>
    <t xml:space="preserve">Defines authoritative practice for consistency design; shapes industry understanding of correctness.</t>
  </si>
  <si>
    <t xml:space="preserve">BE-04</t>
  </si>
  <si>
    <t xml:space="preserve">Indexing &amp; query optimization</t>
  </si>
  <si>
    <t xml:space="preserve">Designs indexes and query plans to meet latency and throughput targets at scale.</t>
  </si>
  <si>
    <t xml:space="preserve">Adds suggested indexes and reads query plans under guidance.</t>
  </si>
  <si>
    <t xml:space="preserve">Identifies and resolves standard slow queries independently.</t>
  </si>
  <si>
    <t xml:space="preserve">Designs indexing strategies autonomously; tunes complex queries and execution plans.</t>
  </si>
  <si>
    <t xml:space="preserve">Defines query-optimization approaches teams adopt; solves the most stubborn performance problems.</t>
  </si>
  <si>
    <t xml:space="preserve">Sets indexing and optimization strategy across systems; anticipates evolving workload patterns.</t>
  </si>
  <si>
    <t xml:space="preserve">Shapes industry practice for query optimization; pioneers widely referenced techniques.</t>
  </si>
  <si>
    <t xml:space="preserve">BE-05</t>
  </si>
  <si>
    <t xml:space="preserve">Search &amp; indexing</t>
  </si>
  <si>
    <t xml:space="preserve">Builds full-text and faceted search using inverted indexes, ranking, and relevance tuning.</t>
  </si>
  <si>
    <t xml:space="preserve">Implements basic search queries against existing indexes under review.</t>
  </si>
  <si>
    <t xml:space="preserve">Builds standard search and indexing pipelines independently.</t>
  </si>
  <si>
    <t xml:space="preserve">Designs search and relevance strategies autonomously; tunes ranking and indexing trade-offs.</t>
  </si>
  <si>
    <t xml:space="preserve">Defines search architecture teams adopt; solves hard relevance, scale, and freshness problems.</t>
  </si>
  <si>
    <t xml:space="preserve">Sets search strategy across products; anticipates evolving retrieval and ranking needs.</t>
  </si>
  <si>
    <t xml:space="preserve">Defines best practice for search and indexing industrywide; shapes widely adopted approaches.</t>
  </si>
  <si>
    <t xml:space="preserve">BE-06</t>
  </si>
  <si>
    <t xml:space="preserve">Data Access &amp; Caching</t>
  </si>
  <si>
    <t xml:space="preserve">Caching strategy &amp; invalidation</t>
  </si>
  <si>
    <t xml:space="preserve">Selects cache placement, eviction, and invalidation strategies to balance freshness against performance.</t>
  </si>
  <si>
    <t xml:space="preserve">Adds simple caching following established patterns under review.</t>
  </si>
  <si>
    <t xml:space="preserve">Implements standard caching with basic invalidation independently.</t>
  </si>
  <si>
    <t xml:space="preserve">Designs caching strategies autonomously; resolves invalidation, staleness, and coherence issues.</t>
  </si>
  <si>
    <t xml:space="preserve">Defines caching approaches teams adopt; solves the hardest invalidation and consistency problems.</t>
  </si>
  <si>
    <t xml:space="preserve">Sets caching strategy across systems; anticipates evolving consistency and scale demands.</t>
  </si>
  <si>
    <t xml:space="preserve">Defines authoritative practice for caching and invalidation; shapes industry understanding.</t>
  </si>
  <si>
    <t xml:space="preserve">BE-07</t>
  </si>
  <si>
    <t xml:space="preserve">Data partitioning &amp; sharding</t>
  </si>
  <si>
    <t xml:space="preserve">Splits and distributes data across nodes to scale storage and access while managing rebalancing.</t>
  </si>
  <si>
    <t xml:space="preserve">Operates within existing partitioning schemes for simple tasks under guidance.</t>
  </si>
  <si>
    <t xml:space="preserve">Implements standard partitioning following defined strategies independently.</t>
  </si>
  <si>
    <t xml:space="preserve">Designs partitioning and sharding schemes autonomously; handles rebalancing and hotspot issues.</t>
  </si>
  <si>
    <t xml:space="preserve">Defines partitioning approaches teams adopt; solves hard distribution and skew problems.</t>
  </si>
  <si>
    <t xml:space="preserve">Sets partitioning strategy across systems; anticipates evolving scale and topology needs.</t>
  </si>
  <si>
    <t xml:space="preserve">Shapes industry practice for partitioning and sharding; pioneers influential approaches.</t>
  </si>
  <si>
    <t xml:space="preserve">BE-08</t>
  </si>
  <si>
    <t xml:space="preserve">Replication &amp; data distribution</t>
  </si>
  <si>
    <t xml:space="preserve">Replicates data across nodes and regions, reasoning about lag, failover, and read/write trade-offs.</t>
  </si>
  <si>
    <t xml:space="preserve">Operates replicated setups for simple tasks under guidance.</t>
  </si>
  <si>
    <t xml:space="preserve">Configures standard replication independently following defined patterns.</t>
  </si>
  <si>
    <t xml:space="preserve">Designs replication topologies autonomously; resolves lag, conflict, and failover issues.</t>
  </si>
  <si>
    <t xml:space="preserve">Defines replication approaches teams adopt; solves hard distribution and consistency problems.</t>
  </si>
  <si>
    <t xml:space="preserve">Sets replication and distribution strategy across systems; anticipates evolving topology needs.</t>
  </si>
  <si>
    <t xml:space="preserve">Defines best practice for replication and data distribution; shapes industry practice.</t>
  </si>
  <si>
    <t xml:space="preserve">BE-09</t>
  </si>
  <si>
    <t xml:space="preserve">Messaging &amp; Eventing</t>
  </si>
  <si>
    <t xml:space="preserve">Message &amp; event-driven architecture</t>
  </si>
  <si>
    <t xml:space="preserve">Designs asynchronous, decoupled systems using queues, streams, and publish-subscribe flows.</t>
  </si>
  <si>
    <t xml:space="preserve">Produces and consumes messages for simple flows under review.</t>
  </si>
  <si>
    <t xml:space="preserve">Implements standard event-driven flows independently with normal review.</t>
  </si>
  <si>
    <t xml:space="preserve">Designs event-driven architectures autonomously; resolves ordering, delivery, and coupling concerns.</t>
  </si>
  <si>
    <t xml:space="preserve">Defines event-driven approaches teams adopt; solves the hardest decoupling and flow problems.</t>
  </si>
  <si>
    <t xml:space="preserve">Sets event-driven architecture strategy across systems; anticipates evolving messaging models.</t>
  </si>
  <si>
    <t xml:space="preserve">Defines authoritative practice for event-driven architecture; shapes industry understanding.</t>
  </si>
  <si>
    <t xml:space="preserve">BE-10</t>
  </si>
  <si>
    <t xml:space="preserve">Event modeling &amp; stream processing</t>
  </si>
  <si>
    <t xml:space="preserve">Models domain events and processes continuous streams for real-time and derived state.</t>
  </si>
  <si>
    <t xml:space="preserve">Implements simple stream consumers and event handlers under guidance.</t>
  </si>
  <si>
    <t xml:space="preserve">Builds standard stream-processing flows independently.</t>
  </si>
  <si>
    <t xml:space="preserve">Designs event models and stream pipelines autonomously; handles windowing and state.</t>
  </si>
  <si>
    <t xml:space="preserve">Defines stream-processing approaches teams adopt; solves hard ordering and throughput problems.</t>
  </si>
  <si>
    <t xml:space="preserve">Sets event-modeling and streaming strategy across systems; anticipates evolving processing needs.</t>
  </si>
  <si>
    <t xml:space="preserve">Shapes industry practice for event modeling and stream processing; pioneers influential approaches.</t>
  </si>
  <si>
    <t xml:space="preserve">BE-11</t>
  </si>
  <si>
    <t xml:space="preserve">Idempotency &amp; reliability patterns</t>
  </si>
  <si>
    <t xml:space="preserve">Applies idempotency, retries, deduplication, and delivery guarantees to make operations safely repeatable.</t>
  </si>
  <si>
    <t xml:space="preserve">Applies provided idempotency and retry patterns for simple cases under review.</t>
  </si>
  <si>
    <t xml:space="preserve">Implements standard reliability and retry handling independently.</t>
  </si>
  <si>
    <t xml:space="preserve">Designs idempotent, reliable flows autonomously; resolves duplicate and partial-failure cases.</t>
  </si>
  <si>
    <t xml:space="preserve">Defines reliability patterns teams adopt; solves the hardest exactly-once and recovery problems.</t>
  </si>
  <si>
    <t xml:space="preserve">Sets reliability and idempotency strategy across systems; anticipates evolving failure modes.</t>
  </si>
  <si>
    <t xml:space="preserve">Defines best practice for reliability patterns industrywide; shapes widely adopted approaches.</t>
  </si>
  <si>
    <t xml:space="preserve">BE-12</t>
  </si>
  <si>
    <t xml:space="preserve">Background processing &amp; scheduling</t>
  </si>
  <si>
    <t xml:space="preserve">Designs deferred, batched, and scheduled work to offload and coordinate long-running tasks.</t>
  </si>
  <si>
    <t xml:space="preserve">Implements simple background jobs following patterns under review.</t>
  </si>
  <si>
    <t xml:space="preserve">Builds standard scheduled and queued jobs independently.</t>
  </si>
  <si>
    <t xml:space="preserve">Designs background-processing systems autonomously; handles retries, concurrency, and timing.</t>
  </si>
  <si>
    <t xml:space="preserve">Defines background-processing approaches teams adopt; solves hard scheduling and throughput problems.</t>
  </si>
  <si>
    <t xml:space="preserve">Sets background-processing strategy across systems; anticipates evolving workload demands.</t>
  </si>
  <si>
    <t xml:space="preserve">Shapes industry practice for background processing and scheduling; pioneers influential approaches.</t>
  </si>
  <si>
    <t xml:space="preserve">BE-13</t>
  </si>
  <si>
    <t xml:space="preserve">Service Interfaces &amp; Protocols</t>
  </si>
  <si>
    <t xml:space="preserve">API contract &amp; versioning design</t>
  </si>
  <si>
    <t xml:space="preserve">Defines stable interface contracts, schemas, and versioning strategies for evolving consumers.</t>
  </si>
  <si>
    <t xml:space="preserve">Implements endpoints against existing contracts under review.</t>
  </si>
  <si>
    <t xml:space="preserve">Designs standard API contracts independently with consistent conventions.</t>
  </si>
  <si>
    <t xml:space="preserve">Designs API contracts and versioning autonomously; manages compatibility and evolution.</t>
  </si>
  <si>
    <t xml:space="preserve">Defines API-design approaches teams adopt; solves hard versioning and compatibility problems.</t>
  </si>
  <si>
    <t xml:space="preserve">Sets API contract and versioning strategy across the organization; anticipates evolving needs.</t>
  </si>
  <si>
    <t xml:space="preserve">Defines authoritative practice for API design; shapes industry standards and conventions.</t>
  </si>
  <si>
    <t xml:space="preserve">BE-14</t>
  </si>
  <si>
    <t xml:space="preserve">Synchronous &amp; asynchronous protocol design</t>
  </si>
  <si>
    <t xml:space="preserve">Chooses and designs request-response, streaming, and real-time communication protocols for service interaction.</t>
  </si>
  <si>
    <t xml:space="preserve">Implements communication over established protocols for simple cases under review.</t>
  </si>
  <si>
    <t xml:space="preserve">Builds standard synchronous and async interactions independently.</t>
  </si>
  <si>
    <t xml:space="preserve">Designs protocol interactions autonomously; chooses sync/async trade-offs and handles failures.</t>
  </si>
  <si>
    <t xml:space="preserve">Defines protocol-design approaches teams adopt; solves hard latency and coupling problems.</t>
  </si>
  <si>
    <t xml:space="preserve">Sets protocol-design strategy across systems; anticipates evolving communication models.</t>
  </si>
  <si>
    <t xml:space="preserve">Defines best practice for protocol design industrywide; shapes widely adopted approaches.</t>
  </si>
  <si>
    <t xml:space="preserve">BE-15</t>
  </si>
  <si>
    <t xml:space="preserve">Authentication &amp; authorization</t>
  </si>
  <si>
    <t xml:space="preserve">Designs identity, credential, token, and access-control mechanisms to protect services and data.</t>
  </si>
  <si>
    <t xml:space="preserve">Applies existing auth mechanisms to simple endpoints under review.</t>
  </si>
  <si>
    <t xml:space="preserve">Implements standard authentication and authorization flows independently.</t>
  </si>
  <si>
    <t xml:space="preserve">Designs auth models autonomously; resolves complex identity, token, and permission cases.</t>
  </si>
  <si>
    <t xml:space="preserve">Defines auth approaches teams adopt; solves the hardest access-control and trust problems.</t>
  </si>
  <si>
    <t xml:space="preserve">Sets authentication and authorization strategy across systems; anticipates evolving threats.</t>
  </si>
  <si>
    <t xml:space="preserve">Defines authoritative practice for auth; shapes industry standards and security understanding.</t>
  </si>
  <si>
    <t xml:space="preserve">BE-16</t>
  </si>
  <si>
    <t xml:space="preserve">Rate limiting &amp; traffic shaping</t>
  </si>
  <si>
    <t xml:space="preserve">Protects services with throttling, quotas, backpressure, and graceful degradation under load.</t>
  </si>
  <si>
    <t xml:space="preserve">Applies provided rate-limit rules to simple endpoints under guidance.</t>
  </si>
  <si>
    <t xml:space="preserve">Implements standard rate limiting and throttling independently.</t>
  </si>
  <si>
    <t xml:space="preserve">Designs traffic-shaping strategies autonomously; handles bursts, fairness, and backpressure.</t>
  </si>
  <si>
    <t xml:space="preserve">Defines rate-limiting approaches teams adopt; solves hard fairness and abuse problems.</t>
  </si>
  <si>
    <t xml:space="preserve">Sets traffic-management strategy across systems; anticipates evolving load and abuse patterns.</t>
  </si>
  <si>
    <t xml:space="preserve">Shapes industry practice for rate limiting and traffic shaping; pioneers influential approaches.</t>
  </si>
  <si>
    <t xml:space="preserve">BE-17</t>
  </si>
  <si>
    <t xml:space="preserve">Scalability &amp; Resilience</t>
  </si>
  <si>
    <t xml:space="preserve">Scalability &amp; load management</t>
  </si>
  <si>
    <t xml:space="preserve">Scales systems horizontally and vertically and distributes load to meet demand elastically.</t>
  </si>
  <si>
    <t xml:space="preserve">Applies known scaling adjustments to simple services under guidance.</t>
  </si>
  <si>
    <t xml:space="preserve">Implements standard scaling and load-handling measures independently.</t>
  </si>
  <si>
    <t xml:space="preserve">Designs scalable systems autonomously; resolves bottlenecks and load-distribution challenges.</t>
  </si>
  <si>
    <t xml:space="preserve">Defines scalability approaches teams adopt; solves the hardest scaling and contention problems.</t>
  </si>
  <si>
    <t xml:space="preserve">Sets scalability strategy across systems; anticipates growth and evolving load profiles.</t>
  </si>
  <si>
    <t xml:space="preserve">Defines authoritative practice for scalability; shapes industry understanding of scaling.</t>
  </si>
  <si>
    <t xml:space="preserve">BE-18</t>
  </si>
  <si>
    <t xml:space="preserve">Fault tolerance &amp; failure isolation</t>
  </si>
  <si>
    <t xml:space="preserve">Designs timeouts, retries, circuit breakers, and bulkheads to contain and survive partial failures.</t>
  </si>
  <si>
    <t xml:space="preserve">Applies provided resilience patterns to simple services under review.</t>
  </si>
  <si>
    <t xml:space="preserve">Implements standard fault-tolerance and isolation measures independently.</t>
  </si>
  <si>
    <t xml:space="preserve">Designs resilient systems autonomously; resolves cascading-failure and degradation concerns.</t>
  </si>
  <si>
    <t xml:space="preserve">Defines fault-tolerance approaches teams adopt; solves the hardest isolation and recovery problems.</t>
  </si>
  <si>
    <t xml:space="preserve">Sets resilience strategy across systems; anticipates emerging failure modes and risks.</t>
  </si>
  <si>
    <t xml:space="preserve">Defines best practice for fault tolerance industrywide; shapes widely adopted approaches.</t>
  </si>
  <si>
    <t xml:space="preserve">BE-19</t>
  </si>
  <si>
    <t xml:space="preserve">Capacity planning &amp; resource budgeting</t>
  </si>
  <si>
    <t xml:space="preserve">Behavioral</t>
  </si>
  <si>
    <t xml:space="preserve">Forecasts demand and provisions compute, storage, and connection resources against budgets.</t>
  </si>
  <si>
    <t xml:space="preserve">Gathers usage metrics and applies simple capacity estimates under guidance.</t>
  </si>
  <si>
    <t xml:space="preserve">Produces standard capacity forecasts and resource budgets independently.</t>
  </si>
  <si>
    <t xml:space="preserve">Plans capacity autonomously; models demand, headroom, and resource trade-offs.</t>
  </si>
  <si>
    <t xml:space="preserve">Defines capacity-planning approaches teams adopt; solves hard forecasting and efficiency problems.</t>
  </si>
  <si>
    <t xml:space="preserve">Sets capacity and resource-budgeting strategy across systems; anticipates long-term demand shifts.</t>
  </si>
  <si>
    <t xml:space="preserve">Shapes industry practice for capacity planning; pioneers influential approaches to resource budgeting.</t>
  </si>
  <si>
    <t xml:space="preserve">ARC-01</t>
  </si>
  <si>
    <t xml:space="preserve">Architecture &amp; System Design</t>
  </si>
  <si>
    <t xml:space="preserve">Architectural Styles &amp; Decomposition</t>
  </si>
  <si>
    <t xml:space="preserve">Architectural styles &amp; patterns</t>
  </si>
  <si>
    <t xml:space="preserve">Selects and applies layered, modular, service-oriented, and event-driven structural patterns to fit context.</t>
  </si>
  <si>
    <t xml:space="preserve">Applies a chosen architectural style to a component under guidance, following existing patterns.</t>
  </si>
  <si>
    <t xml:space="preserve">Implements standard styles independently for routine systems, selecting from familiar patterns.</t>
  </si>
  <si>
    <t xml:space="preserve">Selects and combines styles for ambiguous systems, justifying fit against constraints autonomously.</t>
  </si>
  <si>
    <t xml:space="preserve">Defines reference architectures and pattern catalogs others adopt across multiple systems.</t>
  </si>
  <si>
    <t xml:space="preserve">Sets the organization's architectural style strategy and anticipates emerging structural shifts.</t>
  </si>
  <si>
    <t xml:space="preserve">Originates architectural styles and patterns the wider industry recognizes and adopts.</t>
  </si>
  <si>
    <t xml:space="preserve">ARC-02</t>
  </si>
  <si>
    <t xml:space="preserve">Service decomposition &amp; boundary design</t>
  </si>
  <si>
    <t xml:space="preserve">Partitions systems into services and modules with clear ownership and coupling boundaries.</t>
  </si>
  <si>
    <t xml:space="preserve">Splits a service along boundaries already defined, with decomposition reviewed.</t>
  </si>
  <si>
    <t xml:space="preserve">Decomposes routine systems into services using established boundary heuristics independently.</t>
  </si>
  <si>
    <t xml:space="preserve">Designs boundaries for complex domains, resolving overlap and ownership ambiguity autonomously.</t>
  </si>
  <si>
    <t xml:space="preserve">Defines decomposition methods and boundary heuristics teams reuse across products.</t>
  </si>
  <si>
    <t xml:space="preserve">Sets enterprise-wide boundary and ownership strategy, anticipating decomposition pressures.</t>
  </si>
  <si>
    <t xml:space="preserve">Shapes how the industry reasons about service boundaries and decomposition.</t>
  </si>
  <si>
    <t xml:space="preserve">ARC-03</t>
  </si>
  <si>
    <t xml:space="preserve">Domain modeling</t>
  </si>
  <si>
    <t xml:space="preserve">Models business concepts, language, and boundaries to align software structure with the domain.</t>
  </si>
  <si>
    <t xml:space="preserve">Translates given domain rules into a model under review.</t>
  </si>
  <si>
    <t xml:space="preserve">Builds models for familiar domains independently, capturing standard entities and relationships.</t>
  </si>
  <si>
    <t xml:space="preserve">Models ambiguous domains, surfacing hidden invariants and resolving conflicting expert input.</t>
  </si>
  <si>
    <t xml:space="preserve">Defines modeling approaches and shared language others apply across domains.</t>
  </si>
  <si>
    <t xml:space="preserve">Sets domain-modeling strategy and standards organization-wide, anticipating evolution.</t>
  </si>
  <si>
    <t xml:space="preserve">Advances domain-modeling practice recognized and taught across the industry.</t>
  </si>
  <si>
    <t xml:space="preserve">ARC-04</t>
  </si>
  <si>
    <t xml:space="preserve">Coupling, cohesion &amp; dependency management</t>
  </si>
  <si>
    <t xml:space="preserve">Manages dependencies and direction of coupling to keep components changeable and independently deployable.</t>
  </si>
  <si>
    <t xml:space="preserve">Removes obvious dependencies and follows cohesion guidance under review.</t>
  </si>
  <si>
    <t xml:space="preserve">Manages coupling in routine modules independently, applying standard dependency rules.</t>
  </si>
  <si>
    <t xml:space="preserve">Diagnoses and restructures tangled dependencies in complex systems autonomously.</t>
  </si>
  <si>
    <t xml:space="preserve">Defines dependency governance and cohesion principles teams adopt.</t>
  </si>
  <si>
    <t xml:space="preserve">Sets organization-wide coupling strategy and anticipates structural debt accumulation.</t>
  </si>
  <si>
    <t xml:space="preserve">Defines what healthy coupling means for the discipline, influencing wider practice.</t>
  </si>
  <si>
    <t xml:space="preserve">ARC-05</t>
  </si>
  <si>
    <t xml:space="preserve">Distributed Coordination</t>
  </si>
  <si>
    <t xml:space="preserve">Consistency models</t>
  </si>
  <si>
    <t xml:space="preserve">Reasons about strong, eventual, and causal consistency to choose correct guarantees per use case.</t>
  </si>
  <si>
    <t xml:space="preserve">Applies a specified consistency model under guidance, with choices reviewed.</t>
  </si>
  <si>
    <t xml:space="preserve">Selects standard consistency models for routine cases independently.</t>
  </si>
  <si>
    <t xml:space="preserve">Chooses and reasons about consistency trade-offs in ambiguous distributed scenarios autonomously.</t>
  </si>
  <si>
    <t xml:space="preserve">Defines consistency-model guidance others rely on for hard correctness problems.</t>
  </si>
  <si>
    <t xml:space="preserve">Sets consistency strategy across systems and anticipates new model needs.</t>
  </si>
  <si>
    <t xml:space="preserve">Advances how the industry understands and applies consistency models.</t>
  </si>
  <si>
    <t xml:space="preserve">ARC-06</t>
  </si>
  <si>
    <t xml:space="preserve">Consensus &amp; coordination</t>
  </si>
  <si>
    <t xml:space="preserve">Applies leader election, distributed locks, and consensus to coordinate state across nodes.</t>
  </si>
  <si>
    <t xml:space="preserve">Configures coordination using established primitives under review.</t>
  </si>
  <si>
    <t xml:space="preserve">Applies standard consensus and coordination mechanisms to routine problems independently.</t>
  </si>
  <si>
    <t xml:space="preserve">Designs coordination for complex failure scenarios, resolving liveness and safety trade-offs autonomously.</t>
  </si>
  <si>
    <t xml:space="preserve">Defines coordination approaches others adopt and solves intractable agreement problems.</t>
  </si>
  <si>
    <t xml:space="preserve">Sets coordination strategy organization-wide, anticipating distributed-coordination challenges.</t>
  </si>
  <si>
    <t xml:space="preserve">Shapes industry understanding of consensus and coordination.</t>
  </si>
  <si>
    <t xml:space="preserve">ARC-07</t>
  </si>
  <si>
    <t xml:space="preserve">Distributed transactions &amp; saga design</t>
  </si>
  <si>
    <t xml:space="preserve">Coordinates multi-service state changes using sagas, compensations, and eventual consistency.</t>
  </si>
  <si>
    <t xml:space="preserve">Implements a defined saga or transaction flow under review.</t>
  </si>
  <si>
    <t xml:space="preserve">Builds standard distributed transactions and compensations independently for routine flows.</t>
  </si>
  <si>
    <t xml:space="preserve">Designs saga and consistency-recovery patterns for complex multi-step flows autonomously.</t>
  </si>
  <si>
    <t xml:space="preserve">Defines distributed-transaction patterns and failure-handling approaches teams adopt.</t>
  </si>
  <si>
    <t xml:space="preserve">Sets strategy for cross-system transactional integrity, anticipating coordination needs.</t>
  </si>
  <si>
    <t xml:space="preserve">Defines best practice for distributed transactions across the industry.</t>
  </si>
  <si>
    <t xml:space="preserve">ARC-08</t>
  </si>
  <si>
    <t xml:space="preserve">System Quality &amp; Trade-offs</t>
  </si>
  <si>
    <t xml:space="preserve">Capacity estimation &amp; back-of-envelope modeling</t>
  </si>
  <si>
    <t xml:space="preserve">Estimates load, storage, and bandwidth to size systems and validate feasibility early.</t>
  </si>
  <si>
    <t xml:space="preserve">Performs simple capacity calculations from given assumptions under review.</t>
  </si>
  <si>
    <t xml:space="preserve">Estimates capacity for routine systems independently using standard models.</t>
  </si>
  <si>
    <t xml:space="preserve">Builds defensible capacity models for ambiguous, large-scale systems autonomously.</t>
  </si>
  <si>
    <t xml:space="preserve">Defines estimation methods and reference figures others reuse.</t>
  </si>
  <si>
    <t xml:space="preserve">Sets capacity-planning strategy and anticipates scaling inflection points organization-wide.</t>
  </si>
  <si>
    <t xml:space="preserve">Advances how the discipline approaches capacity modeling.</t>
  </si>
  <si>
    <t xml:space="preserve">ARC-09</t>
  </si>
  <si>
    <t xml:space="preserve">Non-functional requirement design</t>
  </si>
  <si>
    <t xml:space="preserve">Designs for latency, availability, durability, and consistency targets as first-class constraints.</t>
  </si>
  <si>
    <t xml:space="preserve">Documents non-functional requirements from given targets under review.</t>
  </si>
  <si>
    <t xml:space="preserve">Defines standard non-functional requirements independently for routine systems.</t>
  </si>
  <si>
    <t xml:space="preserve">Elicits and reconciles conflicting quality requirements in ambiguous contexts autonomously.</t>
  </si>
  <si>
    <t xml:space="preserve">Defines NFR frameworks and quality taxonomies others adopt.</t>
  </si>
  <si>
    <t xml:space="preserve">Sets organization-wide quality-attribute strategy, anticipating emerging non-functional concerns.</t>
  </si>
  <si>
    <t xml:space="preserve">Shapes industry practice for defining and reasoning about system qualities.</t>
  </si>
  <si>
    <t xml:space="preserve">ARC-10</t>
  </si>
  <si>
    <t xml:space="preserve">Architectural trade-off analysis</t>
  </si>
  <si>
    <t xml:space="preserve">Evaluates and justifies design options against competing quality attributes and constraints.</t>
  </si>
  <si>
    <t xml:space="preserve">Compares options against given criteria under review.</t>
  </si>
  <si>
    <t xml:space="preserve">Evaluates standard trade-offs independently for routine architectural choices.</t>
  </si>
  <si>
    <t xml:space="preserve">Structures and defends trade-off decisions for ambiguous, high-stakes designs autonomously.</t>
  </si>
  <si>
    <t xml:space="preserve">Defines trade-off analysis methods and decision frameworks others adopt.</t>
  </si>
  <si>
    <t xml:space="preserve">Sets how the organization makes architectural trade-offs, anticipating future tensions.</t>
  </si>
  <si>
    <t xml:space="preserve">Advances trade-off-analysis practice recognized across the industry.</t>
  </si>
  <si>
    <t xml:space="preserve">CS-01</t>
  </si>
  <si>
    <t xml:space="preserve">Computer Science Foundations</t>
  </si>
  <si>
    <t xml:space="preserve">Data Structures &amp; Algorithms</t>
  </si>
  <si>
    <t xml:space="preserve">Algorithmic problem solving</t>
  </si>
  <si>
    <t xml:space="preserve">Selects data structures and algorithmic strategies to solve problems correctly and efficiently.</t>
  </si>
  <si>
    <t xml:space="preserve">Solves well-defined problems using known algorithms under review.</t>
  </si>
  <si>
    <t xml:space="preserve">Selects and applies appropriate algorithms to routine problems independently.</t>
  </si>
  <si>
    <t xml:space="preserve">Devises efficient solutions for novel, ambiguous problems autonomously.</t>
  </si>
  <si>
    <t xml:space="preserve">Defines solution approaches and decomposition techniques others learn from.</t>
  </si>
  <si>
    <t xml:space="preserve">Sets standards for algorithmic problem solving and anticipates new problem classes.</t>
  </si>
  <si>
    <t xml:space="preserve">Originates algorithmic techniques the wider field adopts.</t>
  </si>
  <si>
    <t xml:space="preserve">CS-02</t>
  </si>
  <si>
    <t xml:space="preserve">Computational complexity analysis</t>
  </si>
  <si>
    <t xml:space="preserve">Analyzes time and space complexity to compare approaches and predict scaling behavior.</t>
  </si>
  <si>
    <t xml:space="preserve">Determines complexity of simple algorithms under review.</t>
  </si>
  <si>
    <t xml:space="preserve">Analyzes time and space complexity of routine algorithms independently.</t>
  </si>
  <si>
    <t xml:space="preserve">Analyzes and optimizes complexity for intricate algorithms autonomously.</t>
  </si>
  <si>
    <t xml:space="preserve">Defines complexity-analysis methods and teaches rigorous reasoning to others.</t>
  </si>
  <si>
    <t xml:space="preserve">Sets standards for complexity reasoning, anticipating where bottlenecks emerge.</t>
  </si>
  <si>
    <t xml:space="preserve">Advances how the field reasons about computational complexity.</t>
  </si>
  <si>
    <t xml:space="preserve">CS-03</t>
  </si>
  <si>
    <t xml:space="preserve">Core data structure design</t>
  </si>
  <si>
    <t xml:space="preserve">Applies and adapts foundational structures like trees, graphs, hashes, and heaps to model problems.</t>
  </si>
  <si>
    <t xml:space="preserve">Uses appropriate standard data structures under guidance.</t>
  </si>
  <si>
    <t xml:space="preserve">Selects and adapts standard structures for routine needs independently.</t>
  </si>
  <si>
    <t xml:space="preserve">Designs custom structures balancing competing constraints for hard cases autonomously.</t>
  </si>
  <si>
    <t xml:space="preserve">Defines structure-selection principles and novel structures others adopt.</t>
  </si>
  <si>
    <t xml:space="preserve">Sets data-structure strategy and anticipates evolving access patterns.</t>
  </si>
  <si>
    <t xml:space="preserve">Originates data structures recognized and used across the industry.</t>
  </si>
  <si>
    <t xml:space="preserve">CS-04</t>
  </si>
  <si>
    <t xml:space="preserve">Concurrency &amp; Computation</t>
  </si>
  <si>
    <t xml:space="preserve">Concurrency &amp; parallelism</t>
  </si>
  <si>
    <t xml:space="preserve">Designs concurrent and parallel execution using synchronization, isolation, and shared-state discipline.</t>
  </si>
  <si>
    <t xml:space="preserve">Writes concurrent code using given primitives under review.</t>
  </si>
  <si>
    <t xml:space="preserve">Implements standard concurrent patterns independently for routine workloads.</t>
  </si>
  <si>
    <t xml:space="preserve">Designs correct, efficient concurrency for complex shared-state problems autonomously.</t>
  </si>
  <si>
    <t xml:space="preserve">Defines concurrency patterns and reasoning others adopt to avoid subtle defects.</t>
  </si>
  <si>
    <t xml:space="preserve">Sets concurrency strategy organization-wide, anticipating parallelism challenges.</t>
  </si>
  <si>
    <t xml:space="preserve">Shapes industry understanding of concurrency and parallelism.</t>
  </si>
  <si>
    <t xml:space="preserve">CS-05</t>
  </si>
  <si>
    <t xml:space="preserve">Memory &amp; resource management</t>
  </si>
  <si>
    <t xml:space="preserve">Reasons about allocation, references, and lifetimes to use memory and resources safely and efficiently.</t>
  </si>
  <si>
    <t xml:space="preserve">Manages memory and resources following established patterns under review.</t>
  </si>
  <si>
    <t xml:space="preserve">Handles standard allocation and cleanup independently for routine code.</t>
  </si>
  <si>
    <t xml:space="preserve">Diagnoses and resolves complex leaks, contention, and lifetime issues autonomously.</t>
  </si>
  <si>
    <t xml:space="preserve">Defines resource-management approaches others adopt for hard cases.</t>
  </si>
  <si>
    <t xml:space="preserve">Sets resource-management strategy, anticipating efficiency and lifetime concerns.</t>
  </si>
  <si>
    <t xml:space="preserve">Advances how the discipline reasons about memory and resource management.</t>
  </si>
  <si>
    <t xml:space="preserve">CS-06</t>
  </si>
  <si>
    <t xml:space="preserve">Computation &amp; execution models</t>
  </si>
  <si>
    <t xml:space="preserve">Understands how programs map to processes, threads, scheduling, and the underlying machine.</t>
  </si>
  <si>
    <t xml:space="preserve">Reasons about basic execution behavior under guidance.</t>
  </si>
  <si>
    <t xml:space="preserve">Applies standard execution-model knowledge to routine work independently.</t>
  </si>
  <si>
    <t xml:space="preserve">Leverages deep execution-model understanding to solve subtle behavioral problems autonomously.</t>
  </si>
  <si>
    <t xml:space="preserve">Defines execution-model guidance others rely on for performance and correctness.</t>
  </si>
  <si>
    <t xml:space="preserve">Sets standards for execution-model reasoning, anticipating model shifts.</t>
  </si>
  <si>
    <t xml:space="preserve">Advances the field's understanding of computation and execution models.</t>
  </si>
  <si>
    <t xml:space="preserve">CS-07</t>
  </si>
  <si>
    <t xml:space="preserve">Systems &amp; Networking Fundamentals</t>
  </si>
  <si>
    <t xml:space="preserve">Networking &amp; protocol fundamentals</t>
  </si>
  <si>
    <t xml:space="preserve">Applies layered networking, addressing, and transport concepts that underpin distributed communication.</t>
  </si>
  <si>
    <t xml:space="preserve">Diagnoses basic connectivity using given tools under review.</t>
  </si>
  <si>
    <t xml:space="preserve">Applies standard protocol knowledge to routine networking tasks independently.</t>
  </si>
  <si>
    <t xml:space="preserve">Diagnoses and designs around complex protocol and network behavior autonomously.</t>
  </si>
  <si>
    <t xml:space="preserve">Defines protocol-usage guidance and solves obscure networking problems for others.</t>
  </si>
  <si>
    <t xml:space="preserve">Sets networking strategy and anticipates protocol-level shifts.</t>
  </si>
  <si>
    <t xml:space="preserve">Shapes industry understanding of networking and protocols.</t>
  </si>
  <si>
    <t xml:space="preserve">CS-08</t>
  </si>
  <si>
    <t xml:space="preserve">Operating system &amp; runtime fundamentals</t>
  </si>
  <si>
    <t xml:space="preserve">Leverages OS-level concepts of processes, I/O, and resource isolation to reason about runtime behavior.</t>
  </si>
  <si>
    <t xml:space="preserve">Uses OS and runtime features following guidance under review.</t>
  </si>
  <si>
    <t xml:space="preserve">Applies standard OS and runtime knowledge to routine tasks independently.</t>
  </si>
  <si>
    <t xml:space="preserve">Diagnoses subtle OS and runtime interactions for hard problems autonomously.</t>
  </si>
  <si>
    <t xml:space="preserve">Defines runtime-behavior guidance others rely on.</t>
  </si>
  <si>
    <t xml:space="preserve">Sets standards for OS and runtime reasoning, anticipating platform shifts.</t>
  </si>
  <si>
    <t xml:space="preserve">Advances the field's understanding of operating-system and runtime behavior.</t>
  </si>
  <si>
    <t xml:space="preserve">CS-09</t>
  </si>
  <si>
    <t xml:space="preserve">Data encoding &amp; serialization</t>
  </si>
  <si>
    <t xml:space="preserve">Chooses encoding, serialization, and schema-evolution formats for storage and cross-service exchange.</t>
  </si>
  <si>
    <t xml:space="preserve">Applies given encoding and serialization formats under review.</t>
  </si>
  <si>
    <t xml:space="preserve">Selects and uses standard serialization formats independently for routine data.</t>
  </si>
  <si>
    <t xml:space="preserve">Designs encoding schemes balancing compatibility and efficiency for hard cases autonomously.</t>
  </si>
  <si>
    <t xml:space="preserve">Defines serialization and schema-evolution approaches others adopt.</t>
  </si>
  <si>
    <t xml:space="preserve">Sets encoding strategy organization-wide, anticipating interchange needs.</t>
  </si>
  <si>
    <t xml:space="preserve">Advances industry practice for data encoding and serialization.</t>
  </si>
  <si>
    <t xml:space="preserve">MOB-01</t>
  </si>
  <si>
    <t xml:space="preserve">Mobile Engineering</t>
  </si>
  <si>
    <t xml:space="preserve">Mobile UI &amp; Interaction</t>
  </si>
  <si>
    <t xml:space="preserve">Native mobile UI construction</t>
  </si>
  <si>
    <t xml:space="preserve">Building screens and views with platform UI paradigms, navigation patterns, and lifecycle awareness.</t>
  </si>
  <si>
    <t xml:space="preserve">Builds UI screens from given designs using standard components under review.</t>
  </si>
  <si>
    <t xml:space="preserve">Constructs standard native interfaces independently for routine screens.</t>
  </si>
  <si>
    <t xml:space="preserve">Builds complex, polished native UI resolving tricky layout and rendering cases autonomously.</t>
  </si>
  <si>
    <t xml:space="preserve">Defines UI-construction patterns and component libraries others adopt.</t>
  </si>
  <si>
    <t xml:space="preserve">Sets native-UI standards and anticipates platform UI evolution.</t>
  </si>
  <si>
    <t xml:space="preserve">Shapes industry practice for native mobile UI construction.</t>
  </si>
  <si>
    <t xml:space="preserve">MOB-02</t>
  </si>
  <si>
    <t xml:space="preserve">Touch &amp; gesture interaction design</t>
  </si>
  <si>
    <t xml:space="preserve">Implementing touch, gesture, and input handling aligned with mobile interaction conventions.</t>
  </si>
  <si>
    <t xml:space="preserve">Wires up standard touch handlers following guidance under review.</t>
  </si>
  <si>
    <t xml:space="preserve">Implements common gestures and touch interactions independently for routine flows.</t>
  </si>
  <si>
    <t xml:space="preserve">Designs complex, conflict-free gesture systems with natural feel autonomously.</t>
  </si>
  <si>
    <t xml:space="preserve">Defines gesture-interaction patterns others adopt across apps.</t>
  </si>
  <si>
    <t xml:space="preserve">Sets interaction standards and anticipates new input paradigms.</t>
  </si>
  <si>
    <t xml:space="preserve">Advances industry practice for touch and gesture interaction.</t>
  </si>
  <si>
    <t xml:space="preserve">MOB-03</t>
  </si>
  <si>
    <t xml:space="preserve">Adaptive layout for device fragmentation</t>
  </si>
  <si>
    <t xml:space="preserve">Adapting layouts across varied screen sizes, densities, form factors, and orientations.</t>
  </si>
  <si>
    <t xml:space="preserve">Adjusts layouts for given screen sizes following guidance under review.</t>
  </si>
  <si>
    <t xml:space="preserve">Builds responsive layouts independently for common device classes.</t>
  </si>
  <si>
    <t xml:space="preserve">Designs layouts robust across the full fragmentation spectrum autonomously.</t>
  </si>
  <si>
    <t xml:space="preserve">Defines adaptive-layout strategies and breakpoint systems others adopt.</t>
  </si>
  <si>
    <t xml:space="preserve">Sets fragmentation-handling standards, anticipating new form factors.</t>
  </si>
  <si>
    <t xml:space="preserve">Shapes industry practice for adaptive layout across devices.</t>
  </si>
  <si>
    <t xml:space="preserve">MOB-04</t>
  </si>
  <si>
    <t xml:space="preserve">Device Platform Integration</t>
  </si>
  <si>
    <t xml:space="preserve">Device sensor &amp; hardware integration</t>
  </si>
  <si>
    <t xml:space="preserve">Accessing cameras, sensors, location, and other on-device hardware through platform interfaces.</t>
  </si>
  <si>
    <t xml:space="preserve">Reads sensors using given APIs under review.</t>
  </si>
  <si>
    <t xml:space="preserve">Integrates standard sensors and hardware independently for routine features.</t>
  </si>
  <si>
    <t xml:space="preserve">Designs robust sensor fusion and hardware handling for complex cases autonomously.</t>
  </si>
  <si>
    <t xml:space="preserve">Defines sensor-integration patterns others adopt.</t>
  </si>
  <si>
    <t xml:space="preserve">Sets hardware-integration strategy, anticipating new sensor capabilities.</t>
  </si>
  <si>
    <t xml:space="preserve">Advances industry practice for device sensor and hardware integration.</t>
  </si>
  <si>
    <t xml:space="preserve">MOB-05</t>
  </si>
  <si>
    <t xml:space="preserve">Platform permissions &amp; privacy controls</t>
  </si>
  <si>
    <t xml:space="preserve">Requesting, managing, and respecting runtime permissions and platform privacy requirements.</t>
  </si>
  <si>
    <t xml:space="preserve">Requests permissions following platform guidance under review.</t>
  </si>
  <si>
    <t xml:space="preserve">Implements standard permission and privacy flows independently.</t>
  </si>
  <si>
    <t xml:space="preserve">Designs privacy-respecting permission strategies for complex data needs autonomously.</t>
  </si>
  <si>
    <t xml:space="preserve">Defines permission and privacy patterns others adopt across apps.</t>
  </si>
  <si>
    <t xml:space="preserve">Sets privacy-control strategy, anticipating regulatory and platform shifts.</t>
  </si>
  <si>
    <t xml:space="preserve">Shapes industry practice for mobile permissions and privacy.</t>
  </si>
  <si>
    <t xml:space="preserve">MOB-06</t>
  </si>
  <si>
    <t xml:space="preserve">Push notifications &amp; background processing</t>
  </si>
  <si>
    <t xml:space="preserve">Implementing remote messaging and background tasks within platform execution constraints.</t>
  </si>
  <si>
    <t xml:space="preserve">Implements basic notifications and background tasks following guidance under review.</t>
  </si>
  <si>
    <t xml:space="preserve">Builds standard push and background workflows independently for routine needs.</t>
  </si>
  <si>
    <t xml:space="preserve">Designs reliable notification and background systems under platform constraints autonomously.</t>
  </si>
  <si>
    <t xml:space="preserve">Defines push and background-processing patterns others adopt.</t>
  </si>
  <si>
    <t xml:space="preserve">Sets notification and background strategy, anticipating platform restrictions.</t>
  </si>
  <si>
    <t xml:space="preserve">Advances industry practice for push and background processing.</t>
  </si>
  <si>
    <t xml:space="preserve">MOB-07</t>
  </si>
  <si>
    <t xml:space="preserve">Mobile Runtime Quality</t>
  </si>
  <si>
    <t xml:space="preserve">Mobile app lifecycle &amp; state restoration</t>
  </si>
  <si>
    <t xml:space="preserve">Managing app and process lifecycle, suspension, and seamless state restoration across interruptions.</t>
  </si>
  <si>
    <t xml:space="preserve">Handles lifecycle callbacks following given patterns under review.</t>
  </si>
  <si>
    <t xml:space="preserve">Implements standard state save and restore independently for routine flows.</t>
  </si>
  <si>
    <t xml:space="preserve">Designs robust lifecycle and restoration handling for complex state autonomously.</t>
  </si>
  <si>
    <t xml:space="preserve">Defines lifecycle and restoration patterns others adopt.</t>
  </si>
  <si>
    <t xml:space="preserve">Sets state-management standards across apps, anticipating lifecycle changes.</t>
  </si>
  <si>
    <t xml:space="preserve">Shapes industry practice for app lifecycle and state restoration.</t>
  </si>
  <si>
    <t xml:space="preserve">MOB-08</t>
  </si>
  <si>
    <t xml:space="preserve">Mobile performance, memory &amp; battery optimization</t>
  </si>
  <si>
    <t xml:space="preserve">Optimizing responsiveness, memory footprint, and energy use under constrained device resources.</t>
  </si>
  <si>
    <t xml:space="preserve">Applies given optimizations and measures with provided tools under review.</t>
  </si>
  <si>
    <t xml:space="preserve">Profiles and fixes common performance and memory issues independently.</t>
  </si>
  <si>
    <t xml:space="preserve">Diagnoses and resolves complex performance, memory, and battery problems autonomously.</t>
  </si>
  <si>
    <t xml:space="preserve">Defines optimization methods and budgets others adopt.</t>
  </si>
  <si>
    <t xml:space="preserve">Sets mobile-performance strategy, anticipating efficiency challenges.</t>
  </si>
  <si>
    <t xml:space="preserve">Advances industry practice for mobile performance and efficiency.</t>
  </si>
  <si>
    <t xml:space="preserve">MOB-09</t>
  </si>
  <si>
    <t xml:space="preserve">Offline-first data &amp; local persistence</t>
  </si>
  <si>
    <t xml:space="preserve">Persisting data locally and synchronizing reliably across unreliable mobile connectivity.</t>
  </si>
  <si>
    <t xml:space="preserve">Implements local storage following given patterns under review.</t>
  </si>
  <si>
    <t xml:space="preserve">Builds standard offline storage and caching independently for routine cases.</t>
  </si>
  <si>
    <t xml:space="preserve">Designs robust offline-first sync and conflict resolution for complex data autonomously.</t>
  </si>
  <si>
    <t xml:space="preserve">Defines offline-first patterns and sync strategies others adopt.</t>
  </si>
  <si>
    <t xml:space="preserve">Sets local-persistence strategy, anticipating connectivity and sync needs.</t>
  </si>
  <si>
    <t xml:space="preserve">Shapes industry practice for offline-first data.</t>
  </si>
  <si>
    <t xml:space="preserve">MOB-10</t>
  </si>
  <si>
    <t xml:space="preserve">Cross-platform mobile development</t>
  </si>
  <si>
    <t xml:space="preserve">Sharing logic and UI across platforms while honoring each platform's conventions and capabilities.</t>
  </si>
  <si>
    <t xml:space="preserve">Builds shared features following established cross-platform patterns under review.</t>
  </si>
  <si>
    <t xml:space="preserve">Implements standard cross-platform components independently for routine needs.</t>
  </si>
  <si>
    <t xml:space="preserve">Designs cross-platform architecture balancing sharing and platform fidelity autonomously.</t>
  </si>
  <si>
    <t xml:space="preserve">Defines cross-platform approaches and abstractions others adopt.</t>
  </si>
  <si>
    <t xml:space="preserve">Sets cross-platform strategy, anticipating platform divergence.</t>
  </si>
  <si>
    <t xml:space="preserve">Advances industry practice for cross-platform mobile development.</t>
  </si>
  <si>
    <t xml:space="preserve">MOB-11</t>
  </si>
  <si>
    <t xml:space="preserve">Release &amp; Distribution</t>
  </si>
  <si>
    <t xml:space="preserve">Mobile release &amp; store delivery</t>
  </si>
  <si>
    <t xml:space="preserve">Packaging, signing, submitting, and managing app distribution through store review and rollout processes.</t>
  </si>
  <si>
    <t xml:space="preserve">Prepares release builds and submissions following given steps under review.</t>
  </si>
  <si>
    <t xml:space="preserve">Manages standard store submission and release processes independently.</t>
  </si>
  <si>
    <t xml:space="preserve">Designs release pipelines handling complex store and rollout requirements autonomously.</t>
  </si>
  <si>
    <t xml:space="preserve">Defines release and store-delivery practices others adopt.</t>
  </si>
  <si>
    <t xml:space="preserve">Sets release strategy, anticipating store-policy and distribution shifts.</t>
  </si>
  <si>
    <t xml:space="preserve">Shapes industry practice for mobile release and store delivery.</t>
  </si>
  <si>
    <t xml:space="preserve">MOB-12</t>
  </si>
  <si>
    <t xml:space="preserve">Over-the-air updates &amp; version adoption</t>
  </si>
  <si>
    <t xml:space="preserve">Delivering updates and managing fragmented version adoption across an installed user base.</t>
  </si>
  <si>
    <t xml:space="preserve">Ships OTA updates following given configuration under review.</t>
  </si>
  <si>
    <t xml:space="preserve">Manages standard OTA delivery and version targeting independently.</t>
  </si>
  <si>
    <t xml:space="preserve">Designs safe OTA rollout and adoption strategies for complex fleets autonomously.</t>
  </si>
  <si>
    <t xml:space="preserve">Defines OTA-update and adoption-management patterns others adopt.</t>
  </si>
  <si>
    <t xml:space="preserve">Sets update-delivery strategy, anticipating version-fragmentation challenges.</t>
  </si>
  <si>
    <t xml:space="preserve">Advances industry practice for over-the-air updates and version adoption.</t>
  </si>
  <si>
    <t xml:space="preserve">DATA-01</t>
  </si>
  <si>
    <t xml:space="preserve">Data Engineering &amp; Analytics</t>
  </si>
  <si>
    <t xml:space="preserve">Data Pipelines &amp; Integration</t>
  </si>
  <si>
    <t xml:space="preserve">Batch &amp; streaming pipeline design</t>
  </si>
  <si>
    <t xml:space="preserve">Designs batch and real-time data flows that move and transform data reliably at scale.</t>
  </si>
  <si>
    <t xml:space="preserve">Builds simple batch jobs from clear specs, with output and logic reviewed.</t>
  </si>
  <si>
    <t xml:space="preserve">Designs routine batch or streaming pipelines independently, handling common volume and ordering cases.</t>
  </si>
  <si>
    <t xml:space="preserve">Designs robust pipelines for ambiguous workloads, balancing latency, throughput, and cost autonomously.</t>
  </si>
  <si>
    <t xml:space="preserve">Defines reusable pipeline patterns others adopt and resolves intractable backpressure or exactly-once problems.</t>
  </si>
  <si>
    <t xml:space="preserve">Sets the organization's batch-versus-streaming strategy and anticipates emerging processing paradigms.</t>
  </si>
  <si>
    <t xml:space="preserve">Defines what good pipeline architecture means industry-wide and is externally recognized for it.</t>
  </si>
  <si>
    <t xml:space="preserve">DATA-02</t>
  </si>
  <si>
    <t xml:space="preserve">Data ingestion &amp; integration</t>
  </si>
  <si>
    <t xml:space="preserve">Acquires and consolidates data from heterogeneous internal and external sources into usable form.</t>
  </si>
  <si>
    <t xml:space="preserve">Connects to documented sources and loads data under guidance, with mappings reviewed.</t>
  </si>
  <si>
    <t xml:space="preserve">Independently integrates standard sources, handling routine schema and format variation.</t>
  </si>
  <si>
    <t xml:space="preserve">Reliably integrates messy, undocumented, or high-volume sources and resolves hard reconciliation cases.</t>
  </si>
  <si>
    <t xml:space="preserve">Defines ingestion frameworks and connector patterns others reuse across diverse source types.</t>
  </si>
  <si>
    <t xml:space="preserve">Sets integration strategy and standards, anticipating new source modalities and protocols.</t>
  </si>
  <si>
    <t xml:space="preserve">Shapes industry practice for source integration and is externally credible on the topic.</t>
  </si>
  <si>
    <t xml:space="preserve">DATA-03</t>
  </si>
  <si>
    <t xml:space="preserve">Workflow orchestration &amp; scheduling</t>
  </si>
  <si>
    <t xml:space="preserve">Coordinates dependent data tasks into reliable, repeatable, scheduled pipelines.</t>
  </si>
  <si>
    <t xml:space="preserve">Configures predefined workflow steps and dependencies under review.</t>
  </si>
  <si>
    <t xml:space="preserve">Builds and schedules routine multi-step workflows independently with normal retry handling.</t>
  </si>
  <si>
    <t xml:space="preserve">Orchestrates complex interdependent workflows autonomously, resolving tricky timing and failure cases.</t>
  </si>
  <si>
    <t xml:space="preserve">Defines orchestration patterns and guardrails others adopt for reliability at scale.</t>
  </si>
  <si>
    <t xml:space="preserve">Sets orchestration strategy and standards, anticipating shifts in scheduling and dependency management.</t>
  </si>
  <si>
    <t xml:space="preserve">Defines best practice for workflow orchestration across the discipline and is externally recognized.</t>
  </si>
  <si>
    <t xml:space="preserve">DATA-04</t>
  </si>
  <si>
    <t xml:space="preserve">Change data capture &amp; incremental processing</t>
  </si>
  <si>
    <t xml:space="preserve">Captures and propagates source data changes efficiently without full reprocessing.</t>
  </si>
  <si>
    <t xml:space="preserve">Runs configured incremental loads and verifies row counts under guidance.</t>
  </si>
  <si>
    <t xml:space="preserve">Implements standard change-capture and incremental jobs independently for common scenarios.</t>
  </si>
  <si>
    <t xml:space="preserve">Designs reliable incremental processing for late-arriving, out-of-order, or deleted-record cases autonomously.</t>
  </si>
  <si>
    <t xml:space="preserve">Defines incremental and capture patterns others adopt to guarantee correctness and replayability.</t>
  </si>
  <si>
    <t xml:space="preserve">Sets the strategy for change propagation and anticipates evolving capture techniques.</t>
  </si>
  <si>
    <t xml:space="preserve">Defines industry standards for change data capture and is externally credible.</t>
  </si>
  <si>
    <t xml:space="preserve">DATA-05</t>
  </si>
  <si>
    <t xml:space="preserve">Data Modeling &amp; Storage</t>
  </si>
  <si>
    <t xml:space="preserve">Data modeling &amp; warehousing</t>
  </si>
  <si>
    <t xml:space="preserve">Structures data into warehouses and lakes optimized for storage, access, and analytics.</t>
  </si>
  <si>
    <t xml:space="preserve">Implements predefined tables and relationships under review.</t>
  </si>
  <si>
    <t xml:space="preserve">Designs standard warehouse models independently for routine subject areas.</t>
  </si>
  <si>
    <t xml:space="preserve">Models ambiguous domains autonomously, resolving hard normalization and historization trade-offs.</t>
  </si>
  <si>
    <t xml:space="preserve">Defines modeling conventions and warehouse architecture others adopt.</t>
  </si>
  <si>
    <t xml:space="preserve">Sets enterprise data-modeling strategy and anticipates shifts in storage paradigms.</t>
  </si>
  <si>
    <t xml:space="preserve">Defines what good warehouse modeling means industry-wide and is externally recognized.</t>
  </si>
  <si>
    <t xml:space="preserve">DATA-06</t>
  </si>
  <si>
    <t xml:space="preserve">Dimensional &amp; analytics modeling</t>
  </si>
  <si>
    <t xml:space="preserve">Designs facts, dimensions, and analytical schemas that make data intuitive to query.</t>
  </si>
  <si>
    <t xml:space="preserve">Builds facts and dimensions from supplied designs under review.</t>
  </si>
  <si>
    <t xml:space="preserve">Designs standard star schemas independently for routine analytics needs.</t>
  </si>
  <si>
    <t xml:space="preserve">Models complex grains, slowly-changing dimensions, and conformance issues autonomously.</t>
  </si>
  <si>
    <t xml:space="preserve">Defines dimensional modeling patterns and conformed-dimension standards others adopt.</t>
  </si>
  <si>
    <t xml:space="preserve">Sets dimensional strategy across analytics domains and anticipates modeling evolution.</t>
  </si>
  <si>
    <t xml:space="preserve">Shapes industry practice for dimensional modeling and is externally credible.</t>
  </si>
  <si>
    <t xml:space="preserve">DATA-07</t>
  </si>
  <si>
    <t xml:space="preserve">Relational analytics &amp; query design</t>
  </si>
  <si>
    <t xml:space="preserve">Composes set-based queries and joins to answer analytical questions over relational data.</t>
  </si>
  <si>
    <t xml:space="preserve">Writes simple queries from clear requirements, with logic reviewed.</t>
  </si>
  <si>
    <t xml:space="preserve">Writes correct multi-join analytical queries independently for routine questions.</t>
  </si>
  <si>
    <t xml:space="preserve">Designs complex queries handling tricky aggregations, window logic, and edge semantics autonomously.</t>
  </si>
  <si>
    <t xml:space="preserve">Defines query patterns and reusable analytical building blocks others adopt.</t>
  </si>
  <si>
    <t xml:space="preserve">Sets standards for analytical query design and anticipates shifts in query paradigms.</t>
  </si>
  <si>
    <t xml:space="preserve">Defines best practice for analytical querying across the discipline and is externally recognized.</t>
  </si>
  <si>
    <t xml:space="preserve">DATA-08</t>
  </si>
  <si>
    <t xml:space="preserve">Query &amp; storage optimization</t>
  </si>
  <si>
    <t xml:space="preserve">Tunes data layout, indexing, and query plans to balance speed, scale, and resource use.</t>
  </si>
  <si>
    <t xml:space="preserve">Applies suggested indexes or partitions under review.</t>
  </si>
  <si>
    <t xml:space="preserve">Tunes routine slow queries and storage layouts independently.</t>
  </si>
  <si>
    <t xml:space="preserve">Diagnoses and resolves hard performance and storage-cost problems autonomously.</t>
  </si>
  <si>
    <t xml:space="preserve">Defines optimization playbooks others adopt and solves pathological bottlenecks.</t>
  </si>
  <si>
    <t xml:space="preserve">Sets optimization strategy and anticipates emerging storage and execution techniques.</t>
  </si>
  <si>
    <t xml:space="preserve">Defines industry standards for query and storage optimization and is externally credible.</t>
  </si>
  <si>
    <t xml:space="preserve">DATA-09</t>
  </si>
  <si>
    <t xml:space="preserve">Data Quality &amp; Governance</t>
  </si>
  <si>
    <t xml:space="preserve">Data quality &amp; validation</t>
  </si>
  <si>
    <t xml:space="preserve">Defines and enforces checks for accuracy, completeness, and consistency across datasets.</t>
  </si>
  <si>
    <t xml:space="preserve">Runs predefined quality checks and flags failures under guidance.</t>
  </si>
  <si>
    <t xml:space="preserve">Builds standard validation rules independently and triages common quality issues.</t>
  </si>
  <si>
    <t xml:space="preserve">Designs comprehensive quality frameworks and resolves ambiguous root-cause cases autonomously.</t>
  </si>
  <si>
    <t xml:space="preserve">Defines quality-checking patterns and severity frameworks others adopt.</t>
  </si>
  <si>
    <t xml:space="preserve">Sets data-quality strategy and anticipates evolving validation approaches.</t>
  </si>
  <si>
    <t xml:space="preserve">Defines what good data quality means industry-wide and is externally recognized.</t>
  </si>
  <si>
    <t xml:space="preserve">DATA-10</t>
  </si>
  <si>
    <t xml:space="preserve">Data governance &amp; lineage</t>
  </si>
  <si>
    <t xml:space="preserve">Tracks data origins, ownership, and movement to ensure trust, compliance, and traceability.</t>
  </si>
  <si>
    <t xml:space="preserve">Records lineage and metadata into provided systems under review.</t>
  </si>
  <si>
    <t xml:space="preserve">Maintains governance documentation and lineage for routine assets independently.</t>
  </si>
  <si>
    <t xml:space="preserve">Establishes governance and lineage for complex, cross-team data flows autonomously.</t>
  </si>
  <si>
    <t xml:space="preserve">Defines governance frameworks and lineage standards others adopt.</t>
  </si>
  <si>
    <t xml:space="preserve">Sets enterprise governance strategy and anticipates regulatory and stewardship shifts.</t>
  </si>
  <si>
    <t xml:space="preserve">Shapes industry practice for data governance and is externally credible.</t>
  </si>
  <si>
    <t xml:space="preserve">DATA-11</t>
  </si>
  <si>
    <t xml:space="preserve">Master &amp; reference data management</t>
  </si>
  <si>
    <t xml:space="preserve">Maintains consistent, authoritative definitions of core business entities across systems.</t>
  </si>
  <si>
    <t xml:space="preserve">Maintains reference lists and match rules under guidance.</t>
  </si>
  <si>
    <t xml:space="preserve">Manages standard master and reference data independently with routine deduplication.</t>
  </si>
  <si>
    <t xml:space="preserve">Resolves hard entity-matching, survivorship, and hierarchy conflicts autonomously.</t>
  </si>
  <si>
    <t xml:space="preserve">Defines mastering and stewardship patterns others adopt across domains.</t>
  </si>
  <si>
    <t xml:space="preserve">Sets master-data strategy and anticipates evolving entity-resolution approaches.</t>
  </si>
  <si>
    <t xml:space="preserve">Defines best practice for master data management and is externally recognized.</t>
  </si>
  <si>
    <t xml:space="preserve">DATA-12</t>
  </si>
  <si>
    <t xml:space="preserve">Data privacy &amp; access stewardship</t>
  </si>
  <si>
    <t xml:space="preserve">Safeguards sensitive data through appropriate classification, access, and retention practices.</t>
  </si>
  <si>
    <t xml:space="preserve">Applies predefined access and masking rules under review.</t>
  </si>
  <si>
    <t xml:space="preserve">Implements standard privacy controls and access grants independently.</t>
  </si>
  <si>
    <t xml:space="preserve">Designs access and privacy schemes for ambiguous, sensitive cases autonomously.</t>
  </si>
  <si>
    <t xml:space="preserve">Defines privacy and access-control patterns others adopt across the data estate.</t>
  </si>
  <si>
    <t xml:space="preserve">Sets privacy and stewardship strategy and anticipates regulatory and risk shifts.</t>
  </si>
  <si>
    <t xml:space="preserve">Defines industry standards for data privacy stewardship and is externally credible.</t>
  </si>
  <si>
    <t xml:space="preserve">DATA-13</t>
  </si>
  <si>
    <t xml:space="preserve">Analytics &amp; Insight</t>
  </si>
  <si>
    <t xml:space="preserve">Exploratory data analysis</t>
  </si>
  <si>
    <t xml:space="preserve">Profiles and explores data to surface patterns, anomalies, and analytical opportunities.</t>
  </si>
  <si>
    <t xml:space="preserve">Profiles datasets and produces basic summaries under guidance.</t>
  </si>
  <si>
    <t xml:space="preserve">Explores routine datasets independently, surfacing distributions and obvious anomalies.</t>
  </si>
  <si>
    <t xml:space="preserve">Uncovers non-obvious patterns and data issues in ambiguous datasets autonomously.</t>
  </si>
  <si>
    <t xml:space="preserve">Defines exploration approaches others adopt and frames what questions data can answer.</t>
  </si>
  <si>
    <t xml:space="preserve">Sets standards for rigorous exploration and anticipates new analytical techniques.</t>
  </si>
  <si>
    <t xml:space="preserve">Defines best practice for exploratory analysis across the discipline and is externally recognized.</t>
  </si>
  <si>
    <t xml:space="preserve">DATA-14</t>
  </si>
  <si>
    <t xml:space="preserve">Statistical inference &amp; hypothesis testing</t>
  </si>
  <si>
    <t xml:space="preserve">Draws defensible conclusions from data using probability and significance testing.</t>
  </si>
  <si>
    <t xml:space="preserve">Runs prescribed tests and reports outputs under review.</t>
  </si>
  <si>
    <t xml:space="preserve">Selects and applies standard tests independently for routine questions.</t>
  </si>
  <si>
    <t xml:space="preserve">Designs sound inference for tricky, assumption-violating cases autonomously and interprets correctly.</t>
  </si>
  <si>
    <t xml:space="preserve">Defines inferential methods others adopt and corrects subtle statistical misuse.</t>
  </si>
  <si>
    <t xml:space="preserve">Sets standards for statistical rigor and anticipates methodological advances.</t>
  </si>
  <si>
    <t xml:space="preserve">Shapes industry practice for applied inference and is externally credible.</t>
  </si>
  <si>
    <t xml:space="preserve">DATA-15</t>
  </si>
  <si>
    <t xml:space="preserve">Metric definition &amp; semantic layers</t>
  </si>
  <si>
    <t xml:space="preserve">Defines consistent, reusable business metrics and the shared semantics behind them.</t>
  </si>
  <si>
    <t xml:space="preserve">Implements metric definitions as specified under review.</t>
  </si>
  <si>
    <t xml:space="preserve">Defines and documents standard metrics independently with consistent logic.</t>
  </si>
  <si>
    <t xml:space="preserve">Resolves ambiguous or conflicting metric definitions and edge semantics autonomously.</t>
  </si>
  <si>
    <t xml:space="preserve">Defines semantic-layer patterns and metric governance others adopt.</t>
  </si>
  <si>
    <t xml:space="preserve">Sets metric and semantic strategy and anticipates shifts in measurement practice.</t>
  </si>
  <si>
    <t xml:space="preserve">Defines best practice for metric and semantic design and is externally recognized.</t>
  </si>
  <si>
    <t xml:space="preserve">DATA-16</t>
  </si>
  <si>
    <t xml:space="preserve">Data wrangling &amp; transformation</t>
  </si>
  <si>
    <t xml:space="preserve">Cleans, reshapes, and enriches raw data into analysis-ready datasets.</t>
  </si>
  <si>
    <t xml:space="preserve">Applies prescribed cleaning and reshaping steps under review.</t>
  </si>
  <si>
    <t xml:space="preserve">Transforms and cleans routine messy data independently.</t>
  </si>
  <si>
    <t xml:space="preserve">Wrangles severely malformed or complex data into reliable shape autonomously.</t>
  </si>
  <si>
    <t xml:space="preserve">Defines transformation patterns and reusable cleaning logic others adopt.</t>
  </si>
  <si>
    <t xml:space="preserve">Sets standards for transformation rigor and anticipates evolving wrangling techniques.</t>
  </si>
  <si>
    <t xml:space="preserve">Defines industry best practice for data transformation and is externally credible.</t>
  </si>
  <si>
    <t xml:space="preserve">DATA-17</t>
  </si>
  <si>
    <t xml:space="preserve">Decision Support &amp; Reporting</t>
  </si>
  <si>
    <t xml:space="preserve">Data visualization &amp; storytelling</t>
  </si>
  <si>
    <t xml:space="preserve">Turns analysis into clear visuals and narratives that drive understanding and action.</t>
  </si>
  <si>
    <t xml:space="preserve">Produces standard charts from given data and specs under review.</t>
  </si>
  <si>
    <t xml:space="preserve">Creates clear, correct visuals independently for routine reporting needs.</t>
  </si>
  <si>
    <t xml:space="preserve">Designs compelling narratives that drive decisions for ambiguous audiences autonomously.</t>
  </si>
  <si>
    <t xml:space="preserve">Defines visualization patterns and storytelling standards others adopt.</t>
  </si>
  <si>
    <t xml:space="preserve">Sets the organization's data-storytelling approach and anticipates shifts in communication norms.</t>
  </si>
  <si>
    <t xml:space="preserve">Defines what good data storytelling means industry-wide and is externally recognized.</t>
  </si>
  <si>
    <t xml:space="preserve">DATA-18</t>
  </si>
  <si>
    <t xml:space="preserve">Dashboard &amp; self-service reporting design</t>
  </si>
  <si>
    <t xml:space="preserve">Builds reusable dashboards and reports that let stakeholders explore data independently.</t>
  </si>
  <si>
    <t xml:space="preserve">Builds dashboard components from provided requirements under review.</t>
  </si>
  <si>
    <t xml:space="preserve">Designs functional dashboards and self-service views independently for routine needs.</t>
  </si>
  <si>
    <t xml:space="preserve">Designs intuitive, performant self-service experiences for ambiguous user needs autonomously.</t>
  </si>
  <si>
    <t xml:space="preserve">Defines dashboard and self-service design patterns others adopt.</t>
  </si>
  <si>
    <t xml:space="preserve">Sets self-service reporting strategy and anticipates shifts in analytics consumption.</t>
  </si>
  <si>
    <t xml:space="preserve">Defines best practice for self-service reporting and is externally credible.</t>
  </si>
  <si>
    <t xml:space="preserve">DATA-19</t>
  </si>
  <si>
    <t xml:space="preserve">Requirements gathering &amp; stakeholder translation</t>
  </si>
  <si>
    <t xml:space="preserve">Elicits business questions and translates them into well-scoped analytical deliverables.</t>
  </si>
  <si>
    <t xml:space="preserve">Captures stated requirements accurately under guidance.</t>
  </si>
  <si>
    <t xml:space="preserve">Elicits and documents routine requirements independently, clarifying obvious gaps.</t>
  </si>
  <si>
    <t xml:space="preserve">Surfaces unstated needs and translates ambiguous asks into clear specs autonomously.</t>
  </si>
  <si>
    <t xml:space="preserve">Defines elicitation and translation approaches others adopt across teams.</t>
  </si>
  <si>
    <t xml:space="preserve">Sets standards for requirements practice and anticipates evolving stakeholder needs.</t>
  </si>
  <si>
    <t xml:space="preserve">Defines best practice for stakeholder translation in analytics and is externally recognized.</t>
  </si>
  <si>
    <t xml:space="preserve">DATA-20</t>
  </si>
  <si>
    <t xml:space="preserve">Business &amp; domain acumen</t>
  </si>
  <si>
    <t xml:space="preserve">Applies understanding of the business context to frame data work around real value.</t>
  </si>
  <si>
    <t xml:space="preserve">Learns core domain concepts and applies them to tasks under guidance.</t>
  </si>
  <si>
    <t xml:space="preserve">Applies solid domain understanding to routine analytical work independently.</t>
  </si>
  <si>
    <t xml:space="preserve">Connects data work to business outcomes and frames hard domain questions autonomously.</t>
  </si>
  <si>
    <t xml:space="preserve">Defines how domain context shapes analytics approaches others adopt.</t>
  </si>
  <si>
    <t xml:space="preserve">Sets direction linking data capability to business strategy and anticipates domain shifts.</t>
  </si>
  <si>
    <t xml:space="preserve">Recognized externally for shaping how the domain and data discipline intersect.</t>
  </si>
  <si>
    <t xml:space="preserve">AI-01</t>
  </si>
  <si>
    <t xml:space="preserve">AI &amp; ML Engineering</t>
  </si>
  <si>
    <t xml:space="preserve">LLM Systems</t>
  </si>
  <si>
    <t xml:space="preserve">LLM Integration &amp; Prompt Engineering</t>
  </si>
  <si>
    <t xml:space="preserve">Builds reliable features on top of language models.</t>
  </si>
  <si>
    <t xml:space="preserve">Understands LLM basics (tokens, context windows, temperature, system prompts); calls model APIs correctly.</t>
  </si>
  <si>
    <t xml:space="preserve">Writes effective prompts; uses structured outputs, function calling and streaming; understands model differences and pricing.</t>
  </si>
  <si>
    <t xml:space="preserve">Expert prompt/context design (few-shot, decomposition, chaining); knows when fine-tuning beats prompting (rarely); designs for model swappability.</t>
  </si>
  <si>
    <t xml:space="preserve">Mastery of model behavior across providers and versions; designs upgrade-migration strategies; squeezes capability others can't.</t>
  </si>
  <si>
    <t xml:space="preserve">Deep expertise; anticipates capability shifts (new modalities, reasoning models) and repositions ahead of them.</t>
  </si>
  <si>
    <t xml:space="preserve">Authority on applied LLM engineering; may influence industry practice.</t>
  </si>
  <si>
    <t xml:space="preserve">AI-02</t>
  </si>
  <si>
    <t xml:space="preserve">Context &amp; Retrieval Engineering</t>
  </si>
  <si>
    <t xml:space="preserve">Grounds models in the right knowledge.</t>
  </si>
  <si>
    <t xml:space="preserve">Understands embeddings, similarity search and why grounding reduces hallucination.</t>
  </si>
  <si>
    <t xml:space="preserve">Builds standard RAG pipelines (chunking, embedding, retrieval, reranking); manages context budgets deliberately.</t>
  </si>
  <si>
    <t xml:space="preserve">Designs retrieval quality systems (hybrid search, reranking, freshness, citation, memory for multi-turn).</t>
  </si>
  <si>
    <t xml:space="preserve">Expert in retrieval at scale (index strategy, multi-source federation, permission-aware retrieval).</t>
  </si>
  <si>
    <t xml:space="preserve">Deep expertise; anticipates how longer context and new architectures change retrieval economics.</t>
  </si>
  <si>
    <t xml:space="preserve">Mastery of the discipline; defines how AI systems access knowledge.</t>
  </si>
  <si>
    <t xml:space="preserve">AI-03</t>
  </si>
  <si>
    <t xml:space="preserve">Agentic Systems &amp; Orchestration</t>
  </si>
  <si>
    <t xml:space="preserve">Designs systems where models plan and act through tools.</t>
  </si>
  <si>
    <t xml:space="preserve">Understands tool calling and the agent loop (plan, act, observe); knows why agents need constraints.</t>
  </si>
  <si>
    <t xml:space="preserve">Designs good tool interfaces; builds single-agent workflows with sensible termination and confirmation points.</t>
  </si>
  <si>
    <t xml:space="preserve">Designs reliable multi-step agents (state, recovery, sandboxing, permissions, human-in-the-loop); knows when an agent is the wrong answer.</t>
  </si>
  <si>
    <t xml:space="preserve">Expert in complex orchestration (multi-agent, long-running workflows, MCP-style standards) and safe constraint at scale.</t>
  </si>
  <si>
    <t xml:space="preserve">Deep expertise; anticipates how increasing model autonomy changes system design.</t>
  </si>
  <si>
    <t xml:space="preserve">Authority on agentic systems; may influence emerging industry standards.</t>
  </si>
  <si>
    <t xml:space="preserve">AI-04</t>
  </si>
  <si>
    <t xml:space="preserve">AI Quality &amp; Safety</t>
  </si>
  <si>
    <t xml:space="preserve">AI Evaluation</t>
  </si>
  <si>
    <t xml:space="preserve">Proves AI behavior is good enough to ship.</t>
  </si>
  <si>
    <t xml:space="preserve">Understands why 'it looked right in testing' is insufficient; runs existing evals and labels carefully.</t>
  </si>
  <si>
    <t xml:space="preserve">Builds basic eval sets from real usage; measures changes before shipping prompt/model updates.</t>
  </si>
  <si>
    <t xml:space="preserve">Designs eval methodology (golden sets, LLM-as-judge with validation, human review, helpfulness/groundedness/safety metrics).</t>
  </si>
  <si>
    <t xml:space="preserve">Expert in eval at scale (continuous eval, A/B testing AI features, drift detection).</t>
  </si>
  <si>
    <t xml:space="preserve">Deep expertise in measuring AI quality where ground truth is contested.</t>
  </si>
  <si>
    <t xml:space="preserve">Mastery of the discipline; sets the bar for what 'proven to work' means.</t>
  </si>
  <si>
    <t xml:space="preserve">AI-05</t>
  </si>
  <si>
    <t xml:space="preserve">Responsible AI &amp; Guardrails</t>
  </si>
  <si>
    <t xml:space="preserve">Keeps AI behavior safe, honest and within bounds.</t>
  </si>
  <si>
    <t xml:space="preserve">Understands that models can be harmful, biased or confidently wrong; flags concerning behavior.</t>
  </si>
  <si>
    <t xml:space="preserve">Implements guardrails (filtering, refusal handling, grounding checks); designs honest UX.</t>
  </si>
  <si>
    <t xml:space="preserve">Designs layered safety proportional to stakes; evaluates for bias/misuse before launch.</t>
  </si>
  <si>
    <t xml:space="preserve">Expert in safety system design at scale; defines oversight and escalation frameworks.</t>
  </si>
  <si>
    <t xml:space="preserve">Deep expertise balancing capability and safety under real product pressure.</t>
  </si>
  <si>
    <t xml:space="preserve">Recognized authority; establishes responsible AI as a value; externally credible.</t>
  </si>
  <si>
    <t xml:space="preserve">AI-06</t>
  </si>
  <si>
    <t xml:space="preserve">Data Preparation for ML</t>
  </si>
  <si>
    <t xml:space="preserve">Feature engineering</t>
  </si>
  <si>
    <t xml:space="preserve">Transforms raw data into informative features that improve model learning and performance.</t>
  </si>
  <si>
    <t xml:space="preserve">Implements specified features and transformations under review.</t>
  </si>
  <si>
    <t xml:space="preserve">Engineers standard features independently for routine modeling tasks.</t>
  </si>
  <si>
    <t xml:space="preserve">Derives high-signal features for ambiguous problems and avoids leakage autonomously.</t>
  </si>
  <si>
    <t xml:space="preserve">Defines feature-engineering patterns and leakage-prevention standards others adopt.</t>
  </si>
  <si>
    <t xml:space="preserve">Sets feature strategy and anticipates advances in representation techniques.</t>
  </si>
  <si>
    <t xml:space="preserve">Defines best practice for feature engineering across the discipline and is externally recognized.</t>
  </si>
  <si>
    <t xml:space="preserve">AI-07</t>
  </si>
  <si>
    <t xml:space="preserve">Data labeling &amp; dataset curation</t>
  </si>
  <si>
    <t xml:space="preserve">Assembles, labels, and curates representative datasets suitable for model training.</t>
  </si>
  <si>
    <t xml:space="preserve">Labels data to clear guidelines and flags ambiguities under review.</t>
  </si>
  <si>
    <t xml:space="preserve">Curates and labels routine datasets independently, applying consistent guidelines.</t>
  </si>
  <si>
    <t xml:space="preserve">Designs labeling schemes and resolves ambiguity and quality issues autonomously.</t>
  </si>
  <si>
    <t xml:space="preserve">Defines curation and annotation-quality standards others adopt.</t>
  </si>
  <si>
    <t xml:space="preserve">Sets dataset strategy and anticipates shifts in labeling and curation practice.</t>
  </si>
  <si>
    <t xml:space="preserve">Defines industry best practice for dataset curation and is externally credible.</t>
  </si>
  <si>
    <t xml:space="preserve">AI-08</t>
  </si>
  <si>
    <t xml:space="preserve">Feature stores &amp; reuse</t>
  </si>
  <si>
    <t xml:space="preserve">Manages consistent, shareable feature definitions across training and serving.</t>
  </si>
  <si>
    <t xml:space="preserve">Registers and retrieves features from a feature store under guidance.</t>
  </si>
  <si>
    <t xml:space="preserve">Publishes and consumes reusable features independently for routine use.</t>
  </si>
  <si>
    <t xml:space="preserve">Designs feature definitions ensuring consistency and freshness across uses autonomously.</t>
  </si>
  <si>
    <t xml:space="preserve">Defines feature-store patterns and reuse governance others adopt.</t>
  </si>
  <si>
    <t xml:space="preserve">Sets feature-reuse strategy and anticipates shifts in feature management.</t>
  </si>
  <si>
    <t xml:space="preserve">Defines best practice for feature reuse across the discipline and is externally recognized.</t>
  </si>
  <si>
    <t xml:space="preserve">AI-09</t>
  </si>
  <si>
    <t xml:space="preserve">Modeling &amp; Training</t>
  </si>
  <si>
    <t xml:space="preserve">Classical model training &amp; selection</t>
  </si>
  <si>
    <t xml:space="preserve">Trains and compares supervised and unsupervised models to fit the problem at hand.</t>
  </si>
  <si>
    <t xml:space="preserve">Trains models with given settings and reports metrics under review.</t>
  </si>
  <si>
    <t xml:space="preserve">Trains and selects standard models independently for routine problems.</t>
  </si>
  <si>
    <t xml:space="preserve">Chooses and trains appropriate models for ambiguous problems and avoids overfitting autonomously.</t>
  </si>
  <si>
    <t xml:space="preserve">Defines model-selection approaches others adopt and solves intractable modeling cases.</t>
  </si>
  <si>
    <t xml:space="preserve">Sets modeling strategy and anticipates shifts in classical technique relevance.</t>
  </si>
  <si>
    <t xml:space="preserve">Defines best practice for model selection across the discipline and is externally recognized.</t>
  </si>
  <si>
    <t xml:space="preserve">AI-10</t>
  </si>
  <si>
    <t xml:space="preserve">Deep learning &amp; neural architectures</t>
  </si>
  <si>
    <t xml:space="preserve">Designs and trains neural networks for complex perception, sequence, and representation tasks.</t>
  </si>
  <si>
    <t xml:space="preserve">Trains predefined network architectures under review.</t>
  </si>
  <si>
    <t xml:space="preserve">Adapts standard architectures independently for routine tasks.</t>
  </si>
  <si>
    <t xml:space="preserve">Designs and debugs architectures for hard problems and convergence issues autonomously.</t>
  </si>
  <si>
    <t xml:space="preserve">Defines architectural patterns others adopt and solves problems others cannot.</t>
  </si>
  <si>
    <t xml:space="preserve">Sets neural-architecture strategy and anticipates emerging model designs.</t>
  </si>
  <si>
    <t xml:space="preserve">Shapes industry practice for neural architecture and is externally credible.</t>
  </si>
  <si>
    <t xml:space="preserve">AI-11</t>
  </si>
  <si>
    <t xml:space="preserve">Hyperparameter tuning &amp; optimization</t>
  </si>
  <si>
    <t xml:space="preserve">Systematically searches model configurations to maximize performance and generalization.</t>
  </si>
  <si>
    <t xml:space="preserve">Runs prescribed tuning sweeps and reports results under guidance.</t>
  </si>
  <si>
    <t xml:space="preserve">Tunes standard hyperparameters independently for routine models.</t>
  </si>
  <si>
    <t xml:space="preserve">Designs efficient search strategies for hard, high-dimensional spaces autonomously.</t>
  </si>
  <si>
    <t xml:space="preserve">Defines tuning methodologies others adopt and solves stubborn optimization cases.</t>
  </si>
  <si>
    <t xml:space="preserve">Sets optimization strategy and anticipates advances in search techniques.</t>
  </si>
  <si>
    <t xml:space="preserve">Defines best practice for hyperparameter optimization and is externally recognized.</t>
  </si>
  <si>
    <t xml:space="preserve">AI-12</t>
  </si>
  <si>
    <t xml:space="preserve">Mathematical &amp; statistical foundations</t>
  </si>
  <si>
    <t xml:space="preserve">Applies linear algebra, calculus, and probability to reason about model behavior.</t>
  </si>
  <si>
    <t xml:space="preserve">Applies basic mathematical and statistical concepts to tasks under guidance.</t>
  </si>
  <si>
    <t xml:space="preserve">Applies foundational math and statistics correctly to routine modeling independently.</t>
  </si>
  <si>
    <t xml:space="preserve">Reasons rigorously about hard mathematical and statistical aspects of problems autonomously.</t>
  </si>
  <si>
    <t xml:space="preserve">Defines how foundational theory informs practice others adopt and corrects subtle errors.</t>
  </si>
  <si>
    <t xml:space="preserve">Sets standards for mathematical rigor and anticipates relevant theoretical advances.</t>
  </si>
  <si>
    <t xml:space="preserve">Recognized externally for advancing applied mathematical practice in the discipline.</t>
  </si>
  <si>
    <t xml:space="preserve">AI-13</t>
  </si>
  <si>
    <t xml:space="preserve">Evaluation &amp; Experimentation</t>
  </si>
  <si>
    <t xml:space="preserve">Model evaluation &amp; validation</t>
  </si>
  <si>
    <t xml:space="preserve">Assesses model accuracy, robustness, and generalization with sound validation methods.</t>
  </si>
  <si>
    <t xml:space="preserve">Computes prescribed evaluation metrics under review.</t>
  </si>
  <si>
    <t xml:space="preserve">Selects appropriate metrics and validation splits independently for routine cases.</t>
  </si>
  <si>
    <t xml:space="preserve">Designs sound evaluation for ambiguous, leakage-prone, or imbalanced cases autonomously.</t>
  </si>
  <si>
    <t xml:space="preserve">Defines evaluation methodologies and validation standards others adopt.</t>
  </si>
  <si>
    <t xml:space="preserve">Sets evaluation strategy and anticipates advances in validation practice.</t>
  </si>
  <si>
    <t xml:space="preserve">Defines best practice for model evaluation across the discipline and is externally recognized.</t>
  </si>
  <si>
    <t xml:space="preserve">AI-14</t>
  </si>
  <si>
    <t xml:space="preserve">Experimentation &amp; A/B testing (ML)</t>
  </si>
  <si>
    <t xml:space="preserve">Designs controlled experiments to measure real-world impact of models and changes.</t>
  </si>
  <si>
    <t xml:space="preserve">Executes designed experiments and reports outcomes under guidance.</t>
  </si>
  <si>
    <t xml:space="preserve">Designs and runs standard experiments independently with correct basic analysis.</t>
  </si>
  <si>
    <t xml:space="preserve">Designs rigorous experiments handling confounds and tricky readouts autonomously.</t>
  </si>
  <si>
    <t xml:space="preserve">Defines experimentation frameworks and guardrails others adopt.</t>
  </si>
  <si>
    <t xml:space="preserve">Sets experimentation strategy and anticipates advances in causal and online testing.</t>
  </si>
  <si>
    <t xml:space="preserve">Defines best practice for ML experimentation and is externally credible.</t>
  </si>
  <si>
    <t xml:space="preserve">AI-15</t>
  </si>
  <si>
    <t xml:space="preserve">Bias, fairness &amp; error analysis</t>
  </si>
  <si>
    <t xml:space="preserve">Investigates model errors and disparate outcomes to guide responsible improvement.</t>
  </si>
  <si>
    <t xml:space="preserve">Runs prescribed bias and error checks under review.</t>
  </si>
  <si>
    <t xml:space="preserve">Performs standard fairness and error analysis independently for routine models.</t>
  </si>
  <si>
    <t xml:space="preserve">Diagnoses subtle bias and failure modes in ambiguous cases and proposes remedies autonomously.</t>
  </si>
  <si>
    <t xml:space="preserve">Defines fairness and error-analysis frameworks others adopt.</t>
  </si>
  <si>
    <t xml:space="preserve">Sets fairness strategy and anticipates evolving ethical and regulatory expectations.</t>
  </si>
  <si>
    <t xml:space="preserve">Shapes industry practice for fairness and error analysis and is externally recognized.</t>
  </si>
  <si>
    <t xml:space="preserve">AI-16</t>
  </si>
  <si>
    <t xml:space="preserve">ML Operations &amp; Lifecycle</t>
  </si>
  <si>
    <t xml:space="preserve">ML pipeline &amp; deployment (MLOps)</t>
  </si>
  <si>
    <t xml:space="preserve">Automates training, packaging, and deployment of models into reliable production services.</t>
  </si>
  <si>
    <t xml:space="preserve">Runs predefined training and deployment steps under review.</t>
  </si>
  <si>
    <t xml:space="preserve">Builds and deploys routine ML pipelines independently with normal automation.</t>
  </si>
  <si>
    <t xml:space="preserve">Designs reliable, reproducible deployment pipelines for hard cases autonomously.</t>
  </si>
  <si>
    <t xml:space="preserve">Defines MLOps patterns and deployment standards others adopt.</t>
  </si>
  <si>
    <t xml:space="preserve">Sets MLOps strategy and anticipates shifts in lifecycle automation.</t>
  </si>
  <si>
    <t xml:space="preserve">Defines best practice for ML operations across the discipline and is externally recognized.</t>
  </si>
  <si>
    <t xml:space="preserve">AI-17</t>
  </si>
  <si>
    <t xml:space="preserve">Model monitoring &amp; drift detection</t>
  </si>
  <si>
    <t xml:space="preserve">Tracks live model quality and data drift to trigger retraining or rollback.</t>
  </si>
  <si>
    <t xml:space="preserve">Watches configured monitors and reports alerts under guidance.</t>
  </si>
  <si>
    <t xml:space="preserve">Sets up standard performance and drift monitoring independently.</t>
  </si>
  <si>
    <t xml:space="preserve">Designs monitoring that catches subtle drift and degradation autonomously and triages causes.</t>
  </si>
  <si>
    <t xml:space="preserve">Defines monitoring and drift-detection patterns others adopt.</t>
  </si>
  <si>
    <t xml:space="preserve">Sets monitoring strategy and anticipates advances in drift detection.</t>
  </si>
  <si>
    <t xml:space="preserve">Defines best practice for model monitoring and is externally credible.</t>
  </si>
  <si>
    <t xml:space="preserve">AI-18</t>
  </si>
  <si>
    <t xml:space="preserve">Model &amp; experiment versioning</t>
  </si>
  <si>
    <t xml:space="preserve">Tracks datasets, models, and experiments for reproducibility and auditability.</t>
  </si>
  <si>
    <t xml:space="preserve">Records model and experiment versions per process under review.</t>
  </si>
  <si>
    <t xml:space="preserve">Manages standard versioning of models, data, and experiments independently.</t>
  </si>
  <si>
    <t xml:space="preserve">Designs reproducible versioning across complex experiment lineages autonomously.</t>
  </si>
  <si>
    <t xml:space="preserve">Defines versioning and reproducibility standards others adopt.</t>
  </si>
  <si>
    <t xml:space="preserve">Sets versioning strategy and anticipates shifts in reproducibility practice.</t>
  </si>
  <si>
    <t xml:space="preserve">Defines best practice for model and experiment versioning and is externally recognized.</t>
  </si>
  <si>
    <t xml:space="preserve">AI-19</t>
  </si>
  <si>
    <t xml:space="preserve">Model serving &amp; inference optimization</t>
  </si>
  <si>
    <t xml:space="preserve">Exposes models for low-latency, scalable inference across batch and real-time use.</t>
  </si>
  <si>
    <t xml:space="preserve">Deploys models to a serving setup with given configs under review.</t>
  </si>
  <si>
    <t xml:space="preserve">Serves models independently and applies standard latency and throughput tuning.</t>
  </si>
  <si>
    <t xml:space="preserve">Optimizes serving for hard latency, scale, and cost constraints autonomously.</t>
  </si>
  <si>
    <t xml:space="preserve">Defines serving and inference-optimization patterns others adopt.</t>
  </si>
  <si>
    <t xml:space="preserve">Sets serving strategy and anticipates advances in inference efficiency.</t>
  </si>
  <si>
    <t xml:space="preserve">Defines best practice for model serving across the discipline and is externally recognized.</t>
  </si>
  <si>
    <t xml:space="preserve">AI-20</t>
  </si>
  <si>
    <t xml:space="preserve">Problem framing &amp; ML solution design</t>
  </si>
  <si>
    <t xml:space="preserve">Translates ambiguous business problems into well-posed, feasible ML approaches.</t>
  </si>
  <si>
    <t xml:space="preserve">Translates a clearly scoped problem into a defined ML task under guidance.</t>
  </si>
  <si>
    <t xml:space="preserve">Frames routine problems as appropriate ML solutions independently.</t>
  </si>
  <si>
    <t xml:space="preserve">Frames ambiguous business problems into sound ML or non-ML approaches autonomously.</t>
  </si>
  <si>
    <t xml:space="preserve">Defines solution-design patterns others adopt and reframes intractable problems.</t>
  </si>
  <si>
    <t xml:space="preserve">Sets ML solution strategy and anticipates where applicable techniques are heading.</t>
  </si>
  <si>
    <t xml:space="preserve">Defines best practice for ML problem framing across the discipline and is externally recognized.</t>
  </si>
  <si>
    <t xml:space="preserve">OPS-01</t>
  </si>
  <si>
    <t xml:space="preserve">Systems, Infrastructure &amp; Operations</t>
  </si>
  <si>
    <t xml:space="preserve">Infrastructure</t>
  </si>
  <si>
    <t xml:space="preserve">Cloud &amp; Infrastructure Engineering</t>
  </si>
  <si>
    <t xml:space="preserve">Engineers compute, network, storage and IaC.</t>
  </si>
  <si>
    <t xml:space="preserve">Makes guided changes to existing infra; understands core cloud services.</t>
  </si>
  <si>
    <t xml:space="preserve">Independently builds and manages standard resources using IaC.</t>
  </si>
  <si>
    <t xml:space="preserve">Designs infra for scale, cost and resilience across a domain.</t>
  </si>
  <si>
    <t xml:space="preserve">Expert in infra platforms used by many teams; owns major cost strategy.</t>
  </si>
  <si>
    <t xml:space="preserve">Sets org infrastructure direction.</t>
  </si>
  <si>
    <t xml:space="preserve">Trusted with company-level platform bets; defines infra strategy.</t>
  </si>
  <si>
    <t xml:space="preserve">OPS-02</t>
  </si>
  <si>
    <t xml:space="preserve">CI/CD &amp; Delivery Engineering</t>
  </si>
  <si>
    <t xml:space="preserve">Builds the build, test, release and deploy pipeline.</t>
  </si>
  <si>
    <t xml:space="preserve">Uses and makes guided fixes to existing pipelines.</t>
  </si>
  <si>
    <t xml:space="preserve">Independently builds and improves pipelines for their area.</t>
  </si>
  <si>
    <t xml:space="preserve">Designs deployment safety (progressive delivery, rollback) for a domain.</t>
  </si>
  <si>
    <t xml:space="preserve">Expert in delivery engineering at scale; sets standards across teams.</t>
  </si>
  <si>
    <t xml:space="preserve">Defines the org's delivery/release philosophy.</t>
  </si>
  <si>
    <t xml:space="preserve">Advances release engineering practice company-wide.</t>
  </si>
  <si>
    <t xml:space="preserve">OPS-03</t>
  </si>
  <si>
    <t xml:space="preserve">Distributed Systems</t>
  </si>
  <si>
    <t xml:space="preserve">Reasons about systems spanning many machines.</t>
  </si>
  <si>
    <t xml:space="preserve">Understands the basics (timeouts, retries, idempotency) conceptually.</t>
  </si>
  <si>
    <t xml:space="preserve">Correctly applies distributed patterns in scoped work.</t>
  </si>
  <si>
    <t xml:space="preserve">Designs for distributed failure modes (consistency, partitioning, backpressure).</t>
  </si>
  <si>
    <t xml:space="preserve">Expert in distributed systems at scale; anticipates emergent failure.</t>
  </si>
  <si>
    <t xml:space="preserve">Shapes how the org builds at scale.</t>
  </si>
  <si>
    <t xml:space="preserve">Authority on distributed design; influences the field.</t>
  </si>
  <si>
    <t xml:space="preserve">OPS-04</t>
  </si>
  <si>
    <t xml:space="preserve">Operations</t>
  </si>
  <si>
    <t xml:space="preserve">Reliability &amp; Production Operations</t>
  </si>
  <si>
    <t xml:space="preserve">Keeps services healthy; designs for failure.</t>
  </si>
  <si>
    <t xml:space="preserve">Understands SLOs and common failure modes; keeps components healthy with guidance.</t>
  </si>
  <si>
    <t xml:space="preserve">Builds retries, timeouts and fallbacks; understands blast radius.</t>
  </si>
  <si>
    <t xml:space="preserve">Designs for graceful degradation; defines SLOs; accountable for a domain's reliability.</t>
  </si>
  <si>
    <t xml:space="preserve">Expert in resilience and capacity planning at scale; drives down incidents systemically.</t>
  </si>
  <si>
    <t xml:space="preserve">Owns org-level reliability; fixes risk in process and org design.</t>
  </si>
  <si>
    <t xml:space="preserve">Sets the company's reliability philosophy.</t>
  </si>
  <si>
    <t xml:space="preserve">OPS-05</t>
  </si>
  <si>
    <t xml:space="preserve">Observability &amp; Instrumentation</t>
  </si>
  <si>
    <t xml:space="preserve">Makes system behavior visible.</t>
  </si>
  <si>
    <t xml:space="preserve">Understands logs/metrics/traces; reads existing dashboards.</t>
  </si>
  <si>
    <t xml:space="preserve">Instruments their services; builds dashboards; tunes alerts to limit noise.</t>
  </si>
  <si>
    <t xml:space="preserve">Designs observability for complex systems (end-to-end traces, quality signals, cost attribution).</t>
  </si>
  <si>
    <t xml:space="preserve">Expert in instrumentation trade-offs at scale, incl. privacy-safe logging.</t>
  </si>
  <si>
    <t xml:space="preserve">Defines org observability strategy.</t>
  </si>
  <si>
    <t xml:space="preserve">Shapes company-wide operational visibility; advances practice.</t>
  </si>
  <si>
    <t xml:space="preserve">OPS-06</t>
  </si>
  <si>
    <t xml:space="preserve">Incident Response</t>
  </si>
  <si>
    <t xml:space="preserve">Responds to and learns from production incidents.</t>
  </si>
  <si>
    <t xml:space="preserve">Responds to alerts with support; follows runbooks; escalates appropriately.</t>
  </si>
  <si>
    <t xml:space="preserve">Triages and resolves routine incidents; clear notes; takes on-call.</t>
  </si>
  <si>
    <t xml:space="preserve">Leads response to complex failures; blameless postmortems; same failure never recurs.</t>
  </si>
  <si>
    <t xml:space="preserve">Expert in incident-management design (rotations, severity, escalation).</t>
  </si>
  <si>
    <t xml:space="preserve">Commands the highest-severity incidents; sets incident process org-wide.</t>
  </si>
  <si>
    <t xml:space="preserve">Sets the company's incident philosophy; calm authority in the worst moments.</t>
  </si>
  <si>
    <t xml:space="preserve">OPS-07</t>
  </si>
  <si>
    <t xml:space="preserve">Cost &amp; Performance Optimization</t>
  </si>
  <si>
    <t xml:space="preserve">Keeps systems fast and economical.</t>
  </si>
  <si>
    <t xml:space="preserve">Understands cost/latency drivers of what they build.</t>
  </si>
  <si>
    <t xml:space="preserve">Applies standard optimizations; stays within cost/latency budgets.</t>
  </si>
  <si>
    <t xml:space="preserve">Designs cost-aware architectures; defines and tracks unit economics for a domain.</t>
  </si>
  <si>
    <t xml:space="preserve">Expert in economics at scale (fleet optimization, build-vs-buy).</t>
  </si>
  <si>
    <t xml:space="preserve">Owns org-level spend strategy; cost decisions change margins.</t>
  </si>
  <si>
    <t xml:space="preserve">Shapes the company economics of the products.</t>
  </si>
  <si>
    <t xml:space="preserve">OPS-08</t>
  </si>
  <si>
    <t xml:space="preserve">Security</t>
  </si>
  <si>
    <t xml:space="preserve">Application &amp; Systems Security</t>
  </si>
  <si>
    <t xml:space="preserve">Builds secure-by-default systems.</t>
  </si>
  <si>
    <t xml:space="preserve">Understands core appsec; follows practices and flags concerns.</t>
  </si>
  <si>
    <t xml:space="preserve">Applies least privilege; validates/sanitizes inputs; knows common attacks.</t>
  </si>
  <si>
    <t xml:space="preserve">Designs defense in depth; thinks in abuse cases; owns a domain's posture.</t>
  </si>
  <si>
    <t xml:space="preserve">Expert in securing systems at scale; leads red-teaming and remediation.</t>
  </si>
  <si>
    <t xml:space="preserve">Defines security strategy for the org's surface area.</t>
  </si>
  <si>
    <t xml:space="preserve">Company-level accountability; authority on the field.</t>
  </si>
  <si>
    <t xml:space="preserve">OPS-09</t>
  </si>
  <si>
    <t xml:space="preserve">Privacy &amp; Compliance Engineering</t>
  </si>
  <si>
    <t xml:space="preserve">Bakes privacy, audit and regulatory controls into systems.</t>
  </si>
  <si>
    <t xml:space="preserve">Knows data handling has privacy implications; follows rules.</t>
  </si>
  <si>
    <t xml:space="preserve">Applies PII handling, redaction, residency and retention correctly.</t>
  </si>
  <si>
    <t xml:space="preserve">Designs for compliance (consent, audit trails, regional rules); owns readiness for a domain.</t>
  </si>
  <si>
    <t xml:space="preserve">Expert at translating regulation into controls; represents engineering in audits.</t>
  </si>
  <si>
    <t xml:space="preserve">Sets org compliance strategy; anticipates regulation.</t>
  </si>
  <si>
    <t xml:space="preserve">Authoritative on the landscape; trusted interface to regulators.</t>
  </si>
  <si>
    <t xml:space="preserve">OPS-10</t>
  </si>
  <si>
    <t xml:space="preserve">Provisioning &amp; Configuration</t>
  </si>
  <si>
    <t xml:space="preserve">Infrastructure as code &amp; provisioning</t>
  </si>
  <si>
    <t xml:space="preserve">Define and version infrastructure declaratively to provision repeatable environments.</t>
  </si>
  <si>
    <t xml:space="preserve">Writes simple declarative resource definitions from templates, applying them under review in non-production environments.</t>
  </si>
  <si>
    <t xml:space="preserve">Independently provisions standard infrastructure stacks, manages state and variables, and handles routine drift with normal review.</t>
  </si>
  <si>
    <t xml:space="preserve">Designs reusable modules for ambiguous needs, structures state safely, and is the go-to for tricky provisioning failures.</t>
  </si>
  <si>
    <t xml:space="preserve">Defines the provisioning patterns and module conventions others adopt, solving thorny dependency and idempotency problems.</t>
  </si>
  <si>
    <t xml:space="preserve">Sets the organization-wide IaC strategy, governance, and standards, anticipating shifts in declarative provisioning practice.</t>
  </si>
  <si>
    <t xml:space="preserve">Defines what good infrastructure-as-code means for the field, shaping provisioning practices recognized across the industry.</t>
  </si>
  <si>
    <t xml:space="preserve">OPS-11</t>
  </si>
  <si>
    <t xml:space="preserve">Configuration management &amp; desired-state enforcement</t>
  </si>
  <si>
    <t xml:space="preserve">Automate system configuration and continuously converge hosts to a defined target state.</t>
  </si>
  <si>
    <t xml:space="preserve">Applies predefined configuration policies to hosts under supervision, verifying convergence against the declared desired state.</t>
  </si>
  <si>
    <t xml:space="preserve">Authors and maintains standard configuration definitions independently, remediating routine drift with normal review.</t>
  </si>
  <si>
    <t xml:space="preserve">Designs idempotent configuration for ambiguous cases, manages secrets and ordering, and resolves hard convergence failures.</t>
  </si>
  <si>
    <t xml:space="preserve">Defines the configuration architecture and enforcement model others adopt, solving deep drift and idempotency problems.</t>
  </si>
  <si>
    <t xml:space="preserve">Sets strategy for desired-state enforcement across the estate, anticipating where configuration management is heading.</t>
  </si>
  <si>
    <t xml:space="preserve">Defines industry standards for desired-state enforcement, externally credible in shaping configuration practice.</t>
  </si>
  <si>
    <t xml:space="preserve">OPS-12</t>
  </si>
  <si>
    <t xml:space="preserve">Image &amp; artifact building / golden baselines</t>
  </si>
  <si>
    <t xml:space="preserve">Produce hardened, reproducible machine and application images for consistent deployment.</t>
  </si>
  <si>
    <t xml:space="preserve">Builds images from existing recipes under review, verifying contents match the documented baseline.</t>
  </si>
  <si>
    <t xml:space="preserve">Independently maintains image build pipelines and updates baselines for routine patches and version changes.</t>
  </si>
  <si>
    <t xml:space="preserve">Designs hardened, minimal golden images for ambiguous needs and resolves tricky reproducibility and provenance issues.</t>
  </si>
  <si>
    <t xml:space="preserve">Defines the baseline strategy and build conventions others adopt, solving layering, supply-chain, and drift problems.</t>
  </si>
  <si>
    <t xml:space="preserve">Sets organization-wide standards for image lifecycle and provenance, anticipating shifts in artifact-building practice.</t>
  </si>
  <si>
    <t xml:space="preserve">Defines what a trustworthy golden baseline means for the discipline, shaping industry artifact-integrity practice.</t>
  </si>
  <si>
    <t xml:space="preserve">OPS-13</t>
  </si>
  <si>
    <t xml:space="preserve">Environment &amp; release promotion strategy</t>
  </si>
  <si>
    <t xml:space="preserve">Design promotion paths and parity across dev, staging, and production environments.</t>
  </si>
  <si>
    <t xml:space="preserve">Promotes builds through predefined environment stages under review, following the documented gating checklist.</t>
  </si>
  <si>
    <t xml:space="preserve">Independently manages standard promotion flows across environments, handling routine approvals and rollbacks with review.</t>
  </si>
  <si>
    <t xml:space="preserve">Designs promotion paths and gates for ambiguous release scenarios, resolving hard environment-parity and rollback issues.</t>
  </si>
  <si>
    <t xml:space="preserve">Defines the promotion model and gating strategy others adopt, solving complex multi-stage and dependency problems.</t>
  </si>
  <si>
    <t xml:space="preserve">Sets organization-wide release-promotion strategy, anticipating how environment progression and gating should evolve.</t>
  </si>
  <si>
    <t xml:space="preserve">Defines what disciplined release promotion means for the field, shaping industry environment-strategy practice.</t>
  </si>
  <si>
    <t xml:space="preserve">OPS-14</t>
  </si>
  <si>
    <t xml:space="preserve">Compute &amp; Workload Orchestration</t>
  </si>
  <si>
    <t xml:space="preserve">Container orchestration &amp; scheduling</t>
  </si>
  <si>
    <t xml:space="preserve">Schedule, place, and manage containerized workloads across a cluster of compute nodes.</t>
  </si>
  <si>
    <t xml:space="preserve">Deploys workloads to an existing orchestrator under review, adjusting basic scheduling settings from examples.</t>
  </si>
  <si>
    <t xml:space="preserve">Independently operates orchestrated workloads, manages routine scaling, placement, and health checks with normal review.</t>
  </si>
  <si>
    <t xml:space="preserve">Designs scheduling, affinity, and resource policies for ambiguous workloads and resolves hard orchestration failures.</t>
  </si>
  <si>
    <t xml:space="preserve">Defines cluster topology and scheduling patterns others adopt, solving deep placement, contention, and lifecycle problems.</t>
  </si>
  <si>
    <t xml:space="preserve">Sets organization-wide orchestration strategy and standards, anticipating where workload scheduling is heading.</t>
  </si>
  <si>
    <t xml:space="preserve">Defines what effective orchestration means for the discipline, externally credible in shaping scheduling practice.</t>
  </si>
  <si>
    <t xml:space="preserve">OPS-15</t>
  </si>
  <si>
    <t xml:space="preserve">Containerization &amp; workload packaging</t>
  </si>
  <si>
    <t xml:space="preserve">Package applications and dependencies into portable, isolated runtime units.</t>
  </si>
  <si>
    <t xml:space="preserve">Packages applications into containers from existing recipes under review, verifying they run as expected.</t>
  </si>
  <si>
    <t xml:space="preserve">Independently builds and maintains container images, managing dependencies and layers for routine workloads with review.</t>
  </si>
  <si>
    <t xml:space="preserve">Designs minimal, secure, reproducible packaging for ambiguous workloads and resolves tricky runtime and size issues.</t>
  </si>
  <si>
    <t xml:space="preserve">Defines packaging conventions and base-image strategy others adopt, solving deep build-efficiency and isolation problems.</t>
  </si>
  <si>
    <t xml:space="preserve">Sets organization-wide containerization standards, anticipating shifts in workload packaging and runtime practice.</t>
  </si>
  <si>
    <t xml:space="preserve">Defines what good workload packaging means for the field, shaping industry containerization practice.</t>
  </si>
  <si>
    <t xml:space="preserve">OPS-16</t>
  </si>
  <si>
    <t xml:space="preserve">Capacity &amp; autoscaling design</t>
  </si>
  <si>
    <t xml:space="preserve">Plan compute capacity and design elastic scaling to meet variable demand.</t>
  </si>
  <si>
    <t xml:space="preserve">Adjusts capacity settings within defined limits under review, monitoring basic utilization against thresholds.</t>
  </si>
  <si>
    <t xml:space="preserve">Independently configures standard autoscaling rules and capacity buffers, tuning routine thresholds with normal review.</t>
  </si>
  <si>
    <t xml:space="preserve">Designs scaling policies and capacity models for ambiguous, bursty demand and resolves hard scaling-stability issues.</t>
  </si>
  <si>
    <t xml:space="preserve">Defines the capacity-planning and autoscaling approach others adopt, solving complex demand-prediction and cost-tradeoff problems.</t>
  </si>
  <si>
    <t xml:space="preserve">Sets organization-wide capacity strategy, anticipating demand shifts and how scaling design should evolve.</t>
  </si>
  <si>
    <t xml:space="preserve">Defines what sound capacity and autoscaling design means for the discipline, shaping industry practice.</t>
  </si>
  <si>
    <t xml:space="preserve">OPS-17</t>
  </si>
  <si>
    <t xml:space="preserve">Operating system &amp; host administration</t>
  </si>
  <si>
    <t xml:space="preserve">Administer, harden, and tune host operating systems and their runtime services.</t>
  </si>
  <si>
    <t xml:space="preserve">Performs routine host tasks like updates and user setup under review, following documented procedures.</t>
  </si>
  <si>
    <t xml:space="preserve">Independently administers hosts, manages packages, services, and permissions, troubleshooting routine issues with review.</t>
  </si>
  <si>
    <t xml:space="preserve">Tunes and hardens hosts for ambiguous workloads and diagnoses hard kernel, resource, and performance problems.</t>
  </si>
  <si>
    <t xml:space="preserve">Defines host-administration standards and hardening baselines others adopt, solving deep OS-level and tuning problems.</t>
  </si>
  <si>
    <t xml:space="preserve">Sets organization-wide host-management strategy, anticipating shifts in operating-system administration practice.</t>
  </si>
  <si>
    <t xml:space="preserve">Defines what excellent host administration means for the field, externally credible in shaping OS practice.</t>
  </si>
  <si>
    <t xml:space="preserve">OPS-18</t>
  </si>
  <si>
    <t xml:space="preserve">Storage &amp; data persistence design</t>
  </si>
  <si>
    <t xml:space="preserve">Design block, object, and file storage for durability, performance, and access patterns.</t>
  </si>
  <si>
    <t xml:space="preserve">Provisions and attaches storage from defined options under review, verifying capacity and access settings.</t>
  </si>
  <si>
    <t xml:space="preserve">Independently manages storage volumes, snapshots, and routine persistence configuration with normal review.</t>
  </si>
  <si>
    <t xml:space="preserve">Designs persistence schemes balancing durability, performance, and cost for ambiguous needs, resolving hard data-integrity issues.</t>
  </si>
  <si>
    <t xml:space="preserve">Defines storage architecture and persistence patterns others adopt, solving deep consistency, replication, and performance problems.</t>
  </si>
  <si>
    <t xml:space="preserve">Sets organization-wide storage and persistence strategy, anticipating where data-durability design is heading.</t>
  </si>
  <si>
    <t xml:space="preserve">Defines what sound data-persistence design means for the discipline, shaping industry storage practice.</t>
  </si>
  <si>
    <t xml:space="preserve">OPS-19</t>
  </si>
  <si>
    <t xml:space="preserve">Networking &amp; Connectivity</t>
  </si>
  <si>
    <t xml:space="preserve">Network design &amp; routing</t>
  </si>
  <si>
    <t xml:space="preserve">Architect network topologies, subnets, and routing for connectivity and segmentation.</t>
  </si>
  <si>
    <t xml:space="preserve">Configures basic network segments and routes from designs under review, verifying connectivity.</t>
  </si>
  <si>
    <t xml:space="preserve">Independently builds standard network topologies, manages routing and segmentation for routine needs with review.</t>
  </si>
  <si>
    <t xml:space="preserve">Designs routing and addressing schemes for ambiguous topologies and diagnoses hard reachability and routing failures.</t>
  </si>
  <si>
    <t xml:space="preserve">Defines network architecture and routing patterns others adopt, solving deep segmentation, scale, and convergence problems.</t>
  </si>
  <si>
    <t xml:space="preserve">Sets organization-wide network strategy and standards, anticipating shifts in network design and routing.</t>
  </si>
  <si>
    <t xml:space="preserve">Defines what good network design means for the field, externally credible in shaping routing practice.</t>
  </si>
  <si>
    <t xml:space="preserve">OPS-20</t>
  </si>
  <si>
    <t xml:space="preserve">Load balancing &amp; traffic management</t>
  </si>
  <si>
    <t xml:space="preserve">Distribute and shape traffic across endpoints for availability and performance.</t>
  </si>
  <si>
    <t xml:space="preserve">Configures basic load-balancing rules from templates under review, verifying traffic reaches healthy targets.</t>
  </si>
  <si>
    <t xml:space="preserve">Independently manages standard balancing, health checks, and routing rules for routine traffic with review.</t>
  </si>
  <si>
    <t xml:space="preserve">Designs traffic-distribution and failover policies for ambiguous patterns and resolves hard balancing and session issues.</t>
  </si>
  <si>
    <t xml:space="preserve">Defines traffic-management patterns others adopt, solving deep distribution, affinity, and graceful-degradation problems.</t>
  </si>
  <si>
    <t xml:space="preserve">Sets organization-wide traffic-management strategy, anticipating how load distribution and routing should evolve.</t>
  </si>
  <si>
    <t xml:space="preserve">Defines what effective traffic management means for the discipline, shaping industry load-balancing practice.</t>
  </si>
  <si>
    <t xml:space="preserve">OPS-21</t>
  </si>
  <si>
    <t xml:space="preserve">DNS &amp; service discovery</t>
  </si>
  <si>
    <t xml:space="preserve">Resolve names and dynamically locate services across distributed systems.</t>
  </si>
  <si>
    <t xml:space="preserve">Creates and edits basic name records under review, verifying resolution behaves as documented.</t>
  </si>
  <si>
    <t xml:space="preserve">Independently manages zones, records, and standard service-registration for routine needs with normal review.</t>
  </si>
  <si>
    <t xml:space="preserve">Designs resolution and discovery schemes for ambiguous, dynamic environments and resolves hard propagation and caching issues.</t>
  </si>
  <si>
    <t xml:space="preserve">Defines naming and discovery architecture others adopt, solving deep resolution, failover, and registration problems.</t>
  </si>
  <si>
    <t xml:space="preserve">Sets organization-wide naming and discovery strategy, anticipating shifts in service-discovery practice.</t>
  </si>
  <si>
    <t xml:space="preserve">Defines what robust naming and discovery means for the field, shaping industry DNS and discovery practice.</t>
  </si>
  <si>
    <t xml:space="preserve">OPS-22</t>
  </si>
  <si>
    <t xml:space="preserve">Network protocols &amp; packet-level troubleshooting</t>
  </si>
  <si>
    <t xml:space="preserve">Diagnose connectivity using knowledge of layered protocols and packet behavior.</t>
  </si>
  <si>
    <t xml:space="preserve">Captures traffic and reads basic protocol fields under guidance to confirm expected behavior.</t>
  </si>
  <si>
    <t xml:space="preserve">Independently traces standard protocol exchanges and diagnoses routine connectivity faults from captures with review.</t>
  </si>
  <si>
    <t xml:space="preserve">Dissects complex multi-layer exchanges for ambiguous faults and resolves hard latency, fragmentation, and handshake issues.</t>
  </si>
  <si>
    <t xml:space="preserve">Defines packet-analysis methods others adopt, solving deep protocol-interaction and elusive intermittent-failure problems.</t>
  </si>
  <si>
    <t xml:space="preserve">Sets organization-wide troubleshooting standards and tooling direction, anticipating protocol-behavior challenges.</t>
  </si>
  <si>
    <t xml:space="preserve">Defines what rigorous packet-level diagnosis means for the discipline, externally credible in protocol practice.</t>
  </si>
  <si>
    <t xml:space="preserve">OPS-23</t>
  </si>
  <si>
    <t xml:space="preserve">Edge, CDN &amp; content delivery</t>
  </si>
  <si>
    <t xml:space="preserve">Cache and serve content near users to reduce latency and origin load.</t>
  </si>
  <si>
    <t xml:space="preserve">Configures basic caching and delivery rules from templates under review, verifying content serves correctly.</t>
  </si>
  <si>
    <t xml:space="preserve">Independently manages edge caching, invalidation, and routing for routine content with normal review.</t>
  </si>
  <si>
    <t xml:space="preserve">Designs delivery and caching strategies for ambiguous traffic and resolves hard cache-coherence and edge-routing issues.</t>
  </si>
  <si>
    <t xml:space="preserve">Defines edge-delivery architecture others adopt, solving deep caching, origin-offload, and latency problems.</t>
  </si>
  <si>
    <t xml:space="preserve">Sets organization-wide content-delivery strategy, anticipating shifts in edge and distribution practice.</t>
  </si>
  <si>
    <t xml:space="preserve">Defines what excellent content delivery means for the field, shaping industry edge and CDN practice.</t>
  </si>
  <si>
    <t xml:space="preserve">OPS-24</t>
  </si>
  <si>
    <t xml:space="preserve">Secure connectivity &amp; network perimeter</t>
  </si>
  <si>
    <t xml:space="preserve">Establish encrypted tunnels, gateways, and boundaries between trust zones.</t>
  </si>
  <si>
    <t xml:space="preserve">Applies predefined firewall and tunnel rules under review, verifying allowed and blocked paths behave correctly.</t>
  </si>
  <si>
    <t xml:space="preserve">Independently manages standard perimeter controls, secure tunnels, and segmentation rules with normal review.</t>
  </si>
  <si>
    <t xml:space="preserve">Designs perimeter and encrypted-connectivity schemes for ambiguous needs and resolves hard isolation and access issues.</t>
  </si>
  <si>
    <t xml:space="preserve">Defines perimeter architecture and secure-connectivity patterns others adopt, solving deep segmentation and trust problems.</t>
  </si>
  <si>
    <t xml:space="preserve">Sets organization-wide perimeter and secure-connectivity strategy, anticipating shifts in network-security practice.</t>
  </si>
  <si>
    <t xml:space="preserve">Defines what strong network perimeter design means for the discipline, externally credible in shaping practice.</t>
  </si>
  <si>
    <t xml:space="preserve">OPS-25</t>
  </si>
  <si>
    <t xml:space="preserve">Resilience &amp; Continuity</t>
  </si>
  <si>
    <t xml:space="preserve">Backup, DR &amp; business continuity</t>
  </si>
  <si>
    <t xml:space="preserve">Plan backups, recovery objectives, and failover to survive disruptive events.</t>
  </si>
  <si>
    <t xml:space="preserve">Runs scheduled backups and restore tests under review, verifying jobs complete and data is recoverable.</t>
  </si>
  <si>
    <t xml:space="preserve">Independently manages backup schedules, retention, and routine restores, validating recovery points with review.</t>
  </si>
  <si>
    <t xml:space="preserve">Designs backup and recovery schemes for ambiguous needs, meeting recovery objectives and resolving hard restore issues.</t>
  </si>
  <si>
    <t xml:space="preserve">Defines continuity architecture and recovery patterns others adopt, solving deep cross-failure and dependency problems.</t>
  </si>
  <si>
    <t xml:space="preserve">Sets organization-wide continuity strategy and recovery objectives, anticipating evolving business-continuity needs.</t>
  </si>
  <si>
    <t xml:space="preserve">Defines what credible business continuity means for the discipline, shaping industry disaster-recovery practice.</t>
  </si>
  <si>
    <t xml:space="preserve">OPS-26</t>
  </si>
  <si>
    <t xml:space="preserve">High availability &amp; fault-tolerance design</t>
  </si>
  <si>
    <t xml:space="preserve">Eliminate single points of failure through redundancy and graceful degradation.</t>
  </si>
  <si>
    <t xml:space="preserve">Configures basic redundancy and failover from designs under review, verifying standby paths activate.</t>
  </si>
  <si>
    <t xml:space="preserve">Independently builds standard redundant setups and failover behavior for routine services with normal review.</t>
  </si>
  <si>
    <t xml:space="preserve">Designs availability schemes for ambiguous failure modes and resolves hard split-brain, quorum, and failover issues.</t>
  </si>
  <si>
    <t xml:space="preserve">Defines fault-tolerance patterns others adopt, solving deep redundancy, isolation, and graceful-degradation problems.</t>
  </si>
  <si>
    <t xml:space="preserve">Sets organization-wide availability strategy and targets, anticipating where resilience design is heading.</t>
  </si>
  <si>
    <t xml:space="preserve">Defines what genuine fault tolerance means for the discipline, externally credible in shaping availability practice.</t>
  </si>
  <si>
    <t xml:space="preserve">OPS-27</t>
  </si>
  <si>
    <t xml:space="preserve">Platform &amp; developer-experience engineering</t>
  </si>
  <si>
    <t xml:space="preserve">Build self-service internal platforms and paved paths that streamline delivery.</t>
  </si>
  <si>
    <t xml:space="preserve">Maintains existing self-service platform components under review, addressing documented user requests.</t>
  </si>
  <si>
    <t xml:space="preserve">Independently builds and supports standard platform capabilities and templates for routine developer needs with review.</t>
  </si>
  <si>
    <t xml:space="preserve">Designs self-service workflows for ambiguous needs, reducing friction and resolving hard abstraction and adoption issues.</t>
  </si>
  <si>
    <t xml:space="preserve">Defines platform architecture and golden paths others adopt, solving deep developer-experience and leverage problems.</t>
  </si>
  <si>
    <t xml:space="preserve">Sets organization-wide platform strategy, anticipating how developer-experience engineering should evolve.</t>
  </si>
  <si>
    <t xml:space="preserve">Defines what excellent platform engineering means for the field, shaping industry developer-experience practice.</t>
  </si>
  <si>
    <t xml:space="preserve">OPS-28</t>
  </si>
  <si>
    <t xml:space="preserve">Operating Mindset</t>
  </si>
  <si>
    <t xml:space="preserve">Automation-first operations</t>
  </si>
  <si>
    <t xml:space="preserve">Default to eliminating toil by automating repetitive operational work.</t>
  </si>
  <si>
    <t xml:space="preserve">Runs and lightly edits existing automation under review, flagging tasks that remain manual.</t>
  </si>
  <si>
    <t xml:space="preserve">Independently automates routine operational tasks and integrates them into standard workflows with normal review.</t>
  </si>
  <si>
    <t xml:space="preserve">Designs automation for ambiguous, error-prone toil and resolves hard reliability and orchestration issues in pipelines.</t>
  </si>
  <si>
    <t xml:space="preserve">Defines automation patterns and toil-elimination practices others adopt, solving deep workflow and safety problems.</t>
  </si>
  <si>
    <t xml:space="preserve">Sets organization-wide automation strategy, anticipating where automation-first operations should head.</t>
  </si>
  <si>
    <t xml:space="preserve">Defines what automation-first operations means for the discipline, externally credible in shaping the practice.</t>
  </si>
  <si>
    <t xml:space="preserve">OPS-29</t>
  </si>
  <si>
    <t xml:space="preserve">Systems thinking &amp; failure-mode reasoning</t>
  </si>
  <si>
    <t xml:space="preserve">Reason about emergent behavior and cascading failures across interdependent systems.</t>
  </si>
  <si>
    <t xml:space="preserve">Traces simple cause-and-effect across components under guidance, identifying obvious failure points.</t>
  </si>
  <si>
    <t xml:space="preserve">Independently maps standard system interactions and reasons through routine failure modes with normal review.</t>
  </si>
  <si>
    <t xml:space="preserve">Analyzes emergent behavior and cascading failures in ambiguous systems, anticipating non-obvious failure interactions.</t>
  </si>
  <si>
    <t xml:space="preserve">Defines failure-mode reasoning methods others adopt, solving deep systemic and feedback-loop problems others miss.</t>
  </si>
  <si>
    <t xml:space="preserve">Sets organization-wide approaches to systems reasoning, anticipating where complex-failure analysis is heading.</t>
  </si>
  <si>
    <t xml:space="preserve">Defines what rigorous systems thinking means for the discipline, externally credible in shaping the practice.</t>
  </si>
  <si>
    <t xml:space="preserve">SEC-01</t>
  </si>
  <si>
    <t xml:space="preserve">Security Engineering</t>
  </si>
  <si>
    <t xml:space="preserve">Identity &amp; Access</t>
  </si>
  <si>
    <t xml:space="preserve">Identity &amp; access management</t>
  </si>
  <si>
    <t xml:space="preserve">Govern identities, authentication, and least-privilege authorization across systems.</t>
  </si>
  <si>
    <t xml:space="preserve">Provisions and deprovisions accounts from documented procedures, with approvals and access reviewed before activation.</t>
  </si>
  <si>
    <t xml:space="preserve">Configures roles, group membership, and authentication factors independently for standard joiners, movers, and leavers.</t>
  </si>
  <si>
    <t xml:space="preserve">Resolves complex entitlement conflicts and designs least-privilege role models for ambiguous, cross-system access needs.</t>
  </si>
  <si>
    <t xml:space="preserve">Defines the identity lifecycle and authorization architecture that other engineers adopt across the organization.</t>
  </si>
  <si>
    <t xml:space="preserve">Sets identity strategy, governs federation and privileged-access standards, and anticipates emerging access risks.</t>
  </si>
  <si>
    <t xml:space="preserve">Defines what sound identity practice means for the field and shapes how others govern access.</t>
  </si>
  <si>
    <t xml:space="preserve">SEC-02</t>
  </si>
  <si>
    <t xml:space="preserve">Secrets &amp; key management</t>
  </si>
  <si>
    <t xml:space="preserve">Securely generate, store, rotate, and distribute credentials and keys.</t>
  </si>
  <si>
    <t xml:space="preserve">Stores and retrieves secrets using approved vaults, following rotation and handling procedures under review.</t>
  </si>
  <si>
    <t xml:space="preserve">Configures secret storage, rotation schedules, and access scoping independently for routine services.</t>
  </si>
  <si>
    <t xml:space="preserve">Designs key hierarchies and rotation strategies for complex systems with conflicting availability and security constraints.</t>
  </si>
  <si>
    <t xml:space="preserve">Defines the secrets and key-management architecture and lifecycle others implement organization-wide.</t>
  </si>
  <si>
    <t xml:space="preserve">Sets cryptographic-key governance and custody strategy and anticipates risks from emerging key threats.</t>
  </si>
  <si>
    <t xml:space="preserve">Defines authoritative practice for secret and key stewardship that practitioners across the field adopt.</t>
  </si>
  <si>
    <t xml:space="preserve">SEC-03</t>
  </si>
  <si>
    <t xml:space="preserve">Cryptography &amp; data protection</t>
  </si>
  <si>
    <t xml:space="preserve">Apply encryption, hashing, and key practices to protect data at rest and in transit.</t>
  </si>
  <si>
    <t xml:space="preserve">Applies approved encryption settings and protects data following documented schemes, with choices reviewed.</t>
  </si>
  <si>
    <t xml:space="preserve">Selects and configures standard cryptographic primitives and data-protection controls independently for common cases.</t>
  </si>
  <si>
    <t xml:space="preserve">Designs encryption schemes and key-usage patterns for ambiguous threat and compliance trade-offs.</t>
  </si>
  <si>
    <t xml:space="preserve">Defines the cryptographic and data-protection patterns others reuse and resolves problems they cannot.</t>
  </si>
  <si>
    <t xml:space="preserve">Sets cryptographic standards and migration strategy and anticipates shifts such as quantum-resistant needs.</t>
  </si>
  <si>
    <t xml:space="preserve">Defines what sound applied cryptography means for the discipline and influences industry data-protection norms.</t>
  </si>
  <si>
    <t xml:space="preserve">SEC-04</t>
  </si>
  <si>
    <t xml:space="preserve">Zero-trust &amp; policy-based access control</t>
  </si>
  <si>
    <t xml:space="preserve">Enforce continuous, context-aware authorization rather than implicit network trust.</t>
  </si>
  <si>
    <t xml:space="preserve">Implements access policies from defined rules, verifying identity and context before granting under review.</t>
  </si>
  <si>
    <t xml:space="preserve">Authors and tests policy rules for standard resources, enforcing context-aware checks independently.</t>
  </si>
  <si>
    <t xml:space="preserve">Designs segmentation and policy models that resolve ambiguous trust boundaries and hard exceptions.</t>
  </si>
  <si>
    <t xml:space="preserve">Defines the zero-trust architecture and policy framework other teams adopt.</t>
  </si>
  <si>
    <t xml:space="preserve">Sets the organization's zero-trust strategy and anticipates how trust models must evolve.</t>
  </si>
  <si>
    <t xml:space="preserve">Defines what mature zero-trust means for the field and shapes how the industry approaches it.</t>
  </si>
  <si>
    <t xml:space="preserve">SEC-05</t>
  </si>
  <si>
    <t xml:space="preserve">Defensive Security</t>
  </si>
  <si>
    <t xml:space="preserve">Threat modeling</t>
  </si>
  <si>
    <t xml:space="preserve">Systematically identify assets, threats, and attack surfaces to guide defenses.</t>
  </si>
  <si>
    <t xml:space="preserve">Documents assets, entry points, and obvious threats for a component using a guided method, reviewed by others.</t>
  </si>
  <si>
    <t xml:space="preserve">Produces complete threat models for standard systems independently, identifying realistic threats and mitigations.</t>
  </si>
  <si>
    <t xml:space="preserve">Models complex, ambiguous architectures and prioritizes subtle, chained threats others miss.</t>
  </si>
  <si>
    <t xml:space="preserve">Defines the threat-modeling methodology and reusable patterns others adopt across teams.</t>
  </si>
  <si>
    <t xml:space="preserve">Sets threat-modeling strategy and anticipates classes of threats before they become prevalent.</t>
  </si>
  <si>
    <t xml:space="preserve">Defines authoritative threat-modeling practice that shapes how the discipline reasons about risk.</t>
  </si>
  <si>
    <t xml:space="preserve">SEC-06</t>
  </si>
  <si>
    <t xml:space="preserve">Vulnerability management &amp; remediation</t>
  </si>
  <si>
    <t xml:space="preserve">Discover, prioritize, and drive remediation of weaknesses across the estate.</t>
  </si>
  <si>
    <t xml:space="preserve">Triages and tracks scanner findings, verifying fixes against documented severity and remediation steps.</t>
  </si>
  <si>
    <t xml:space="preserve">Independently validates, prioritizes, and coordinates remediation for routine vulnerabilities through closure.</t>
  </si>
  <si>
    <t xml:space="preserve">Resolves ambiguous, hard-to-reproduce, or high-impact vulnerabilities and sets local remediation standards.</t>
  </si>
  <si>
    <t xml:space="preserve">Defines the vulnerability-management lifecycle and prioritization approach others follow.</t>
  </si>
  <si>
    <t xml:space="preserve">Sets enterprise remediation strategy and anticipates exposure trends across the portfolio.</t>
  </si>
  <si>
    <t xml:space="preserve">Defines what effective vulnerability management means for the field and influences its practice.</t>
  </si>
  <si>
    <t xml:space="preserve">SEC-07</t>
  </si>
  <si>
    <t xml:space="preserve">Security monitoring &amp; detection</t>
  </si>
  <si>
    <t xml:space="preserve">Collect, correlate, and alert on signals to detect malicious activity.</t>
  </si>
  <si>
    <t xml:space="preserve">Monitors alerts and triages events against documented playbooks, escalating uncertain cases for review.</t>
  </si>
  <si>
    <t xml:space="preserve">Tunes detections and investigates standard alerts independently, reducing routine false positives.</t>
  </si>
  <si>
    <t xml:space="preserve">Authors high-fidelity detections for novel and ambiguous adversary behavior across noisy signals.</t>
  </si>
  <si>
    <t xml:space="preserve">Defines detection engineering methods and coverage strategy that other analysts adopt.</t>
  </si>
  <si>
    <t xml:space="preserve">Sets monitoring and detection strategy and anticipates evasion techniques before they appear.</t>
  </si>
  <si>
    <t xml:space="preserve">Defines authoritative detection practice and shapes how the discipline approaches monitoring.</t>
  </si>
  <si>
    <t xml:space="preserve">SEC-08</t>
  </si>
  <si>
    <t xml:space="preserve">Security hardening &amp; baseline configuration</t>
  </si>
  <si>
    <t xml:space="preserve">Reduce attack surface by applying secure configuration standards to systems.</t>
  </si>
  <si>
    <t xml:space="preserve">Applies hardening baselines from checklists and verifies configurations against documented standards.</t>
  </si>
  <si>
    <t xml:space="preserve">Hardens standard systems independently and adapts baselines to routine configuration variation.</t>
  </si>
  <si>
    <t xml:space="preserve">Designs hardening baselines for complex systems, balancing security against operational constraints.</t>
  </si>
  <si>
    <t xml:space="preserve">Defines the hardening standards and reusable baselines other teams adopt.</t>
  </si>
  <si>
    <t xml:space="preserve">Sets configuration-security strategy and anticipates hardening needs for emerging platforms.</t>
  </si>
  <si>
    <t xml:space="preserve">Defines what authoritative hardening practice means for the field and influences accepted baselines.</t>
  </si>
  <si>
    <t xml:space="preserve">SEC-09</t>
  </si>
  <si>
    <t xml:space="preserve">Supply-chain &amp; artifact security</t>
  </si>
  <si>
    <t xml:space="preserve">Verify provenance and integrity of dependencies, builds, and deployed artifacts.</t>
  </si>
  <si>
    <t xml:space="preserve">Verifies artifact provenance and signatures following documented checks, escalating anomalies for review.</t>
  </si>
  <si>
    <t xml:space="preserve">Configures signing, dependency scanning, and provenance controls independently for standard pipelines.</t>
  </si>
  <si>
    <t xml:space="preserve">Designs artifact-integrity and dependency-trust controls for complex, ambiguous supply chains.</t>
  </si>
  <si>
    <t xml:space="preserve">Defines the supply-chain security architecture and verification patterns others adopt.</t>
  </si>
  <si>
    <t xml:space="preserve">Sets supply-chain assurance strategy and anticipates emerging artifact and dependency threats.</t>
  </si>
  <si>
    <t xml:space="preserve">Defines authoritative supply-chain security practice that shapes industry expectations.</t>
  </si>
  <si>
    <t xml:space="preserve">SEC-10</t>
  </si>
  <si>
    <t xml:space="preserve">Digital forensics &amp; malware analysis</t>
  </si>
  <si>
    <t xml:space="preserve">Investigate compromises by analyzing artifacts, evidence, and malicious code.</t>
  </si>
  <si>
    <t xml:space="preserve">Collects and preserves evidence following chain-of-custody procedures, with analysis reviewed.</t>
  </si>
  <si>
    <t xml:space="preserve">Conducts standard forensic examinations and basic malware triage independently, documenting findings.</t>
  </si>
  <si>
    <t xml:space="preserve">Reconstructs complex incidents and reverse-engineers obfuscated samples others cannot interpret.</t>
  </si>
  <si>
    <t xml:space="preserve">Defines forensic and analysis methodologies and tooling approaches others adopt.</t>
  </si>
  <si>
    <t xml:space="preserve">Sets investigative strategy and anticipates evolving anti-forensic and malware techniques.</t>
  </si>
  <si>
    <t xml:space="preserve">Defines authoritative forensic and malware-analysis practice that shapes the discipline.</t>
  </si>
  <si>
    <t xml:space="preserve">SEC-11</t>
  </si>
  <si>
    <t xml:space="preserve">Offensive Security</t>
  </si>
  <si>
    <t xml:space="preserve">Penetration testing &amp; offensive security</t>
  </si>
  <si>
    <t xml:space="preserve">Emulate adversaries to find and demonstrate exploitable weaknesses.</t>
  </si>
  <si>
    <t xml:space="preserve">Executes scoped test cases under guidance, documenting findings against an approved methodology.</t>
  </si>
  <si>
    <t xml:space="preserve">Conducts standard penetration tests independently and reports exploitable findings with clear evidence.</t>
  </si>
  <si>
    <t xml:space="preserve">Chains subtle weaknesses into impactful attacks in ambiguous, well-defended environments.</t>
  </si>
  <si>
    <t xml:space="preserve">Defines testing methodology and tradecraft that other testers adopt.</t>
  </si>
  <si>
    <t xml:space="preserve">Sets offensive-testing strategy and anticipates attack surfaces before they are widely understood.</t>
  </si>
  <si>
    <t xml:space="preserve">Defines what rigorous offensive testing means for the field and influences its practice.</t>
  </si>
  <si>
    <t xml:space="preserve">SEC-12</t>
  </si>
  <si>
    <t xml:space="preserve">Adversarial testing of AI systems / red teaming</t>
  </si>
  <si>
    <t xml:space="preserve">Probe AI systems for jailbreaks, prompt injection, and unsafe or harmful behavior.</t>
  </si>
  <si>
    <t xml:space="preserve">Runs predefined adversarial prompts and probes, recording model failures under guidance.</t>
  </si>
  <si>
    <t xml:space="preserve">Designs and executes standard adversarial tests independently, documenting reproducible weaknesses.</t>
  </si>
  <si>
    <t xml:space="preserve">Discovers novel, ambiguous failure modes and bypasses in well-guarded AI systems.</t>
  </si>
  <si>
    <t xml:space="preserve">Defines AI red-teaming methodology and evaluation patterns others adopt.</t>
  </si>
  <si>
    <t xml:space="preserve">Sets adversarial-AI testing strategy and anticipates emerging model attack classes.</t>
  </si>
  <si>
    <t xml:space="preserve">Defines authoritative AI red-teaming practice that shapes how the field tests AI safety.</t>
  </si>
  <si>
    <t xml:space="preserve">SEC-13</t>
  </si>
  <si>
    <t xml:space="preserve">Exploit development &amp; weakness research</t>
  </si>
  <si>
    <t xml:space="preserve">Research and weaponize flaws to validate real-world exploitability.</t>
  </si>
  <si>
    <t xml:space="preserve">Reproduces known weaknesses and adapts existing proof-of-concepts under close review.</t>
  </si>
  <si>
    <t xml:space="preserve">Develops reliable exploits for standard, documented weakness classes independently.</t>
  </si>
  <si>
    <t xml:space="preserve">Discovers and weaponizes novel weaknesses in hardened targets others cannot crack.</t>
  </si>
  <si>
    <t xml:space="preserve">Defines research techniques and exploitation primitives other researchers adopt.</t>
  </si>
  <si>
    <t xml:space="preserve">Sets weakness-research direction and anticipates new exploitation classes ahead of the field.</t>
  </si>
  <si>
    <t xml:space="preserve">Defines authoritative exploit-research practice and shapes the discipline's frontier.</t>
  </si>
  <si>
    <t xml:space="preserve">SEC-14</t>
  </si>
  <si>
    <t xml:space="preserve">Social engineering &amp; human-factor testing</t>
  </si>
  <si>
    <t xml:space="preserve">Assess susceptibility to manipulation through pretexting and phishing simulations.</t>
  </si>
  <si>
    <t xml:space="preserve">Executes approved phishing or pretext scripts under supervision and records target responses.</t>
  </si>
  <si>
    <t xml:space="preserve">Designs and runs standard social-engineering campaigns independently within agreed rules of engagement.</t>
  </si>
  <si>
    <t xml:space="preserve">Crafts convincing, context-aware pretexts that succeed against security-aware, ambiguous targets.</t>
  </si>
  <si>
    <t xml:space="preserve">Defines human-factor testing methodology and ethical guardrails others adopt.</t>
  </si>
  <si>
    <t xml:space="preserve">Sets human-factor testing strategy and anticipates evolving manipulation techniques.</t>
  </si>
  <si>
    <t xml:space="preserve">Defines authoritative human-factor testing practice that shapes the discipline.</t>
  </si>
  <si>
    <t xml:space="preserve">SEC-15</t>
  </si>
  <si>
    <t xml:space="preserve">Governance &amp; Mindset</t>
  </si>
  <si>
    <t xml:space="preserve">Security governance, risk &amp; policy</t>
  </si>
  <si>
    <t xml:space="preserve">Frame risk, controls, and policy to align security with organizational obligations.</t>
  </si>
  <si>
    <t xml:space="preserve">Maintains policy documents and risk-register entries following templates, reviewed before publication.</t>
  </si>
  <si>
    <t xml:space="preserve">Drafts standard policies and assesses routine risks independently against established frameworks.</t>
  </si>
  <si>
    <t xml:space="preserve">Resolves ambiguous risk trade-offs and tailors governance for complex, contested contexts.</t>
  </si>
  <si>
    <t xml:space="preserve">Defines the governance and risk frameworks other teams adopt.</t>
  </si>
  <si>
    <t xml:space="preserve">Sets enterprise security governance strategy and anticipates regulatory and risk shifts.</t>
  </si>
  <si>
    <t xml:space="preserve">Defines what sound security governance means for the field and influences external standards.</t>
  </si>
  <si>
    <t xml:space="preserve">SEC-16</t>
  </si>
  <si>
    <t xml:space="preserve">Adversarial mindset &amp; ethical conduct</t>
  </si>
  <si>
    <t xml:space="preserve">Think like an attacker while operating within legal and ethical boundaries.</t>
  </si>
  <si>
    <t xml:space="preserve">Questions assumptions on prompting and follows ethical and authorization rules under guidance.</t>
  </si>
  <si>
    <t xml:space="preserve">Independently spots realistic abuse cases and consistently operates within ethical boundaries.</t>
  </si>
  <si>
    <t xml:space="preserve">Anticipates subtle attacker reasoning in ambiguous situations while modeling sound ethical judgment.</t>
  </si>
  <si>
    <t xml:space="preserve">Teaches adversarial thinking and ethical decision-making that others adopt as their model.</t>
  </si>
  <si>
    <t xml:space="preserve">Sets the standard for ethical adversarial practice and anticipates emerging ethical dilemmas.</t>
  </si>
  <si>
    <t xml:space="preserve">Defines what principled adversarial conduct means for the discipline and shapes its norms.</t>
  </si>
  <si>
    <t xml:space="preserve">SEC-17</t>
  </si>
  <si>
    <t xml:space="preserve">Security awareness &amp; shift-left advocacy</t>
  </si>
  <si>
    <t xml:space="preserve">Champion secure practices early and embed security into everyday engineering.</t>
  </si>
  <si>
    <t xml:space="preserve">Delivers prepared awareness material and flags security concerns early under guidance.</t>
  </si>
  <si>
    <t xml:space="preserve">Tailors awareness content and embeds standard secure practices into routine team workflows independently.</t>
  </si>
  <si>
    <t xml:space="preserve">Drives security adoption in resistant, ambiguous contexts and sets the local shift-left standard.</t>
  </si>
  <si>
    <t xml:space="preserve">Defines awareness and shift-left programs other teams adopt.</t>
  </si>
  <si>
    <t xml:space="preserve">Sets the organization's security-culture strategy and anticipates shifts in developer behavior.</t>
  </si>
  <si>
    <t xml:space="preserve">Defines what effective security culture means for the field and influences how it is fostered.</t>
  </si>
  <si>
    <t xml:space="preserve">QA-01</t>
  </si>
  <si>
    <t xml:space="preserve">Quality Engineering &amp; Test</t>
  </si>
  <si>
    <t xml:space="preserve">Test Strategy &amp; Design</t>
  </si>
  <si>
    <t xml:space="preserve">Test strategy &amp; planning</t>
  </si>
  <si>
    <t xml:space="preserve">Defining test scope, levels, priorities, and coverage goals aligned to risk and product objectives.</t>
  </si>
  <si>
    <t xml:space="preserve">Drafts test plans from templates for defined features, reviewed before execution.</t>
  </si>
  <si>
    <t xml:space="preserve">Produces complete test strategies for standard projects independently, scoping coverage and risk.</t>
  </si>
  <si>
    <t xml:space="preserve">Devises test strategies for ambiguous, high-risk programs balancing coverage, time, and cost.</t>
  </si>
  <si>
    <t xml:space="preserve">Defines the test-strategy approach and planning patterns other teams adopt.</t>
  </si>
  <si>
    <t xml:space="preserve">Sets organizational quality strategy and anticipates how testing must evolve with delivery.</t>
  </si>
  <si>
    <t xml:space="preserve">Defines what effective test strategy means for the discipline and influences its practice.</t>
  </si>
  <si>
    <t xml:space="preserve">QA-02</t>
  </si>
  <si>
    <t xml:space="preserve">Test case design &amp; techniques</t>
  </si>
  <si>
    <t xml:space="preserve">Deriving effective test cases using equivalence, boundary, decision-table, and state-based techniques.</t>
  </si>
  <si>
    <t xml:space="preserve">Writes test cases from clear requirements using prescribed techniques, reviewed for coverage.</t>
  </si>
  <si>
    <t xml:space="preserve">Designs effective test cases independently, applying standard techniques to cover routine variation.</t>
  </si>
  <si>
    <t xml:space="preserve">Designs minimal, high-yield cases for ambiguous requirements and complex condition combinations.</t>
  </si>
  <si>
    <t xml:space="preserve">Defines case-design techniques and reusable patterns others adopt.</t>
  </si>
  <si>
    <t xml:space="preserve">Sets case-design standards and anticipates techniques needed for new system classes.</t>
  </si>
  <si>
    <t xml:space="preserve">Defines authoritative test-design practice that shapes how the discipline designs tests.</t>
  </si>
  <si>
    <t xml:space="preserve">QA-03</t>
  </si>
  <si>
    <t xml:space="preserve">Exploratory &amp; manual testing</t>
  </si>
  <si>
    <t xml:space="preserve">Unscripted investigative testing to uncover defects, usability issues, and unspecified behaviors.</t>
  </si>
  <si>
    <t xml:space="preserve">Executes guided exploratory sessions and reports defects clearly under review.</t>
  </si>
  <si>
    <t xml:space="preserve">Runs self-directed exploratory sessions independently, uncovering issues beyond scripted cases.</t>
  </si>
  <si>
    <t xml:space="preserve">Uncovers subtle, high-impact defects in ambiguous areas through skilled exploratory charters.</t>
  </si>
  <si>
    <t xml:space="preserve">Defines exploratory methods and charters others adopt to find what scripts miss.</t>
  </si>
  <si>
    <t xml:space="preserve">Sets exploratory-testing strategy and anticipates where investigative effort yields most value.</t>
  </si>
  <si>
    <t xml:space="preserve">Defines authoritative exploratory practice that shapes how the discipline explores quality.</t>
  </si>
  <si>
    <t xml:space="preserve">QA-04</t>
  </si>
  <si>
    <t xml:space="preserve">Risk-based &amp; shift-left quality</t>
  </si>
  <si>
    <t xml:space="preserve">Prioritizing quality effort by risk and embedding testing early across the delivery lifecycle.</t>
  </si>
  <si>
    <t xml:space="preserve">Identifies obvious quality risks and contributes early-stage checks under guidance.</t>
  </si>
  <si>
    <t xml:space="preserve">Prioritizes routine testing by risk and embeds standard quality checks early independently.</t>
  </si>
  <si>
    <t xml:space="preserve">Drives risk-based focus across ambiguous, high-stakes work and sets the local shift-left standard.</t>
  </si>
  <si>
    <t xml:space="preserve">Defines the risk-based and shift-left approach other teams adopt.</t>
  </si>
  <si>
    <t xml:space="preserve">Sets organizational risk-based quality strategy and anticipates where quality must move earlier.</t>
  </si>
  <si>
    <t xml:space="preserve">Defines what mature shift-left quality means for the field and influences its adoption.</t>
  </si>
  <si>
    <t xml:space="preserve">QA-05</t>
  </si>
  <si>
    <t xml:space="preserve">Test Automation</t>
  </si>
  <si>
    <t xml:space="preserve">Test automation architecture</t>
  </si>
  <si>
    <t xml:space="preserve">Designing maintainable, layered automation frameworks and reusable test infrastructure.</t>
  </si>
  <si>
    <t xml:space="preserve">Adds tests to an existing automation framework following established patterns under review.</t>
  </si>
  <si>
    <t xml:space="preserve">Builds and extends automation suites independently using sound, maintainable structure.</t>
  </si>
  <si>
    <t xml:space="preserve">Designs resilient automation frameworks for complex, ambiguous systems and flaky conditions.</t>
  </si>
  <si>
    <t xml:space="preserve">Defines the automation architecture and patterns other engineers adopt.</t>
  </si>
  <si>
    <t xml:space="preserve">Sets automation strategy and anticipates architectural needs as systems and pipelines evolve.</t>
  </si>
  <si>
    <t xml:space="preserve">Defines authoritative test-automation architecture that shapes how the discipline builds it.</t>
  </si>
  <si>
    <t xml:space="preserve">QA-06</t>
  </si>
  <si>
    <t xml:space="preserve">UI &amp; end-to-end automation</t>
  </si>
  <si>
    <t xml:space="preserve">Automating user-facing flows reliably across interfaces while minimizing flakiness.</t>
  </si>
  <si>
    <t xml:space="preserve">Automates defined UI flows using existing patterns, with scripts reviewed for reliability.</t>
  </si>
  <si>
    <t xml:space="preserve">Builds and maintains stable end-to-end UI tests independently for standard journeys.</t>
  </si>
  <si>
    <t xml:space="preserve">Stabilizes flaky, complex end-to-end flows and designs resilient locator and wait strategies.</t>
  </si>
  <si>
    <t xml:space="preserve">Defines UI and end-to-end automation patterns others adopt for reliability at scale.</t>
  </si>
  <si>
    <t xml:space="preserve">Sets end-to-end automation strategy and anticipates challenges from evolving interfaces.</t>
  </si>
  <si>
    <t xml:space="preserve">Defines authoritative end-to-end automation practice that shapes the discipline.</t>
  </si>
  <si>
    <t xml:space="preserve">QA-07</t>
  </si>
  <si>
    <t xml:space="preserve">API &amp; service-level testing</t>
  </si>
  <si>
    <t xml:space="preserve">Validating contracts, integrations, and service behavior below the user interface.</t>
  </si>
  <si>
    <t xml:space="preserve">Executes and extends API tests from examples, validating responses under review.</t>
  </si>
  <si>
    <t xml:space="preserve">Designs and automates service-level tests independently for standard contracts and flows.</t>
  </si>
  <si>
    <t xml:space="preserve">Tests complex service interactions, contracts, and edge behaviors in ambiguous integrations.</t>
  </si>
  <si>
    <t xml:space="preserve">Defines service-testing and contract-verification patterns others adopt.</t>
  </si>
  <si>
    <t xml:space="preserve">Sets service-level testing strategy and anticipates needs as service architectures evolve.</t>
  </si>
  <si>
    <t xml:space="preserve">Defines authoritative service-testing practice that shapes how the discipline tests services.</t>
  </si>
  <si>
    <t xml:space="preserve">QA-08</t>
  </si>
  <si>
    <t xml:space="preserve">Continuous testing in delivery pipelines</t>
  </si>
  <si>
    <t xml:space="preserve">Integrating automated quality gates into build and deployment pipelines for fast feedback.</t>
  </si>
  <si>
    <t xml:space="preserve">Adds tests to existing pipeline stages following defined configuration, reviewed before merge.</t>
  </si>
  <si>
    <t xml:space="preserve">Integrates and maintains automated test stages independently within standard pipelines.</t>
  </si>
  <si>
    <t xml:space="preserve">Designs fast, reliable test gating for complex pipelines balancing speed and confidence.</t>
  </si>
  <si>
    <t xml:space="preserve">Defines continuous-testing patterns and gating strategy other teams adopt.</t>
  </si>
  <si>
    <t xml:space="preserve">Sets continuous-testing strategy and anticipates how quality gates must evolve with delivery.</t>
  </si>
  <si>
    <t xml:space="preserve">Defines authoritative continuous-testing practice that shapes the discipline.</t>
  </si>
  <si>
    <t xml:space="preserve">QA-09</t>
  </si>
  <si>
    <t xml:space="preserve">Specialized Testing</t>
  </si>
  <si>
    <t xml:space="preserve">Performance &amp; load testing</t>
  </si>
  <si>
    <t xml:space="preserve">Assessing responsiveness, throughput, and stability under expected and peak demand.</t>
  </si>
  <si>
    <t xml:space="preserve">Runs predefined performance scenarios and records results against documented thresholds.</t>
  </si>
  <si>
    <t xml:space="preserve">Designs and executes standard load tests independently, identifying obvious bottlenecks.</t>
  </si>
  <si>
    <t xml:space="preserve">Diagnoses subtle performance issues under realistic, ambiguous load and contention conditions.</t>
  </si>
  <si>
    <t xml:space="preserve">Defines performance-testing methodology and modeling approaches others adopt.</t>
  </si>
  <si>
    <t xml:space="preserve">Sets performance-engineering strategy and anticipates scaling limits before they bite.</t>
  </si>
  <si>
    <t xml:space="preserve">Defines authoritative performance-testing practice that shapes how the discipline measures it.</t>
  </si>
  <si>
    <t xml:space="preserve">QA-10</t>
  </si>
  <si>
    <t xml:space="preserve">Security &amp; vulnerability testing</t>
  </si>
  <si>
    <t xml:space="preserve">Probing systems for weaknesses, misconfigurations, and exploitable flaws.</t>
  </si>
  <si>
    <t xml:space="preserve">Runs prescribed security test cases and reports findings against documented criteria under review.</t>
  </si>
  <si>
    <t xml:space="preserve">Conducts standard security and vulnerability tests independently, validating common weaknesses.</t>
  </si>
  <si>
    <t xml:space="preserve">Uncovers subtle security defects in ambiguous flows and chains them into meaningful risk.</t>
  </si>
  <si>
    <t xml:space="preserve">Defines security-testing methods integrated into quality practice that others adopt.</t>
  </si>
  <si>
    <t xml:space="preserve">Sets security-testing strategy within quality and anticipates emerging weakness classes.</t>
  </si>
  <si>
    <t xml:space="preserve">Defines authoritative security-in-quality practice that shapes the discipline.</t>
  </si>
  <si>
    <t xml:space="preserve">QA-11</t>
  </si>
  <si>
    <t xml:space="preserve">Accessibility &amp; compatibility testing</t>
  </si>
  <si>
    <t xml:space="preserve">Verifying inclusive usability and consistent behavior across devices, platforms, and assistive tech.</t>
  </si>
  <si>
    <t xml:space="preserve">Runs prescribed accessibility and compatibility checks, reporting issues against standards under review.</t>
  </si>
  <si>
    <t xml:space="preserve">Tests standard accessibility and cross-environment compatibility independently against guidelines.</t>
  </si>
  <si>
    <t xml:space="preserve">Diagnoses subtle accessibility and compatibility defects across ambiguous, diverse contexts.</t>
  </si>
  <si>
    <t xml:space="preserve">Defines accessibility and compatibility testing approaches other teams adopt.</t>
  </si>
  <si>
    <t xml:space="preserve">Sets inclusive-quality strategy and anticipates accessibility needs across emerging contexts.</t>
  </si>
  <si>
    <t xml:space="preserve">Defines authoritative accessibility-testing practice that shapes how the discipline approaches it.</t>
  </si>
  <si>
    <t xml:space="preserve">QA-12</t>
  </si>
  <si>
    <t xml:space="preserve">Quality Operations</t>
  </si>
  <si>
    <t xml:space="preserve">Test data &amp; environment management</t>
  </si>
  <si>
    <t xml:space="preserve">Provisioning, masking, and maintaining realistic data and stable environments for testing.</t>
  </si>
  <si>
    <t xml:space="preserve">Provisions test data and environments from documented procedures under review.</t>
  </si>
  <si>
    <t xml:space="preserve">Manages standard test data and environments independently, ensuring consistent, valid conditions.</t>
  </si>
  <si>
    <t xml:space="preserve">Designs reliable, representative data and environment strategies for complex, ambiguous needs.</t>
  </si>
  <si>
    <t xml:space="preserve">Defines test-data and environment-management patterns other teams adopt.</t>
  </si>
  <si>
    <t xml:space="preserve">Sets data and environment strategy and anticipates needs as systems and privacy demands evolve.</t>
  </si>
  <si>
    <t xml:space="preserve">Defines authoritative test-data and environment practice that shapes the discipline.</t>
  </si>
  <si>
    <t xml:space="preserve">QA-13</t>
  </si>
  <si>
    <t xml:space="preserve">Defect lifecycle management</t>
  </si>
  <si>
    <t xml:space="preserve">Tracking, triaging, prioritizing, and driving defects to resolution with clear reporting.</t>
  </si>
  <si>
    <t xml:space="preserve">Logs and updates defects with clear detail following the defined workflow under review.</t>
  </si>
  <si>
    <t xml:space="preserve">Manages defects independently through triage, prioritization, and verification for routine cases.</t>
  </si>
  <si>
    <t xml:space="preserve">Drives resolution of ambiguous, cross-team defects and sets the local quality bar for reporting.</t>
  </si>
  <si>
    <t xml:space="preserve">Defines the defect-management workflow and triage approach others adopt.</t>
  </si>
  <si>
    <t xml:space="preserve">Sets defect-management strategy and anticipates trends from defect patterns.</t>
  </si>
  <si>
    <t xml:space="preserve">Defines authoritative defect-lifecycle practice that shapes how the discipline manages defects.</t>
  </si>
  <si>
    <t xml:space="preserve">QA-14</t>
  </si>
  <si>
    <t xml:space="preserve">Quality metrics &amp; reporting</t>
  </si>
  <si>
    <t xml:space="preserve">Measuring coverage, escape rates, and quality trends to inform release decisions.</t>
  </si>
  <si>
    <t xml:space="preserve">Compiles defined quality metrics into standard reports under review.</t>
  </si>
  <si>
    <t xml:space="preserve">Produces meaningful quality reports independently, selecting relevant metrics for routine needs.</t>
  </si>
  <si>
    <t xml:space="preserve">Designs metrics that reveal real quality signals in ambiguous, contested contexts.</t>
  </si>
  <si>
    <t xml:space="preserve">Defines the quality-metrics framework and reporting patterns others adopt.</t>
  </si>
  <si>
    <t xml:space="preserve">Sets quality-measurement strategy and anticipates which signals will matter as delivery evolves.</t>
  </si>
  <si>
    <t xml:space="preserve">Defines what meaningful quality measurement means for the field and influences its practice.</t>
  </si>
  <si>
    <t xml:space="preserve">GAME-01</t>
  </si>
  <si>
    <t xml:space="preserve">Game Development</t>
  </si>
  <si>
    <t xml:space="preserve">Engine &amp; Runtime</t>
  </si>
  <si>
    <t xml:space="preserve">Game loop &amp; real-time simulation</t>
  </si>
  <si>
    <t xml:space="preserve">Structuring frame-driven update, timing, and state progression for real-time interactivity.</t>
  </si>
  <si>
    <t xml:space="preserve">Implements update steps within an existing loop on guided, well-scoped tasks under review.</t>
  </si>
  <si>
    <t xml:space="preserve">Builds standard fixed/variable timestep loops independently, handling routine frame-timing variation.</t>
  </si>
  <si>
    <t xml:space="preserve">Owns the simulation loop autonomously, resolving timing, ordering, and determinism edge cases.</t>
  </si>
  <si>
    <t xml:space="preserve">Defines the loop architecture and update model others adopt across systems.</t>
  </si>
  <si>
    <t xml:space="preserve">Sets simulation-timing strategy and standards, anticipating scaling and platform shifts.</t>
  </si>
  <si>
    <t xml:space="preserve">Defines what robust real-time simulation means for the field and influences industry practice.</t>
  </si>
  <si>
    <t xml:space="preserve">GAME-02</t>
  </si>
  <si>
    <t xml:space="preserve">Physics &amp; collision systems</t>
  </si>
  <si>
    <t xml:space="preserve">Modeling motion, forces, and collision detection and response for believable interaction.</t>
  </si>
  <si>
    <t xml:space="preserve">Adds colliders and tunes parameters on defined tasks with reviewed results.</t>
  </si>
  <si>
    <t xml:space="preserve">Implements standard collision detection and response independently for routine cases.</t>
  </si>
  <si>
    <t xml:space="preserve">Resolves tunneling, stacking, and stability issues autonomously across hard scenarios.</t>
  </si>
  <si>
    <t xml:space="preserve">Designs the physics solver and broadphase approach others build on.</t>
  </si>
  <si>
    <t xml:space="preserve">Sets physics-fidelity and performance strategy, anticipating new simulation demands.</t>
  </si>
  <si>
    <t xml:space="preserve">Defines best practice for game physics recognized beyond their organization.</t>
  </si>
  <si>
    <t xml:space="preserve">GAME-03</t>
  </si>
  <si>
    <t xml:space="preserve">Graphics &amp; rendering fundamentals</t>
  </si>
  <si>
    <t xml:space="preserve">Translating scenes into rendered frames via pipelines, shading, lighting, and cameras.</t>
  </si>
  <si>
    <t xml:space="preserve">Implements basic draw calls and material settings on guided tasks under review.</t>
  </si>
  <si>
    <t xml:space="preserve">Builds standard render passes and shading independently for routine scenes.</t>
  </si>
  <si>
    <t xml:space="preserve">Diagnoses and fixes rendering artifacts and pipeline issues autonomously.</t>
  </si>
  <si>
    <t xml:space="preserve">Architects the rendering pipeline and techniques others adopt.</t>
  </si>
  <si>
    <t xml:space="preserve">Sets rendering strategy and quality standards, anticipating hardware and technique shifts.</t>
  </si>
  <si>
    <t xml:space="preserve">Defines rendering best practice and advances the discipline externally.</t>
  </si>
  <si>
    <t xml:space="preserve">GAME-04</t>
  </si>
  <si>
    <t xml:space="preserve">Spatial math &amp; geometry</t>
  </si>
  <si>
    <t xml:space="preserve">Applying vectors, matrices, and transforms for movement, orientation, and spatial reasoning.</t>
  </si>
  <si>
    <t xml:space="preserve">Applies provided vector and matrix operations to well-defined tasks under review.</t>
  </si>
  <si>
    <t xml:space="preserve">Independently solves standard transform, projection, and intersection problems.</t>
  </si>
  <si>
    <t xml:space="preserve">Handles tricky spatial math—quaternions, edge cases, numerical stability—autonomously.</t>
  </si>
  <si>
    <t xml:space="preserve">Devises geometric algorithms and conventions others reuse.</t>
  </si>
  <si>
    <t xml:space="preserve">Sets spatial-math standards and anticipates emerging geometric techniques.</t>
  </si>
  <si>
    <t xml:space="preserve">Shapes how the field reasons about spatial math and geometry.</t>
  </si>
  <si>
    <t xml:space="preserve">GAME-05</t>
  </si>
  <si>
    <t xml:space="preserve">Gameplay &amp; Design</t>
  </si>
  <si>
    <t xml:space="preserve">Gameplay systems &amp; mechanics design</t>
  </si>
  <si>
    <t xml:space="preserve">Designing and implementing rules, controls, and feedback loops that drive player experience.</t>
  </si>
  <si>
    <t xml:space="preserve">Implements specified mechanics within an existing system under review.</t>
  </si>
  <si>
    <t xml:space="preserve">Builds standard gameplay systems independently with normal iteration.</t>
  </si>
  <si>
    <t xml:space="preserve">Designs and tunes cohesive mechanics autonomously, resolving balance and feel ambiguity.</t>
  </si>
  <si>
    <t xml:space="preserve">Defines systemic design patterns and frameworks other designers adopt.</t>
  </si>
  <si>
    <t xml:space="preserve">Sets gameplay-design direction and standards, anticipating player and genre shifts.</t>
  </si>
  <si>
    <t xml:space="preserve">Defines what great mechanics design means and influences the craft broadly.</t>
  </si>
  <si>
    <t xml:space="preserve">GAME-06</t>
  </si>
  <si>
    <t xml:space="preserve">Game AI &amp; behavior systems</t>
  </si>
  <si>
    <t xml:space="preserve">Building agent decision-making, pathfinding, and reactive behaviors for non-player entities.</t>
  </si>
  <si>
    <t xml:space="preserve">Wires up provided behaviors and parameters on guided tasks under review.</t>
  </si>
  <si>
    <t xml:space="preserve">Implements standard behavior trees or state machines independently.</t>
  </si>
  <si>
    <t xml:space="preserve">Crafts believable, performant agent behavior autonomously across hard cases.</t>
  </si>
  <si>
    <t xml:space="preserve">Architects the AI behavior framework others adopt.</t>
  </si>
  <si>
    <t xml:space="preserve">Sets game-AI strategy and standards, anticipating new behavioral techniques.</t>
  </si>
  <si>
    <t xml:space="preserve">Defines best practice for game AI recognized across the industry.</t>
  </si>
  <si>
    <t xml:space="preserve">GAME-07</t>
  </si>
  <si>
    <t xml:space="preserve">Audio &amp; feedback integration</t>
  </si>
  <si>
    <t xml:space="preserve">Integrating sound, music, and sensory feedback to reinforce gameplay and immersion.</t>
  </si>
  <si>
    <t xml:space="preserve">Hooks up provided sounds and feedback cues on defined tasks under review.</t>
  </si>
  <si>
    <t xml:space="preserve">Implements standard audio triggers and feedback layers independently.</t>
  </si>
  <si>
    <t xml:space="preserve">Designs cohesive audio-feedback systems autonomously, resolving timing and mix edge cases.</t>
  </si>
  <si>
    <t xml:space="preserve">Defines the feedback and audio integration approach others adopt.</t>
  </si>
  <si>
    <t xml:space="preserve">Sets audio-feedback strategy and standards, anticipating immersion trends.</t>
  </si>
  <si>
    <t xml:space="preserve">Defines excellence in game audio-feedback integration for the field.</t>
  </si>
  <si>
    <t xml:space="preserve">GAME-08</t>
  </si>
  <si>
    <t xml:space="preserve">Content &amp; Production</t>
  </si>
  <si>
    <t xml:space="preserve">Game asset pipeline</t>
  </si>
  <si>
    <t xml:space="preserve">Authoring, importing, and optimizing art, models, and animation through production workflows.</t>
  </si>
  <si>
    <t xml:space="preserve">Imports and configures assets through an existing pipeline under review.</t>
  </si>
  <si>
    <t xml:space="preserve">Builds and maintains standard pipeline steps independently for routine assets.</t>
  </si>
  <si>
    <t xml:space="preserve">Diagnoses and optimizes pipeline bottlenecks and edge-case assets autonomously.</t>
  </si>
  <si>
    <t xml:space="preserve">Architects the asset pipeline and conventions others adopt.</t>
  </si>
  <si>
    <t xml:space="preserve">Sets pipeline strategy and standards, anticipating tooling and scale shifts.</t>
  </si>
  <si>
    <t xml:space="preserve">Defines asset-pipeline best practice recognized beyond their organization.</t>
  </si>
  <si>
    <t xml:space="preserve">GAME-09</t>
  </si>
  <si>
    <t xml:space="preserve">Level design &amp; content authoring</t>
  </si>
  <si>
    <t xml:space="preserve">Crafting spaces, pacing, and encounters that shape player progression and challenge.</t>
  </si>
  <si>
    <t xml:space="preserve">Builds level sections to spec using existing tools under review.</t>
  </si>
  <si>
    <t xml:space="preserve">Authors complete standard levels independently with normal iteration.</t>
  </si>
  <si>
    <t xml:space="preserve">Designs compelling pacing, flow, and layout autonomously across hard content.</t>
  </si>
  <si>
    <t xml:space="preserve">Defines level-design patterns and authoring standards others follow.</t>
  </si>
  <si>
    <t xml:space="preserve">Sets content-design direction, anticipating player-experience and tooling shifts.</t>
  </si>
  <si>
    <t xml:space="preserve">Defines what great level design means and influences the craft widely.</t>
  </si>
  <si>
    <t xml:space="preserve">GAME-10</t>
  </si>
  <si>
    <t xml:space="preserve">Online &amp; Backend</t>
  </si>
  <si>
    <t xml:space="preserve">Multiplayer networking &amp; netcode</t>
  </si>
  <si>
    <t xml:space="preserve">Synchronizing state across clients with replication, prediction, and latency compensation.</t>
  </si>
  <si>
    <t xml:space="preserve">Implements specified replication on an existing netcode layer under review.</t>
  </si>
  <si>
    <t xml:space="preserve">Builds standard state sync and messaging independently for routine cases.</t>
  </si>
  <si>
    <t xml:space="preserve">Resolves latency, prediction, and reconciliation problems autonomously.</t>
  </si>
  <si>
    <t xml:space="preserve">Architects the netcode model others adopt for synchronization.</t>
  </si>
  <si>
    <t xml:space="preserve">Sets networking strategy and standards, anticipating scale and topology shifts.</t>
  </si>
  <si>
    <t xml:space="preserve">Defines netcode best practice recognized across the industry.</t>
  </si>
  <si>
    <t xml:space="preserve">GAME-11</t>
  </si>
  <si>
    <t xml:space="preserve">Game server &amp; live operations</t>
  </si>
  <si>
    <t xml:space="preserve">Running authoritative servers, matchmaking, sessions, and persistent live-service backends.</t>
  </si>
  <si>
    <t xml:space="preserve">Performs defined live-ops and server tasks under review.</t>
  </si>
  <si>
    <t xml:space="preserve">Operates and maintains game servers independently for routine events.</t>
  </si>
  <si>
    <t xml:space="preserve">Diagnoses live incidents and scales services autonomously under pressure.</t>
  </si>
  <si>
    <t xml:space="preserve">Architects the live-service and operations approach others adopt.</t>
  </si>
  <si>
    <t xml:space="preserve">Sets live-ops strategy and reliability standards, anticipating demand shifts.</t>
  </si>
  <si>
    <t xml:space="preserve">Defines live-operations best practice recognized beyond their organization.</t>
  </si>
  <si>
    <t xml:space="preserve">GAME-12</t>
  </si>
  <si>
    <t xml:space="preserve">Performance optimization &amp; profiling</t>
  </si>
  <si>
    <t xml:space="preserve">Diagnosing and tuning frame rate, memory, and resource use for target platforms.</t>
  </si>
  <si>
    <t xml:space="preserve">Applies suggested optimizations and reads profiles on guided tasks under review.</t>
  </si>
  <si>
    <t xml:space="preserve">Profiles and fixes standard bottlenecks independently.</t>
  </si>
  <si>
    <t xml:space="preserve">Diagnoses and resolves complex performance issues autonomously across systems.</t>
  </si>
  <si>
    <t xml:space="preserve">Defines profiling methodology and optimization patterns others adopt.</t>
  </si>
  <si>
    <t xml:space="preserve">Sets performance strategy and budgets, anticipating platform constraints.</t>
  </si>
  <si>
    <t xml:space="preserve">Defines performance-engineering best practice for the field.</t>
  </si>
  <si>
    <t xml:space="preserve">WEB3-01</t>
  </si>
  <si>
    <t xml:space="preserve">Blockchain &amp; Web3</t>
  </si>
  <si>
    <t xml:space="preserve">Protocol Foundations</t>
  </si>
  <si>
    <t xml:space="preserve">Consensus &amp; protocol fundamentals</t>
  </si>
  <si>
    <t xml:space="preserve">Understanding distributed agreement, block production, and protocol-level trust mechanisms.</t>
  </si>
  <si>
    <t xml:space="preserve">Explains and configures protocol parameters on defined tasks under review.</t>
  </si>
  <si>
    <t xml:space="preserve">Implements standard protocol logic independently for routine changes.</t>
  </si>
  <si>
    <t xml:space="preserve">Reasons about consensus safety, liveness, and edge cases autonomously.</t>
  </si>
  <si>
    <t xml:space="preserve">Designs consensus mechanisms and protocol approaches others adopt.</t>
  </si>
  <si>
    <t xml:space="preserve">Sets protocol-design strategy and standards, anticipating emerging models.</t>
  </si>
  <si>
    <t xml:space="preserve">Defines consensus best practice and shapes protocol research broadly.</t>
  </si>
  <si>
    <t xml:space="preserve">WEB3-02</t>
  </si>
  <si>
    <t xml:space="preserve">Applied cryptography &amp; key management</t>
  </si>
  <si>
    <t xml:space="preserve">Applying hashing, signatures, and asymmetric cryptography to secure on-chain identity and data.</t>
  </si>
  <si>
    <t xml:space="preserve">Uses provided cryptographic primitives correctly on guided tasks under review.</t>
  </si>
  <si>
    <t xml:space="preserve">Implements standard signing, hashing, and key handling independently.</t>
  </si>
  <si>
    <t xml:space="preserve">Resolves subtle cryptographic and key-lifecycle issues autonomously.</t>
  </si>
  <si>
    <t xml:space="preserve">Designs cryptographic schemes and key-management approaches others adopt.</t>
  </si>
  <si>
    <t xml:space="preserve">Sets applied-crypto strategy and standards, anticipating threat shifts.</t>
  </si>
  <si>
    <t xml:space="preserve">Defines applied cryptography best practice recognized across the industry.</t>
  </si>
  <si>
    <t xml:space="preserve">WEB3-03</t>
  </si>
  <si>
    <t xml:space="preserve">Scalability &amp; interoperability design</t>
  </si>
  <si>
    <t xml:space="preserve">Designing layered scaling and cross-chain communication to extend throughput and reach.</t>
  </si>
  <si>
    <t xml:space="preserve">Implements specified scaling or bridging components under review.</t>
  </si>
  <si>
    <t xml:space="preserve">Builds standard scaling and interoperability features independently.</t>
  </si>
  <si>
    <t xml:space="preserve">Resolves throughput, finality, and cross-system trust trade-offs autonomously.</t>
  </si>
  <si>
    <t xml:space="preserve">Architects scalability and interoperability designs others adopt.</t>
  </si>
  <si>
    <t xml:space="preserve">Sets scaling and interoperability strategy, anticipating ecosystem shifts.</t>
  </si>
  <si>
    <t xml:space="preserve">Defines best practice for scalable, interoperable systems across the field.</t>
  </si>
  <si>
    <t xml:space="preserve">WEB3-04</t>
  </si>
  <si>
    <t xml:space="preserve">Smart Contracts</t>
  </si>
  <si>
    <t xml:space="preserve">Smart contract design</t>
  </si>
  <si>
    <t xml:space="preserve">Architecting deterministic on-chain logic with correct state, upgrade, and gas considerations.</t>
  </si>
  <si>
    <t xml:space="preserve">Implements specified contract logic with reviewed results.</t>
  </si>
  <si>
    <t xml:space="preserve">Builds standard contracts independently, handling routine requirements.</t>
  </si>
  <si>
    <t xml:space="preserve">Designs robust, gas-aware contract architectures autonomously across hard cases.</t>
  </si>
  <si>
    <t xml:space="preserve">Defines contract design patterns and standards others adopt.</t>
  </si>
  <si>
    <t xml:space="preserve">Sets smart-contract design strategy, anticipating language and pattern shifts.</t>
  </si>
  <si>
    <t xml:space="preserve">Defines smart-contract design best practice recognized industry-wide.</t>
  </si>
  <si>
    <t xml:space="preserve">WEB3-05</t>
  </si>
  <si>
    <t xml:space="preserve">On-chain security &amp; auditing</t>
  </si>
  <si>
    <t xml:space="preserve">Identifying and mitigating contract vulnerabilities through review, testing, and formal analysis.</t>
  </si>
  <si>
    <t xml:space="preserve">Runs provided checks and flags obvious issues under review.</t>
  </si>
  <si>
    <t xml:space="preserve">Audits standard contracts independently, identifying common vulnerabilities.</t>
  </si>
  <si>
    <t xml:space="preserve">Uncovers subtle, novel vulnerabilities and exploit paths autonomously.</t>
  </si>
  <si>
    <t xml:space="preserve">Defines audit methodology and threat models others adopt.</t>
  </si>
  <si>
    <t xml:space="preserve">Sets on-chain security strategy and standards, anticipating attack trends.</t>
  </si>
  <si>
    <t xml:space="preserve">Defines on-chain security best practice recognized across the industry.</t>
  </si>
  <si>
    <t xml:space="preserve">WEB3-06</t>
  </si>
  <si>
    <t xml:space="preserve">Decentralized application integration</t>
  </si>
  <si>
    <t xml:space="preserve">Connecting interfaces and off-chain services to on-chain logic via nodes, wallets, and oracles.</t>
  </si>
  <si>
    <t xml:space="preserve">Wires up provided on-chain calls in an app under review.</t>
  </si>
  <si>
    <t xml:space="preserve">Integrates standard contract interactions and wallets independently.</t>
  </si>
  <si>
    <t xml:space="preserve">Resolves state-sync, signing, and failure-mode issues autonomously.</t>
  </si>
  <si>
    <t xml:space="preserve">Architects dApp integration patterns others adopt.</t>
  </si>
  <si>
    <t xml:space="preserve">Sets integration strategy and standards, anticipating ecosystem shifts.</t>
  </si>
  <si>
    <t xml:space="preserve">Defines decentralized-app integration best practice for the field.</t>
  </si>
  <si>
    <t xml:space="preserve">WEB3-07</t>
  </si>
  <si>
    <t xml:space="preserve">Economics &amp; Custody</t>
  </si>
  <si>
    <t xml:space="preserve">Tokenomics &amp; on-chain economics</t>
  </si>
  <si>
    <t xml:space="preserve">Designing token incentives, supply mechanics, and economic models for sustainable networks.</t>
  </si>
  <si>
    <t xml:space="preserve">Models specified token parameters under review.</t>
  </si>
  <si>
    <t xml:space="preserve">Designs standard token mechanics and incentives independently.</t>
  </si>
  <si>
    <t xml:space="preserve">Designs sound incentive and supply systems autonomously, resolving economic edge cases.</t>
  </si>
  <si>
    <t xml:space="preserve">Defines tokenomic frameworks and modeling approaches others adopt.</t>
  </si>
  <si>
    <t xml:space="preserve">Sets on-chain economic strategy, anticipating market and mechanism shifts.</t>
  </si>
  <si>
    <t xml:space="preserve">Defines tokenomics best practice recognized across the industry.</t>
  </si>
  <si>
    <t xml:space="preserve">WEB3-08</t>
  </si>
  <si>
    <t xml:space="preserve">Wallet &amp; key custody</t>
  </si>
  <si>
    <t xml:space="preserve">Securing private keys, signing flows, and asset custody for users and institutions.</t>
  </si>
  <si>
    <t xml:space="preserve">Configures provided custody and wallet flows under review.</t>
  </si>
  <si>
    <t xml:space="preserve">Implements standard custody and signing flows independently.</t>
  </si>
  <si>
    <t xml:space="preserve">Resolves recovery, multi-party, and key-lifecycle challenges autonomously.</t>
  </si>
  <si>
    <t xml:space="preserve">Designs custody architectures and policies others adopt.</t>
  </si>
  <si>
    <t xml:space="preserve">Sets custody strategy and security standards, anticipating threat shifts.</t>
  </si>
  <si>
    <t xml:space="preserve">Defines key-custody best practice recognized beyond their organization.</t>
  </si>
  <si>
    <t xml:space="preserve">Product, Design &amp; Cross-functional</t>
  </si>
  <si>
    <t xml:space="preserve">UX-01</t>
  </si>
  <si>
    <t xml:space="preserve">UX &amp; Product Design</t>
  </si>
  <si>
    <t xml:space="preserve">User Research &amp; Insight</t>
  </si>
  <si>
    <t xml:space="preserve">User research &amp; usability evaluation</t>
  </si>
  <si>
    <t xml:space="preserve">Planning and conducting research and usability testing to uncover user needs and validate designs.</t>
  </si>
  <si>
    <t xml:space="preserve">Runs scripted sessions and notes observations under review.</t>
  </si>
  <si>
    <t xml:space="preserve">Plans and conducts standard studies independently, synthesizing routine findings.</t>
  </si>
  <si>
    <t xml:space="preserve">Designs rigorous research and extracts hard insights autonomously across ambiguity.</t>
  </si>
  <si>
    <t xml:space="preserve">Defines research methods and evaluation frameworks others adopt.</t>
  </si>
  <si>
    <t xml:space="preserve">Sets research strategy and standards, anticipating where inquiry must head.</t>
  </si>
  <si>
    <t xml:space="preserve">Defines user-research best practice recognized across the discipline.</t>
  </si>
  <si>
    <t xml:space="preserve">UX-02</t>
  </si>
  <si>
    <t xml:space="preserve">Information architecture &amp; content structuring</t>
  </si>
  <si>
    <t xml:space="preserve">Organizing content and navigation into coherent structures that match user mental models.</t>
  </si>
  <si>
    <t xml:space="preserve">Organizes content into provided structures under review.</t>
  </si>
  <si>
    <t xml:space="preserve">Builds standard navigation and taxonomies independently.</t>
  </si>
  <si>
    <t xml:space="preserve">Structures complex, ambiguous content domains autonomously into coherent models.</t>
  </si>
  <si>
    <t xml:space="preserve">Defines IA patterns and structuring methods others adopt.</t>
  </si>
  <si>
    <t xml:space="preserve">Sets information-architecture strategy, anticipating content and scale shifts.</t>
  </si>
  <si>
    <t xml:space="preserve">Defines IA best practice recognized across the discipline.</t>
  </si>
  <si>
    <t xml:space="preserve">UX-03</t>
  </si>
  <si>
    <t xml:space="preserve">Interaction &amp; Visual Design</t>
  </si>
  <si>
    <t xml:space="preserve">Interaction &amp; flow design</t>
  </si>
  <si>
    <t xml:space="preserve">Designing task flows, states, and interaction patterns that make products intuitive and efficient.</t>
  </si>
  <si>
    <t xml:space="preserve">Builds specified flows and interactions under review.</t>
  </si>
  <si>
    <t xml:space="preserve">Designs standard end-to-end flows independently with normal iteration.</t>
  </si>
  <si>
    <t xml:space="preserve">Resolves complex, ambiguous interaction problems autonomously with strong judgment.</t>
  </si>
  <si>
    <t xml:space="preserve">Defines interaction patterns and flow frameworks others adopt.</t>
  </si>
  <si>
    <t xml:space="preserve">Sets interaction-design direction, anticipating behavioral and modality shifts.</t>
  </si>
  <si>
    <t xml:space="preserve">Defines interaction-design best practice recognized across the discipline.</t>
  </si>
  <si>
    <t xml:space="preserve">UX-04</t>
  </si>
  <si>
    <t xml:space="preserve">Visual &amp; layout design</t>
  </si>
  <si>
    <t xml:space="preserve">Applying typography, color, spacing, and composition to create clear, appealing visual hierarchy.</t>
  </si>
  <si>
    <t xml:space="preserve">Applies provided styles and layouts to defined screens under review.</t>
  </si>
  <si>
    <t xml:space="preserve">Produces standard, consistent visual layouts independently.</t>
  </si>
  <si>
    <t xml:space="preserve">Crafts strong hierarchy, rhythm, and polish autonomously across hard cases.</t>
  </si>
  <si>
    <t xml:space="preserve">Defines visual language and layout systems others adopt.</t>
  </si>
  <si>
    <t xml:space="preserve">Sets visual-design direction and standards, anticipating aesthetic shifts.</t>
  </si>
  <si>
    <t xml:space="preserve">Defines visual-design excellence recognized across the discipline.</t>
  </si>
  <si>
    <t xml:space="preserve">UX-05</t>
  </si>
  <si>
    <t xml:space="preserve">Prototyping &amp; design validation</t>
  </si>
  <si>
    <t xml:space="preserve">Creating prototypes at varied fidelity to explore, communicate, and test design concepts.</t>
  </si>
  <si>
    <t xml:space="preserve">Builds simple prototypes from specs under review.</t>
  </si>
  <si>
    <t xml:space="preserve">Creates standard interactive prototypes and runs basic validation independently.</t>
  </si>
  <si>
    <t xml:space="preserve">Designs prototypes that answer hard questions and validates rigorously autonomously.</t>
  </si>
  <si>
    <t xml:space="preserve">Defines prototyping and validation methods others adopt.</t>
  </si>
  <si>
    <t xml:space="preserve">Sets validation strategy and standards, anticipating new fidelity needs.</t>
  </si>
  <si>
    <t xml:space="preserve">Defines prototyping-and-validation best practice for the discipline.</t>
  </si>
  <si>
    <t xml:space="preserve">UX-06</t>
  </si>
  <si>
    <t xml:space="preserve">Inclusive &amp; accessible design</t>
  </si>
  <si>
    <t xml:space="preserve">Designing experiences usable by people with diverse abilities, contexts, and assistive needs.</t>
  </si>
  <si>
    <t xml:space="preserve">Applies provided accessibility guidelines on defined tasks under review.</t>
  </si>
  <si>
    <t xml:space="preserve">Designs to standard accessibility requirements independently.</t>
  </si>
  <si>
    <t xml:space="preserve">Resolves complex inclusion and accessibility trade-offs autonomously.</t>
  </si>
  <si>
    <t xml:space="preserve">Defines inclusive-design practices and standards others adopt.</t>
  </si>
  <si>
    <t xml:space="preserve">Sets accessibility strategy, anticipating regulatory and inclusion shifts.</t>
  </si>
  <si>
    <t xml:space="preserve">Defines inclusive-design best practice recognized across the discipline.</t>
  </si>
  <si>
    <t xml:space="preserve">UX-07</t>
  </si>
  <si>
    <t xml:space="preserve">Design Systems</t>
  </si>
  <si>
    <t xml:space="preserve">Design tokens &amp; system governance</t>
  </si>
  <si>
    <t xml:space="preserve">Defining tokenized design foundations and governing a shared system for consistency at scale.</t>
  </si>
  <si>
    <t xml:space="preserve">Applies existing tokens and follows governance rules under review.</t>
  </si>
  <si>
    <t xml:space="preserve">Maintains and extends token sets independently within standard governance.</t>
  </si>
  <si>
    <t xml:space="preserve">Resolves token-architecture and governance conflicts autonomously.</t>
  </si>
  <si>
    <t xml:space="preserve">Defines token structures and governance models others adopt.</t>
  </si>
  <si>
    <t xml:space="preserve">Sets token and governance strategy, anticipating scale and theming needs.</t>
  </si>
  <si>
    <t xml:space="preserve">Defines design-token and governance best practice across the discipline.</t>
  </si>
  <si>
    <t xml:space="preserve">UX-08</t>
  </si>
  <si>
    <t xml:space="preserve">Component library &amp; pattern curation</t>
  </si>
  <si>
    <t xml:space="preserve">Curating reusable design components and patterns with usage guidance and maintenance over time.</t>
  </si>
  <si>
    <t xml:space="preserve">Uses and documents existing components under review.</t>
  </si>
  <si>
    <t xml:space="preserve">Builds and maintains standard components and patterns independently.</t>
  </si>
  <si>
    <t xml:space="preserve">Curates a coherent, reusable library autonomously, resolving pattern conflicts.</t>
  </si>
  <si>
    <t xml:space="preserve">Defines component and pattern standards others adopt.</t>
  </si>
  <si>
    <t xml:space="preserve">Sets library strategy and curation standards, anticipating product needs.</t>
  </si>
  <si>
    <t xml:space="preserve">Defines component-library best practice recognized across the discipline.</t>
  </si>
  <si>
    <t xml:space="preserve">UX-09</t>
  </si>
  <si>
    <t xml:space="preserve">Design-to-development handoff</t>
  </si>
  <si>
    <t xml:space="preserve">Translating design intent into clear specifications and collaborating with engineering on faithful implementation.</t>
  </si>
  <si>
    <t xml:space="preserve">Prepares specified handoff artifacts under review.</t>
  </si>
  <si>
    <t xml:space="preserve">Produces complete, standard handoffs independently with normal review.</t>
  </si>
  <si>
    <t xml:space="preserve">Resolves ambiguous handoff and implementation-fidelity issues autonomously.</t>
  </si>
  <si>
    <t xml:space="preserve">Defines handoff processes and artifacts others adopt.</t>
  </si>
  <si>
    <t xml:space="preserve">Sets handoff strategy and standards, anticipating workflow and tooling shifts.</t>
  </si>
  <si>
    <t xml:space="preserve">Defines design-to-development handoff best practice for the discipline.</t>
  </si>
  <si>
    <t xml:space="preserve">PM-01</t>
  </si>
  <si>
    <t xml:space="preserve">Product Management</t>
  </si>
  <si>
    <t xml:space="preserve">Discovery &amp; Research</t>
  </si>
  <si>
    <t xml:space="preserve">Product discovery &amp; customer research</t>
  </si>
  <si>
    <t xml:space="preserve">Uncovering user needs and validating problems through interviews, observation, and experimentation.</t>
  </si>
  <si>
    <t xml:space="preserve">Runs scripted customer interviews and notes findings under a senior researcher's guidance.</t>
  </si>
  <si>
    <t xml:space="preserve">Plans and conducts standard discovery for a feature, synthesizing themes with normal review.</t>
  </si>
  <si>
    <t xml:space="preserve">Independently frames ambiguous problems, selects fitting methods, and separates signal from noise.</t>
  </si>
  <si>
    <t xml:space="preserve">Designs the team's discovery approach and untangles findings others find contradictory.</t>
  </si>
  <si>
    <t xml:space="preserve">Sets the org's research strategy and anticipates emerging customer needs before they surface.</t>
  </si>
  <si>
    <t xml:space="preserve">Defines what rigorous product discovery means and shapes the discipline's practice externally.</t>
  </si>
  <si>
    <t xml:space="preserve">PM-02</t>
  </si>
  <si>
    <t xml:space="preserve">User persona &amp; journey modeling</t>
  </si>
  <si>
    <t xml:space="preserve">Mapping target segments and their end-to-end experiences to ground product decisions.</t>
  </si>
  <si>
    <t xml:space="preserve">Documents personas and journey steps from supplied data under direction.</t>
  </si>
  <si>
    <t xml:space="preserve">Builds usable personas and maps journeys for a product area with normal review.</t>
  </si>
  <si>
    <t xml:space="preserve">Independently models complex multi-actor journeys and resolves conflicting user signals.</t>
  </si>
  <si>
    <t xml:space="preserve">Defines modeling standards others adopt and reconciles personas across overlapping segments.</t>
  </si>
  <si>
    <t xml:space="preserve">Sets persona and journey strategy across the portfolio and predicts shifting behavior patterns.</t>
  </si>
  <si>
    <t xml:space="preserve">Establishes industry-recognized methods for journey modeling and teaches them widely.</t>
  </si>
  <si>
    <t xml:space="preserve">PM-03</t>
  </si>
  <si>
    <t xml:space="preserve">Competitive &amp; product-market analysis</t>
  </si>
  <si>
    <t xml:space="preserve">Assessing market trends, competitors, and whitespace to inform positioning and opportunity sizing.</t>
  </si>
  <si>
    <t xml:space="preserve">Gathers competitor facts and populates comparison grids under guidance.</t>
  </si>
  <si>
    <t xml:space="preserve">Produces a sound competitive analysis for a product with normal review.</t>
  </si>
  <si>
    <t xml:space="preserve">Independently reads ambiguous markets and frames defensible positioning implications.</t>
  </si>
  <si>
    <t xml:space="preserve">Defines the analytical approach others follow and decodes confusing competitive dynamics.</t>
  </si>
  <si>
    <t xml:space="preserve">Sets market-analysis strategy and anticipates structural shifts before competitors react.</t>
  </si>
  <si>
    <t xml:space="preserve">Shapes how the field interprets product-market fit and is cited externally on it.</t>
  </si>
  <si>
    <t xml:space="preserve">PM-04</t>
  </si>
  <si>
    <t xml:space="preserve">Strategy &amp; Planning</t>
  </si>
  <si>
    <t xml:space="preserve">Product strategy &amp; positioning</t>
  </si>
  <si>
    <t xml:space="preserve">Defining target markets, value propositions, and differentiation that guide what to build and why.</t>
  </si>
  <si>
    <t xml:space="preserve">Drafts positioning statements from a given strategy under direction.</t>
  </si>
  <si>
    <t xml:space="preserve">Articulates strategy and positioning for one product with normal review.</t>
  </si>
  <si>
    <t xml:space="preserve">Independently sets coherent strategy amid ambiguity and defends hard trade-offs.</t>
  </si>
  <si>
    <t xml:space="preserve">Defines the strategy framework teams adopt and resolves conflicting strategic bets.</t>
  </si>
  <si>
    <t xml:space="preserve">Owns portfolio-level strategy and anticipates where the market is heading.</t>
  </si>
  <si>
    <t xml:space="preserve">Defines what good product strategy means for the discipline and influences practice externally.</t>
  </si>
  <si>
    <t xml:space="preserve">PM-05</t>
  </si>
  <si>
    <t xml:space="preserve">Roadmap &amp; portfolio planning</t>
  </si>
  <si>
    <t xml:space="preserve">Sequencing initiatives across products and horizons against goals, capacity, and dependencies.</t>
  </si>
  <si>
    <t xml:space="preserve">Maintains roadmap items and updates status under guidance.</t>
  </si>
  <si>
    <t xml:space="preserve">Builds and sequences a credible roadmap for one product with normal review.</t>
  </si>
  <si>
    <t xml:space="preserve">Independently balances competing priorities and replans confidently under shifting constraints.</t>
  </si>
  <si>
    <t xml:space="preserve">Designs the planning approach others use and resolves cross-team portfolio conflicts.</t>
  </si>
  <si>
    <t xml:space="preserve">Sets portfolio planning strategy and foresees where investment should shift next.</t>
  </si>
  <si>
    <t xml:space="preserve">Defines portfolio-planning best practice for the field and is recognized for it.</t>
  </si>
  <si>
    <t xml:space="preserve">PM-06</t>
  </si>
  <si>
    <t xml:space="preserve">Vision &amp; goal setting</t>
  </si>
  <si>
    <t xml:space="preserve">Articulating product vision and outcome-based objectives that align teams over time.</t>
  </si>
  <si>
    <t xml:space="preserve">Translates a stated vision into concrete goals under direction.</t>
  </si>
  <si>
    <t xml:space="preserve">Sets clear, measurable goals for a product area with normal review.</t>
  </si>
  <si>
    <t xml:space="preserve">Independently crafts a compelling vision and cascades aligned goals through ambiguity.</t>
  </si>
  <si>
    <t xml:space="preserve">Defines goal-setting frameworks others adopt and aligns competing visions.</t>
  </si>
  <si>
    <t xml:space="preserve">Sets enduring vision across the portfolio and anticipates long-horizon shifts.</t>
  </si>
  <si>
    <t xml:space="preserve">Shapes how the discipline frames product vision and is externally credible on it.</t>
  </si>
  <si>
    <t xml:space="preserve">PM-07</t>
  </si>
  <si>
    <t xml:space="preserve">Definition &amp; Delivery</t>
  </si>
  <si>
    <t xml:space="preserve">Requirement &amp; specification definition</t>
  </si>
  <si>
    <t xml:space="preserve">Translating problems into clear, testable requirements, specs, and acceptance criteria.</t>
  </si>
  <si>
    <t xml:space="preserve">Writes requirements from supplied input and refines them under review.</t>
  </si>
  <si>
    <t xml:space="preserve">Authors complete, testable specs for standard features with normal review.</t>
  </si>
  <si>
    <t xml:space="preserve">Independently specifies ambiguous, cross-cutting features and resolves edge cases cleanly.</t>
  </si>
  <si>
    <t xml:space="preserve">Defines specification standards others adopt and untangles the hardest requirement conflicts.</t>
  </si>
  <si>
    <t xml:space="preserve">Sets specification strategy across teams and anticipates downstream definition needs.</t>
  </si>
  <si>
    <t xml:space="preserve">Defines what excellent product specification means and influences the practice externally.</t>
  </si>
  <si>
    <t xml:space="preserve">PM-08</t>
  </si>
  <si>
    <t xml:space="preserve">Product backlog management</t>
  </si>
  <si>
    <t xml:space="preserve">Curating, refining, and grooming a backlog so the team always works on the highest-value items.</t>
  </si>
  <si>
    <t xml:space="preserve">Updates and grooms backlog items under direction.</t>
  </si>
  <si>
    <t xml:space="preserve">Prioritizes and maintains a healthy backlog for one team with normal review.</t>
  </si>
  <si>
    <t xml:space="preserve">Independently sequences contested work and keeps the backlog coherent under churn.</t>
  </si>
  <si>
    <t xml:space="preserve">Defines backlog practices others follow and resolves cross-team prioritization disputes.</t>
  </si>
  <si>
    <t xml:space="preserve">Sets backlog-management strategy across products and anticipates capacity tensions.</t>
  </si>
  <si>
    <t xml:space="preserve">Defines backlog-management best practice for the discipline and is recognized for it.</t>
  </si>
  <si>
    <t xml:space="preserve">PM-09</t>
  </si>
  <si>
    <t xml:space="preserve">Go-to-market coordination</t>
  </si>
  <si>
    <t xml:space="preserve">Orchestrating launch readiness across engineering, marketing, sales, and support.</t>
  </si>
  <si>
    <t xml:space="preserve">Executes assigned launch tasks and tracks checklist items under guidance.</t>
  </si>
  <si>
    <t xml:space="preserve">Coordinates a standard product launch across functions with normal review.</t>
  </si>
  <si>
    <t xml:space="preserve">Independently orchestrates complex launches and recovers when plans go sideways.</t>
  </si>
  <si>
    <t xml:space="preserve">Defines the go-to-market playbook others adopt and rescues high-stakes launches.</t>
  </si>
  <si>
    <t xml:space="preserve">Sets go-to-market strategy across the portfolio and anticipates market-timing risks.</t>
  </si>
  <si>
    <t xml:space="preserve">Defines what great go-to-market means for the field and shapes external practice.</t>
  </si>
  <si>
    <t xml:space="preserve">PM-10</t>
  </si>
  <si>
    <t xml:space="preserve">Measurement &amp; Insight</t>
  </si>
  <si>
    <t xml:space="preserve">Metrics &amp; product analytics</t>
  </si>
  <si>
    <t xml:space="preserve">Defining success metrics and interpreting product data to evaluate impact and guide iteration.</t>
  </si>
  <si>
    <t xml:space="preserve">Pulls and reports defined product metrics under direction.</t>
  </si>
  <si>
    <t xml:space="preserve">Builds and interprets metric dashboards for a product with normal review.</t>
  </si>
  <si>
    <t xml:space="preserve">Independently designs metric frameworks and draws sound conclusions from messy data.</t>
  </si>
  <si>
    <t xml:space="preserve">Defines the measurement model teams adopt and diagnoses misleading metrics others trust.</t>
  </si>
  <si>
    <t xml:space="preserve">Sets product-analytics strategy across the org and anticipates which signals will matter.</t>
  </si>
  <si>
    <t xml:space="preserve">Defines rigorous product measurement for the discipline and is cited externally on it.</t>
  </si>
  <si>
    <t xml:space="preserve">PM-11</t>
  </si>
  <si>
    <t xml:space="preserve">Product experimentation &amp; A/B testing</t>
  </si>
  <si>
    <t xml:space="preserve">Designing and reading controlled experiments to validate hypotheses and de-risk decisions.</t>
  </si>
  <si>
    <t xml:space="preserve">Runs predefined experiments and records results under supervision.</t>
  </si>
  <si>
    <t xml:space="preserve">Designs and analyzes a standard A/B test with normal review.</t>
  </si>
  <si>
    <t xml:space="preserve">Independently designs valid experiments and interprets ambiguous or conflicting results.</t>
  </si>
  <si>
    <t xml:space="preserve">Defines experimentation standards others adopt and rescues flawed test designs.</t>
  </si>
  <si>
    <t xml:space="preserve">Sets the org's experimentation strategy and anticipates where testing should expand.</t>
  </si>
  <si>
    <t xml:space="preserve">Defines experimentation rigor for the discipline and influences external practice.</t>
  </si>
  <si>
    <t xml:space="preserve">PM-12</t>
  </si>
  <si>
    <t xml:space="preserve">Pricing &amp; business modeling</t>
  </si>
  <si>
    <t xml:space="preserve">Reasoning about pricing, packaging, and unit economics to sustain a viable product.</t>
  </si>
  <si>
    <t xml:space="preserve">Populates pricing models with supplied assumptions under direction.</t>
  </si>
  <si>
    <t xml:space="preserve">Builds a sound business model for one product with normal review.</t>
  </si>
  <si>
    <t xml:space="preserve">Independently structures pricing under uncertainty and defends margin trade-offs.</t>
  </si>
  <si>
    <t xml:space="preserve">Defines the modeling approach others adopt and untangles complex monetization questions.</t>
  </si>
  <si>
    <t xml:space="preserve">Sets pricing strategy across the portfolio and anticipates market and cost shifts.</t>
  </si>
  <si>
    <t xml:space="preserve">Defines pricing and business-modeling best practice for the field and is recognized for it.</t>
  </si>
  <si>
    <t xml:space="preserve">PM-13</t>
  </si>
  <si>
    <t xml:space="preserve">Stakeholder Engagement</t>
  </si>
  <si>
    <t xml:space="preserve">Stakeholder &amp; executive management</t>
  </si>
  <si>
    <t xml:space="preserve">Aligning leadership and cross-functional stakeholders around product direction and trade-offs.</t>
  </si>
  <si>
    <t xml:space="preserve">Prepares updates and gathers input for stakeholders under direction.</t>
  </si>
  <si>
    <t xml:space="preserve">Manages routine stakeholder relationships and communications with normal review.</t>
  </si>
  <si>
    <t xml:space="preserve">Independently aligns conflicting stakeholders and navigates tense executive conversations.</t>
  </si>
  <si>
    <t xml:space="preserve">Defines stakeholder-engagement approaches others adopt and brokers the hardest alignment.</t>
  </si>
  <si>
    <t xml:space="preserve">Sets executive-engagement strategy and anticipates leadership concerns before they arise.</t>
  </si>
  <si>
    <t xml:space="preserve">Defines exemplary stakeholder management for the discipline and is externally credible on it.</t>
  </si>
  <si>
    <t xml:space="preserve">PM-14</t>
  </si>
  <si>
    <t xml:space="preserve">Customer &amp; partner relationship management</t>
  </si>
  <si>
    <t xml:space="preserve">Building trust with customers and external partners to inform and advance the product.</t>
  </si>
  <si>
    <t xml:space="preserve">Logs interactions and handles routine customer requests under guidance.</t>
  </si>
  <si>
    <t xml:space="preserve">Manages standard customer and partner relationships with normal review.</t>
  </si>
  <si>
    <t xml:space="preserve">Independently nurtures key accounts and resolves difficult relationship conflicts.</t>
  </si>
  <si>
    <t xml:space="preserve">Defines relationship-management practices others adopt and salvages strained partnerships.</t>
  </si>
  <si>
    <t xml:space="preserve">Sets relationship strategy across the portfolio and anticipates partner-ecosystem shifts.</t>
  </si>
  <si>
    <t xml:space="preserve">Defines what excellent partner relationship management means and shapes external practice.</t>
  </si>
  <si>
    <t xml:space="preserve">EM-01</t>
  </si>
  <si>
    <t xml:space="preserve">Engineering Management</t>
  </si>
  <si>
    <t xml:space="preserve">People Management</t>
  </si>
  <si>
    <t xml:space="preserve">Performance management &amp; accountability</t>
  </si>
  <si>
    <t xml:space="preserve">Setting expectations, evaluating performance, and addressing under-performance fairly and clearly.</t>
  </si>
  <si>
    <t xml:space="preserve">Gathers performance inputs and drafts feedback under a manager's guidance.</t>
  </si>
  <si>
    <t xml:space="preserve">Runs standard performance cycles and holds direct reports accountable with normal review.</t>
  </si>
  <si>
    <t xml:space="preserve">Independently manages underperformance and difficult cases through to clear resolution.</t>
  </si>
  <si>
    <t xml:space="preserve">Defines accountability practices other managers adopt and coaches them through hard cases.</t>
  </si>
  <si>
    <t xml:space="preserve">Sets the org's performance philosophy and anticipates systemic accountability gaps.</t>
  </si>
  <si>
    <t xml:space="preserve">Defines what fair, effective performance management means and influences the field externally.</t>
  </si>
  <si>
    <t xml:space="preserve">EM-02</t>
  </si>
  <si>
    <t xml:space="preserve">Career development &amp; sponsorship</t>
  </si>
  <si>
    <t xml:space="preserve">Growing engineers through development plans, advancement opportunities, and active sponsorship.</t>
  </si>
  <si>
    <t xml:space="preserve">Supports growth conversations and tracks development goals under guidance.</t>
  </si>
  <si>
    <t xml:space="preserve">Coaches direct reports on standard career growth with normal review.</t>
  </si>
  <si>
    <t xml:space="preserve">Independently sponsors people into stretch roles and navigates complex growth paths.</t>
  </si>
  <si>
    <t xml:space="preserve">Defines career-development practices others adopt and unblocks the toughest growth cases.</t>
  </si>
  <si>
    <t xml:space="preserve">Sets the org's talent-development strategy and anticipates future capability needs.</t>
  </si>
  <si>
    <t xml:space="preserve">Defines exemplary career sponsorship for the discipline and is externally recognized for it.</t>
  </si>
  <si>
    <t xml:space="preserve">EM-03</t>
  </si>
  <si>
    <t xml:space="preserve">Team health &amp; engagement</t>
  </si>
  <si>
    <t xml:space="preserve">Cultivating motivation, psychological safety, and retention within the team.</t>
  </si>
  <si>
    <t xml:space="preserve">Notices and reports team-health signals under guidance.</t>
  </si>
  <si>
    <t xml:space="preserve">Maintains a healthy, engaged team day-to-day with normal review.</t>
  </si>
  <si>
    <t xml:space="preserve">Independently diagnoses morale issues and restores engagement in struggling teams.</t>
  </si>
  <si>
    <t xml:space="preserve">Defines team-health practices others adopt and turns around the most dysfunctional teams.</t>
  </si>
  <si>
    <t xml:space="preserve">Sets the org's engagement strategy and anticipates burnout and culture risks early.</t>
  </si>
  <si>
    <t xml:space="preserve">Defines what healthy engineering teams look like and shapes the field's practice.</t>
  </si>
  <si>
    <t xml:space="preserve">EM-04</t>
  </si>
  <si>
    <t xml:space="preserve">Organizational Design</t>
  </si>
  <si>
    <t xml:space="preserve">Team design &amp; org structuring</t>
  </si>
  <si>
    <t xml:space="preserve">Shaping team topologies, roles, and reporting lines to fit the work and scale.</t>
  </si>
  <si>
    <t xml:space="preserve">Maintains team charts and documents structure under direction.</t>
  </si>
  <si>
    <t xml:space="preserve">Designs a sound structure for one team with normal review.</t>
  </si>
  <si>
    <t xml:space="preserve">Independently restructures teams to fit changing work and resolves boundary conflicts.</t>
  </si>
  <si>
    <t xml:space="preserve">Defines org-design approaches others adopt and reshapes the most tangled structures.</t>
  </si>
  <si>
    <t xml:space="preserve">Sets org-structuring strategy across the org and anticipates scaling inflection points.</t>
  </si>
  <si>
    <t xml:space="preserve">Defines effective engineering-org design for the discipline and is cited externally on it.</t>
  </si>
  <si>
    <t xml:space="preserve">EM-05</t>
  </si>
  <si>
    <t xml:space="preserve">Headcount &amp; resource planning</t>
  </si>
  <si>
    <t xml:space="preserve">Forecasting staffing needs and allocating people across initiatives and priorities.</t>
  </si>
  <si>
    <t xml:space="preserve">Tracks headcount and updates plans under direction.</t>
  </si>
  <si>
    <t xml:space="preserve">Builds a credible headcount plan for one team with normal review.</t>
  </si>
  <si>
    <t xml:space="preserve">Independently plans resourcing under uncertainty and defends staffing trade-offs.</t>
  </si>
  <si>
    <t xml:space="preserve">Defines resource-planning practices others adopt and resolves cross-team allocation conflicts.</t>
  </si>
  <si>
    <t xml:space="preserve">Sets org-wide resourcing strategy and anticipates future capacity demand.</t>
  </si>
  <si>
    <t xml:space="preserve">Defines headcount-planning best practice for the discipline and is recognized for it.</t>
  </si>
  <si>
    <t xml:space="preserve">EM-06</t>
  </si>
  <si>
    <t xml:space="preserve">Budget &amp; vendor management</t>
  </si>
  <si>
    <t xml:space="preserve">Managing budgets, costs, and external vendor or contractor relationships.</t>
  </si>
  <si>
    <t xml:space="preserve">Tracks spend and processes vendor invoices under guidance.</t>
  </si>
  <si>
    <t xml:space="preserve">Manages a team budget and standard vendor relationships with normal review.</t>
  </si>
  <si>
    <t xml:space="preserve">Independently controls budgets under pressure and negotiates difficult vendor terms.</t>
  </si>
  <si>
    <t xml:space="preserve">Defines budget and vendor practices others adopt and rescues failing vendor relationships.</t>
  </si>
  <si>
    <t xml:space="preserve">Sets org-wide budget and vendor strategy and anticipates cost and supplier risks.</t>
  </si>
  <si>
    <t xml:space="preserve">Defines exemplary budget and vendor management for the field and influences practice.</t>
  </si>
  <si>
    <t xml:space="preserve">EM-07</t>
  </si>
  <si>
    <t xml:space="preserve">Execution &amp; Operations</t>
  </si>
  <si>
    <t xml:space="preserve">Delivery &amp; program management</t>
  </si>
  <si>
    <t xml:space="preserve">Driving cross-team execution, dependencies, and predictable delivery of programs.</t>
  </si>
  <si>
    <t xml:space="preserve">Tracks tasks and updates delivery status under direction.</t>
  </si>
  <si>
    <t xml:space="preserve">Drives delivery of a standard program with normal review.</t>
  </si>
  <si>
    <t xml:space="preserve">Independently runs complex multi-team programs and recovers slipping delivery.</t>
  </si>
  <si>
    <t xml:space="preserve">Defines delivery practices others adopt and rescues the most troubled programs.</t>
  </si>
  <si>
    <t xml:space="preserve">Sets the org's delivery strategy and anticipates systemic delivery risks.</t>
  </si>
  <si>
    <t xml:space="preserve">Defines what excellent program delivery means and shapes external practice.</t>
  </si>
  <si>
    <t xml:space="preserve">EM-08</t>
  </si>
  <si>
    <t xml:space="preserve">Process &amp; operating-cadence design</t>
  </si>
  <si>
    <t xml:space="preserve">Designing rituals, workflows, and cadences that keep teams effective and aligned.</t>
  </si>
  <si>
    <t xml:space="preserve">Follows and documents established processes under guidance.</t>
  </si>
  <si>
    <t xml:space="preserve">Runs and tunes a team's operating cadence with normal review.</t>
  </si>
  <si>
    <t xml:space="preserve">Independently designs processes that fit the work and removes friction others miss.</t>
  </si>
  <si>
    <t xml:space="preserve">Defines operating-cadence patterns others adopt and fixes broken processes across teams.</t>
  </si>
  <si>
    <t xml:space="preserve">Sets the org's operating model and anticipates where cadence must evolve.</t>
  </si>
  <si>
    <t xml:space="preserve">Defines effective engineering operating cadence for the discipline and is recognized for it.</t>
  </si>
  <si>
    <t xml:space="preserve">EM-09</t>
  </si>
  <si>
    <t xml:space="preserve">Engineering metrics &amp; productivity</t>
  </si>
  <si>
    <t xml:space="preserve">Using delivery and health metrics to diagnose and improve team effectiveness.</t>
  </si>
  <si>
    <t xml:space="preserve">Collects and reports defined engineering metrics under direction.</t>
  </si>
  <si>
    <t xml:space="preserve">Interprets productivity metrics for one team with normal review.</t>
  </si>
  <si>
    <t xml:space="preserve">Independently designs metric systems and distinguishes real signal from vanity numbers.</t>
  </si>
  <si>
    <t xml:space="preserve">Defines the productivity-measurement model others adopt and debunks misleading metrics.</t>
  </si>
  <si>
    <t xml:space="preserve">Sets the org's engineering-metrics strategy and anticipates which signals will matter.</t>
  </si>
  <si>
    <t xml:space="preserve">Defines rigorous engineering productivity measurement and influences the field externally.</t>
  </si>
  <si>
    <t xml:space="preserve">EM-10</t>
  </si>
  <si>
    <t xml:space="preserve">Incident &amp; operational risk management</t>
  </si>
  <si>
    <t xml:space="preserve">Establishing on-call, incident response, and risk practices that protect reliability.</t>
  </si>
  <si>
    <t xml:space="preserve">Follows incident runbooks and logs actions under guidance.</t>
  </si>
  <si>
    <t xml:space="preserve">Manages standard incidents and routine operational risk with normal review.</t>
  </si>
  <si>
    <t xml:space="preserve">Independently leads severe incidents and drives durable remediation of risk.</t>
  </si>
  <si>
    <t xml:space="preserve">Defines incident and risk practices others adopt and commands the worst crises calmly.</t>
  </si>
  <si>
    <t xml:space="preserve">Sets the org's operational-risk strategy and anticipates systemic failure modes.</t>
  </si>
  <si>
    <t xml:space="preserve">Defines what excellent operational risk management means and shapes external practice.</t>
  </si>
  <si>
    <t xml:space="preserve">EM-11</t>
  </si>
  <si>
    <t xml:space="preserve">Culture &amp; Change</t>
  </si>
  <si>
    <t xml:space="preserve">Engineering culture &amp; values stewardship</t>
  </si>
  <si>
    <t xml:space="preserve">Shaping norms, standards, and culture that define how the team builds and behaves.</t>
  </si>
  <si>
    <t xml:space="preserve">Models stated values and reinforces them within a team under guidance.</t>
  </si>
  <si>
    <t xml:space="preserve">Sustains a healthy team culture aligned to values with normal review.</t>
  </si>
  <si>
    <t xml:space="preserve">Independently strengthens culture and addresses values violations decisively.</t>
  </si>
  <si>
    <t xml:space="preserve">Defines cultural practices others adopt and repairs damaged team cultures.</t>
  </si>
  <si>
    <t xml:space="preserve">Sets the org's culture strategy and anticipates where values must be reinforced.</t>
  </si>
  <si>
    <t xml:space="preserve">Defines what a strong engineering culture looks like and is externally credible on it.</t>
  </si>
  <si>
    <t xml:space="preserve">EM-12</t>
  </si>
  <si>
    <t xml:space="preserve">Change &amp; transformation management</t>
  </si>
  <si>
    <t xml:space="preserve">Leading teams through reorganization, process change, and shifting priorities.</t>
  </si>
  <si>
    <t xml:space="preserve">Supports rollout of defined changes and tracks adoption under direction.</t>
  </si>
  <si>
    <t xml:space="preserve">Leads a contained team change with normal review.</t>
  </si>
  <si>
    <t xml:space="preserve">Independently drives significant change through resistance to durable adoption.</t>
  </si>
  <si>
    <t xml:space="preserve">Defines change approaches others adopt and rescues stalled transformations.</t>
  </si>
  <si>
    <t xml:space="preserve">Sets the org's transformation strategy and anticipates where change is needed next.</t>
  </si>
  <si>
    <t xml:space="preserve">Defines effective engineering transformation for the discipline and shapes external practice.</t>
  </si>
  <si>
    <t xml:space="preserve">DR-01</t>
  </si>
  <si>
    <t xml:space="preserve">Developer Relations &amp; Technical Communication</t>
  </si>
  <si>
    <t xml:space="preserve">Community &amp; Advocacy</t>
  </si>
  <si>
    <t xml:space="preserve">Developer advocacy &amp; community building</t>
  </si>
  <si>
    <t xml:space="preserve">Growing and nurturing developer communities and representing their needs internally.</t>
  </si>
  <si>
    <t xml:space="preserve">Engages community channels and answers routine questions under guidance.</t>
  </si>
  <si>
    <t xml:space="preserve">Grows and supports a developer community segment with normal review.</t>
  </si>
  <si>
    <t xml:space="preserve">Independently builds thriving communities and defuses tense community conflicts.</t>
  </si>
  <si>
    <t xml:space="preserve">Defines community-building practices others adopt and revives flagging communities.</t>
  </si>
  <si>
    <t xml:space="preserve">Sets the org's community strategy and anticipates where developer interest is shifting.</t>
  </si>
  <si>
    <t xml:space="preserve">Defines what great developer advocacy means and is externally recognized for it.</t>
  </si>
  <si>
    <t xml:space="preserve">DR-02</t>
  </si>
  <si>
    <t xml:space="preserve">Developer experience &amp; feedback loops</t>
  </si>
  <si>
    <t xml:space="preserve">Gathering developer feedback and championing improvements to the developer experience.</t>
  </si>
  <si>
    <t xml:space="preserve">Collects developer feedback and logs friction points under direction.</t>
  </si>
  <si>
    <t xml:space="preserve">Runs standard feedback loops and surfaces DX issues with normal review.</t>
  </si>
  <si>
    <t xml:space="preserve">Independently diagnoses deep DX problems and closes the loop to real fixes.</t>
  </si>
  <si>
    <t xml:space="preserve">Defines DX-feedback practices others adopt and untangles the hardest experience gaps.</t>
  </si>
  <si>
    <t xml:space="preserve">Sets the org's developer-experience strategy and anticipates emerging friction.</t>
  </si>
  <si>
    <t xml:space="preserve">Defines what excellent developer experience means and shapes the field's practice.</t>
  </si>
  <si>
    <t xml:space="preserve">DR-03</t>
  </si>
  <si>
    <t xml:space="preserve">Developer marketing &amp; evangelism</t>
  </si>
  <si>
    <t xml:space="preserve">Raising awareness and adoption through authentic, technically credible outreach.</t>
  </si>
  <si>
    <t xml:space="preserve">Executes assigned evangelism tasks and amplifies messages under guidance.</t>
  </si>
  <si>
    <t xml:space="preserve">Runs a standard developer-marketing campaign with normal review.</t>
  </si>
  <si>
    <t xml:space="preserve">Independently crafts resonant developer narratives and adapts to skeptical audiences.</t>
  </si>
  <si>
    <t xml:space="preserve">Defines evangelism approaches others adopt and turns around messaging that fell flat.</t>
  </si>
  <si>
    <t xml:space="preserve">Sets developer-marketing strategy and anticipates which narratives will land next.</t>
  </si>
  <si>
    <t xml:space="preserve">Defines what authentic developer evangelism means and is externally credible on it.</t>
  </si>
  <si>
    <t xml:space="preserve">DR-04</t>
  </si>
  <si>
    <t xml:space="preserve">Content &amp; Documentation</t>
  </si>
  <si>
    <t xml:space="preserve">Technical content creation</t>
  </si>
  <si>
    <t xml:space="preserve">Producing tutorials, samples, posts, and reference material that help developers succeed.</t>
  </si>
  <si>
    <t xml:space="preserve">Drafts technical content from outlines and revises under review.</t>
  </si>
  <si>
    <t xml:space="preserve">Produces accurate, clear technical content independently with normal review.</t>
  </si>
  <si>
    <t xml:space="preserve">Independently creates content for complex topics and ambiguous audiences.</t>
  </si>
  <si>
    <t xml:space="preserve">Defines content standards others adopt and elevates the hardest technical pieces.</t>
  </si>
  <si>
    <t xml:space="preserve">Sets the org's content strategy and anticipates which topics developers will need.</t>
  </si>
  <si>
    <t xml:space="preserve">Defines what excellent technical content looks like and shapes external practice.</t>
  </si>
  <si>
    <t xml:space="preserve">DR-05</t>
  </si>
  <si>
    <t xml:space="preserve">Developer documentation &amp; information architecture</t>
  </si>
  <si>
    <t xml:space="preserve">Structuring, writing, and organizing docs so information is findable and usable.</t>
  </si>
  <si>
    <t xml:space="preserve">Writes and updates doc pages within an existing structure under guidance.</t>
  </si>
  <si>
    <t xml:space="preserve">Authors and organizes documentation for a product area with normal review.</t>
  </si>
  <si>
    <t xml:space="preserve">Independently architects coherent doc structures for complex, evolving products.</t>
  </si>
  <si>
    <t xml:space="preserve">Defines information-architecture standards others adopt and restructures tangled doc sets.</t>
  </si>
  <si>
    <t xml:space="preserve">Sets the org's documentation strategy and anticipates structural scaling needs.</t>
  </si>
  <si>
    <t xml:space="preserve">Defines great developer documentation and information architecture for the field.</t>
  </si>
  <si>
    <t xml:space="preserve">DR-06</t>
  </si>
  <si>
    <t xml:space="preserve">Editing &amp; content governance</t>
  </si>
  <si>
    <t xml:space="preserve">Upholding style, quality, accuracy, and consistency across published content.</t>
  </si>
  <si>
    <t xml:space="preserve">Applies style rules and fixes errors under an editor's guidance.</t>
  </si>
  <si>
    <t xml:space="preserve">Edits content to standard and enforces routine governance with normal review.</t>
  </si>
  <si>
    <t xml:space="preserve">Independently edits complex material and adjudicates ambiguous style and quality calls.</t>
  </si>
  <si>
    <t xml:space="preserve">Defines editorial standards others adopt and resolves the hardest governance disputes.</t>
  </si>
  <si>
    <t xml:space="preserve">Sets the org's content-governance strategy and anticipates quality risks at scale.</t>
  </si>
  <si>
    <t xml:space="preserve">Defines editorial excellence and content governance for the discipline externally.</t>
  </si>
  <si>
    <t xml:space="preserve">DR-07</t>
  </si>
  <si>
    <t xml:space="preserve">Content strategy &amp; localization</t>
  </si>
  <si>
    <t xml:space="preserve">Planning content coverage, lifecycle, and adaptation for diverse audiences and locales.</t>
  </si>
  <si>
    <t xml:space="preserve">Tags content for localization and tracks coverage under direction.</t>
  </si>
  <si>
    <t xml:space="preserve">Executes a content and localization plan for an area with normal review.</t>
  </si>
  <si>
    <t xml:space="preserve">Independently shapes content strategy and resolves complex localization trade-offs.</t>
  </si>
  <si>
    <t xml:space="preserve">Defines content-strategy and localization practices others adopt across teams.</t>
  </si>
  <si>
    <t xml:space="preserve">Sets the org's global content strategy and anticipates emerging audience needs.</t>
  </si>
  <si>
    <t xml:space="preserve">Defines what world-class content strategy and localization mean for the field.</t>
  </si>
  <si>
    <t xml:space="preserve">DR-08</t>
  </si>
  <si>
    <t xml:space="preserve">Education &amp; Enablement</t>
  </si>
  <si>
    <t xml:space="preserve">Developer education &amp; enablement</t>
  </si>
  <si>
    <t xml:space="preserve">Designing learning paths, workshops, and resources that build developer competence.</t>
  </si>
  <si>
    <t xml:space="preserve">Delivers prepared training material and supports learners under guidance.</t>
  </si>
  <si>
    <t xml:space="preserve">Builds and runs standard enablement for a topic with normal review.</t>
  </si>
  <si>
    <t xml:space="preserve">Independently designs learning paths for complex topics and varied skill levels.</t>
  </si>
  <si>
    <t xml:space="preserve">Defines enablement approaches others adopt and rescues ineffective programs.</t>
  </si>
  <si>
    <t xml:space="preserve">Sets the org's developer-education strategy and anticipates future learning needs.</t>
  </si>
  <si>
    <t xml:space="preserve">Defines what effective developer education means and shapes external practice.</t>
  </si>
  <si>
    <t xml:space="preserve">DR-09</t>
  </si>
  <si>
    <t xml:space="preserve">Public speaking &amp; demos</t>
  </si>
  <si>
    <t xml:space="preserve">Delivering compelling talks, live demos, and presentations to technical audiences.</t>
  </si>
  <si>
    <t xml:space="preserve">Delivers a prepared talk or demo with coaching and review.</t>
  </si>
  <si>
    <t xml:space="preserve">Presents standard talks and demos independently with normal review.</t>
  </si>
  <si>
    <t xml:space="preserve">Independently commands tough rooms and recovers gracefully when demos break.</t>
  </si>
  <si>
    <t xml:space="preserve">Defines presentation and demo craft others adopt and coaches them to improve.</t>
  </si>
  <si>
    <t xml:space="preserve">Sets the org's speaking strategy and anticipates which stages and stories matter.</t>
  </si>
  <si>
    <t xml:space="preserve">Defines what compelling technical speaking looks like and is externally renowned for it.</t>
  </si>
  <si>
    <t xml:space="preserve">DR-10</t>
  </si>
  <si>
    <t xml:space="preserve">Sample code &amp; API storytelling</t>
  </si>
  <si>
    <t xml:space="preserve">Building example projects and narratives that show how to apply interfaces and tools effectively.</t>
  </si>
  <si>
    <t xml:space="preserve">Writes basic sample snippets from specs under guidance.</t>
  </si>
  <si>
    <t xml:space="preserve">Produces clear, working samples that illustrate an API with normal review.</t>
  </si>
  <si>
    <t xml:space="preserve">Independently crafts samples that make complex APIs intuitive and tell a clear story.</t>
  </si>
  <si>
    <t xml:space="preserve">Defines sample-and-storytelling standards others adopt and reworks confusing examples.</t>
  </si>
  <si>
    <t xml:space="preserve">Sets the org's API-storytelling strategy and anticipates which patterns developers need.</t>
  </si>
  <si>
    <t xml:space="preserve">Defines what excellent API storytelling through code means and shapes external practice.</t>
  </si>
  <si>
    <t xml:space="preserve">PD-01</t>
  </si>
  <si>
    <t xml:space="preserve">Product &amp; Delivery</t>
  </si>
  <si>
    <t xml:space="preserve">Value Delivery</t>
  </si>
  <si>
    <t xml:space="preserve">Work Breakdown &amp; Incremental Delivery</t>
  </si>
  <si>
    <t xml:space="preserve">Slices work so value and learning arrive early.</t>
  </si>
  <si>
    <t xml:space="preserve">Breaks own tasks into reviewable pieces with guidance.</t>
  </si>
  <si>
    <t xml:space="preserve">Independently decomposes a feature into shippable slices.</t>
  </si>
  <si>
    <t xml:space="preserve">Plans complex multi-phase work (prototype-then-commit under uncertainty); sequences safely.</t>
  </si>
  <si>
    <t xml:space="preserve">Expert at structuring large initiatives to de-risk early; anticipates bottlenecks.</t>
  </si>
  <si>
    <t xml:space="preserve">Shapes how the org plans and sequences major change.</t>
  </si>
  <si>
    <t xml:space="preserve">Defines the company-wide approach to delivering value incrementally.</t>
  </si>
  <si>
    <t xml:space="preserve">PD-02</t>
  </si>
  <si>
    <t xml:space="preserve">Prioritization &amp; Economic Thinking</t>
  </si>
  <si>
    <t xml:space="preserve">Weighs cost, value, risk and timing.</t>
  </si>
  <si>
    <t xml:space="preserve">Works highest-priority-first when told the priorities.</t>
  </si>
  <si>
    <t xml:space="preserve">Makes sound priority calls within scope; time-boxes uncertain work.</t>
  </si>
  <si>
    <t xml:space="preserve">Balances cost/value/risk across a domain; resists hype; decisions hold up over months.</t>
  </si>
  <si>
    <t xml:space="preserve">Expert at portfolio-level trade-offs; surfaces hidden assumptions; trusted tiebreaker.</t>
  </si>
  <si>
    <t xml:space="preserve">Sets decision frameworks for the org.</t>
  </si>
  <si>
    <t xml:space="preserve">Influences company strategic direction through judgment.</t>
  </si>
  <si>
    <t xml:space="preserve">PD-03</t>
  </si>
  <si>
    <t xml:space="preserve">Dealing with Ambiguity</t>
  </si>
  <si>
    <t xml:space="preserve">Makes progress when the problem is unclear.</t>
  </si>
  <si>
    <t xml:space="preserve">Asks good questions to turn a vague task into a clear one.</t>
  </si>
  <si>
    <t xml:space="preserve">Independently turns a vague request into a workable plan.</t>
  </si>
  <si>
    <t xml:space="preserve">Thrives in ambiguity; frames the problem for others; chooses an approach and commits.</t>
  </si>
  <si>
    <t xml:space="preserve">Creates clarity for multiple teams out of open-ended situations.</t>
  </si>
  <si>
    <t xml:space="preserve">Defines direction where none exists at org scale.</t>
  </si>
  <si>
    <t xml:space="preserve">Comfortable with the highest-uncertainty company bets.</t>
  </si>
  <si>
    <t xml:space="preserve">PD-04</t>
  </si>
  <si>
    <t xml:space="preserve">Execution</t>
  </si>
  <si>
    <t xml:space="preserve">Estimation &amp; Planning</t>
  </si>
  <si>
    <t xml:space="preserve">Forecasts and plans work credibly.</t>
  </si>
  <si>
    <t xml:space="preserve">Learns to estimate; surfaces blockers; plans own tasks with guidance.</t>
  </si>
  <si>
    <t xml:space="preserve">Estimates scoped work realistically; plans own 1-3 week projects.</t>
  </si>
  <si>
    <t xml:space="preserve">Plans quarter-scale, multi-workstream efforts including dependencies.</t>
  </si>
  <si>
    <t xml:space="preserve">Expert at planning large programs; anticipates risk early.</t>
  </si>
  <si>
    <t xml:space="preserve">Plans org-level programs across quarters/years.</t>
  </si>
  <si>
    <t xml:space="preserve">Shapes how the company plans major technical change.</t>
  </si>
  <si>
    <t xml:space="preserve">PD-05</t>
  </si>
  <si>
    <t xml:space="preserve">Ownership &amp; Delivery Accountability</t>
  </si>
  <si>
    <t xml:space="preserve">Makes and keeps credible commitments.</t>
  </si>
  <si>
    <t xml:space="preserve">Takes ownership of assigned tasks; honest about progress and blockers.</t>
  </si>
  <si>
    <t xml:space="preserve">Owns components end-to-end; delivers committed work reliably.</t>
  </si>
  <si>
    <t xml:space="preserve">Owns a domain; lands multi-week efforts without surprises; pushes back on unrealistic scope with reasons.</t>
  </si>
  <si>
    <t xml:space="preserve">Owns cross-team initiatives; unblocks teams; kills failing approaches early.</t>
  </si>
  <si>
    <t xml:space="preserve">Owns an org-level portfolio of bets; sets direction others follow.</t>
  </si>
  <si>
    <t xml:space="preserve">The go-to when something company-critical must land.</t>
  </si>
  <si>
    <t xml:space="preserve">PD-06</t>
  </si>
  <si>
    <t xml:space="preserve">Product Thinking</t>
  </si>
  <si>
    <t xml:space="preserve">Connects technical work to user and business value.</t>
  </si>
  <si>
    <t xml:space="preserve">Understands the capability they're building and who uses it.</t>
  </si>
  <si>
    <t xml:space="preserve">Frames own work in user/business outcomes, not just tasks.</t>
  </si>
  <si>
    <t xml:space="preserve">Treats their area as a product; uses metrics to decide what to build for a domain.</t>
  </si>
  <si>
    <t xml:space="preserve">Expert at aligning technical bets with product strategy across teams.</t>
  </si>
  <si>
    <t xml:space="preserve">Sets product direction for an org's technical surface.</t>
  </si>
  <si>
    <t xml:space="preserve">Shapes how the company creates value through technical products.</t>
  </si>
  <si>
    <t xml:space="preserve">CC-01</t>
  </si>
  <si>
    <t xml:space="preserve">Communication &amp; Collaboration</t>
  </si>
  <si>
    <t xml:space="preserve">Communication</t>
  </si>
  <si>
    <t xml:space="preserve">Written &amp; Verbal Communication</t>
  </si>
  <si>
    <t xml:space="preserve">Conveys ideas clearly to the right audience.</t>
  </si>
  <si>
    <t xml:space="preserve">Communicates status clearly; documentation is accurate.</t>
  </si>
  <si>
    <t xml:space="preserve">Writes clear design notes, runbooks and PRs; explains trade-offs without overselling.</t>
  </si>
  <si>
    <t xml:space="preserve">Writes design docs that drive decisions; translates technical risk for non-technical stakeholders.</t>
  </si>
  <si>
    <t xml:space="preserve">Expert at making complex capability/risk legible to executives without dumbing it down; RFCs align orgs.</t>
  </si>
  <si>
    <t xml:space="preserve">Strategy memos leadership acts on; org-wide and external reach.</t>
  </si>
  <si>
    <t xml:space="preserve">A clarifying voice at company scale; externally recognized.</t>
  </si>
  <si>
    <t xml:space="preserve">CC-02</t>
  </si>
  <si>
    <t xml:space="preserve">Knowledge Sharing &amp; Documentation</t>
  </si>
  <si>
    <t xml:space="preserve">Spreads understanding so others move faster.</t>
  </si>
  <si>
    <t xml:space="preserve">Shares what they learn; keeps their docs accurate.</t>
  </si>
  <si>
    <t xml:space="preserve">Documents their area well; proactively shares techniques with the team.</t>
  </si>
  <si>
    <t xml:space="preserve">Creates documentation and forums that raise a whole domain's understanding.</t>
  </si>
  <si>
    <t xml:space="preserve">Builds knowledge-sharing systems adopted across teams.</t>
  </si>
  <si>
    <t xml:space="preserve">Defines how the org captures and spreads knowledge.</t>
  </si>
  <si>
    <t xml:space="preserve">Shapes industry-facing knowledge practice.</t>
  </si>
  <si>
    <t xml:space="preserve">CC-03</t>
  </si>
  <si>
    <t xml:space="preserve">Collaboration</t>
  </si>
  <si>
    <t xml:space="preserve">Teamwork &amp; Partnership</t>
  </si>
  <si>
    <t xml:space="preserve">Works productively with others toward shared goals.</t>
  </si>
  <si>
    <t xml:space="preserve">Responsive to feedback; pairs willingly; asks for help appropriately.</t>
  </si>
  <si>
    <t xml:space="preserve">Collaborates smoothly with adjacent functions; handles disagreement constructively.</t>
  </si>
  <si>
    <t xml:space="preserve">Builds strong cross-team relationships; resolves friction directly.</t>
  </si>
  <si>
    <t xml:space="preserve">Expert at aligning teams with competing priorities; mediates disputes between senior people.</t>
  </si>
  <si>
    <t xml:space="preserve">Creates the forums and processes through which collaboration happens.</t>
  </si>
  <si>
    <t xml:space="preserve">Builds coalitions at company scale and externally.</t>
  </si>
  <si>
    <t xml:space="preserve">CC-04</t>
  </si>
  <si>
    <t xml:space="preserve">Feedback</t>
  </si>
  <si>
    <t xml:space="preserve">Gives and receives honest, useful feedback.</t>
  </si>
  <si>
    <t xml:space="preserve">Accepts feedback non-defensively; acts on it.</t>
  </si>
  <si>
    <t xml:space="preserve">Gives timely, specific, kind feedback to peers.</t>
  </si>
  <si>
    <t xml:space="preserve">Gives growth-oriented feedback that changes behavior; coaches through feedback.</t>
  </si>
  <si>
    <t xml:space="preserve">Builds feedback norms that raise the bar across teams.</t>
  </si>
  <si>
    <t xml:space="preserve">Sets the org's culture of candor and growth.</t>
  </si>
  <si>
    <t xml:space="preserve">Models and defines feedback culture company-wide.</t>
  </si>
  <si>
    <t xml:space="preserve">CC-05</t>
  </si>
  <si>
    <t xml:space="preserve">Handling Disagreement</t>
  </si>
  <si>
    <t xml:space="preserve">Navigates conflict toward good decisions.</t>
  </si>
  <si>
    <t xml:space="preserve">Voices disagreement respectfully; disagrees-and-commits.</t>
  </si>
  <si>
    <t xml:space="preserve">Works through disagreement to a decision without damaging relationships.</t>
  </si>
  <si>
    <t xml:space="preserve">Mediates technical disputes in their domain; finds the path that holds up.</t>
  </si>
  <si>
    <t xml:space="preserve">Resolves high-stakes disagreements between senior stakeholders across orgs.</t>
  </si>
  <si>
    <t xml:space="preserve">Designs the decision processes the org uses to resolve conflict.</t>
  </si>
  <si>
    <t xml:space="preserve">Sets the company norm for principled disagreement.</t>
  </si>
  <si>
    <t xml:space="preserve">LI-01</t>
  </si>
  <si>
    <t xml:space="preserve">Leadership &amp; Influence</t>
  </si>
  <si>
    <t xml:space="preserve">Growing People</t>
  </si>
  <si>
    <t xml:space="preserve">Mentorship &amp; Coaching</t>
  </si>
  <si>
    <t xml:space="preserve">Grows other people's capability.</t>
  </si>
  <si>
    <t xml:space="preserve">Receptive to mentoring; shares what they learn.</t>
  </si>
  <si>
    <t xml:space="preserve">Helps onboard teammates; informally mentors juniors.</t>
  </si>
  <si>
    <t xml:space="preserve">Coaches engineers with growth-oriented feedback; measurably improves a team's skill.</t>
  </si>
  <si>
    <t xml:space="preserve">Develops future leads across teams; shapes hiring and onboarding.</t>
  </si>
  <si>
    <t xml:space="preserve">Develops senior engineers and leaders; builds culture deliberately.</t>
  </si>
  <si>
    <t xml:space="preserve">Develops the next generation of top talent; legacy outlasts tenure.</t>
  </si>
  <si>
    <t xml:space="preserve">LI-02</t>
  </si>
  <si>
    <t xml:space="preserve">Hiring &amp; Staffing</t>
  </si>
  <si>
    <t xml:space="preserve">Builds the team through hiring and placement.</t>
  </si>
  <si>
    <t xml:space="preserve">Participates in interviews; gives clear, evidence-based feedback.</t>
  </si>
  <si>
    <t xml:space="preserve">Runs interviews well; calibrates against a consistent bar.</t>
  </si>
  <si>
    <t xml:space="preserve">Shapes hiring for a team; designs loops; makes sound staffing calls.</t>
  </si>
  <si>
    <t xml:space="preserve">Drives hiring strategy across teams; builds the interviewing bar.</t>
  </si>
  <si>
    <t xml:space="preserve">Sets the org's talent strategy.</t>
  </si>
  <si>
    <t xml:space="preserve">Shapes company-wide talent philosophy.</t>
  </si>
  <si>
    <t xml:space="preserve">LI-03</t>
  </si>
  <si>
    <t xml:space="preserve">Technical Leadership</t>
  </si>
  <si>
    <t xml:space="preserve">Technical Influence &amp; Direction</t>
  </si>
  <si>
    <t xml:space="preserve">Shapes technical direction beyond own work.</t>
  </si>
  <si>
    <t xml:space="preserve">Contributes informed opinions in technical discussions.</t>
  </si>
  <si>
    <t xml:space="preserve">Influences component-level decisions through credibility.</t>
  </si>
  <si>
    <t xml:space="preserve">Sets technical direction for a domain; others align to their calls.</t>
  </si>
  <si>
    <t xml:space="preserve">Shapes how multiple teams approach problems; trusted tiebreaker.</t>
  </si>
  <si>
    <t xml:space="preserve">Influences org-wide technical strategy.</t>
  </si>
  <si>
    <t xml:space="preserve">Influences company strategic direction through insight.</t>
  </si>
  <si>
    <t xml:space="preserve">LI-04</t>
  </si>
  <si>
    <t xml:space="preserve">Decision-Making under Uncertainty</t>
  </si>
  <si>
    <t xml:space="preserve">Makes sound calls with incomplete information.</t>
  </si>
  <si>
    <t xml:space="preserve">Makes well-defined decisions; asks good questions when blocked.</t>
  </si>
  <si>
    <t xml:space="preserve">Decides independently within their components; evaluates alternatives honestly.</t>
  </si>
  <si>
    <t xml:space="preserve">Makes architectural choices for a domain that hold up over months.</t>
  </si>
  <si>
    <t xml:space="preserve">Foresees second-order consequences; sets decision frameworks for teams.</t>
  </si>
  <si>
    <t xml:space="preserve">Sets decision-making frameworks for the org.</t>
  </si>
  <si>
    <t xml:space="preserve">Visionary judgment; sees structural causes others miss.</t>
  </si>
  <si>
    <t xml:space="preserve">LI-05</t>
  </si>
  <si>
    <t xml:space="preserve">Driving Alignment</t>
  </si>
  <si>
    <t xml:space="preserve">Gets people moving in the same direction.</t>
  </si>
  <si>
    <t xml:space="preserve">Keeps own work aligned with team goals.</t>
  </si>
  <si>
    <t xml:space="preserve">Aligns direct partners on scoped decisions.</t>
  </si>
  <si>
    <t xml:space="preserve">Drives alignment across a domain; turns disagreement into committed direction.</t>
  </si>
  <si>
    <t xml:space="preserve">Aligns multiple teams and leadership behind a direction.</t>
  </si>
  <si>
    <t xml:space="preserve">Creates forums/narratives through which the org aligns.</t>
  </si>
  <si>
    <t xml:space="preserve">Aligns the company behind direction; externally persuasive.</t>
  </si>
  <si>
    <t xml:space="preserve">Business &amp; Corporate Functions</t>
  </si>
  <si>
    <t xml:space="preserve">MKT-01</t>
  </si>
  <si>
    <t xml:space="preserve">Marketing &amp; Communications</t>
  </si>
  <si>
    <t xml:space="preserve">Brand &amp; Creative</t>
  </si>
  <si>
    <t xml:space="preserve">Brand strategy &amp; management</t>
  </si>
  <si>
    <t xml:space="preserve">Define and steward brand identity, positioning, voice, and consistency across touchpoints.</t>
  </si>
  <si>
    <t xml:space="preserve">Applies existing brand guidelines to assets under review, flagging obvious off-brand usage.</t>
  </si>
  <si>
    <t xml:space="preserve">Maintains brand consistency across standard channels independently, handling routine positioning questions.</t>
  </si>
  <si>
    <t xml:space="preserve">Owns brand positioning for a product or segment, resolving ambiguous identity and messaging trade-offs.</t>
  </si>
  <si>
    <t xml:space="preserve">Defines the brand architecture and positioning approach other marketers adopt across the portfolio.</t>
  </si>
  <si>
    <t xml:space="preserve">Sets multi-year brand strategy and equity standards, anticipating shifts in market perception.</t>
  </si>
  <si>
    <t xml:space="preserve">Shapes how the field defines brand value, externally cited as a reference on brand building.</t>
  </si>
  <si>
    <t xml:space="preserve">MKT-02</t>
  </si>
  <si>
    <t xml:space="preserve">Content &amp; editorial strategy</t>
  </si>
  <si>
    <t xml:space="preserve">Plan, produce, and govern editorial content aligned to audience needs and brand narrative.</t>
  </si>
  <si>
    <t xml:space="preserve">Drafts and formats content pieces to a brief, with edits reviewed before publishing.</t>
  </si>
  <si>
    <t xml:space="preserve">Plans and produces a content calendar independently, adapting tone for routine audiences.</t>
  </si>
  <si>
    <t xml:space="preserve">Owns editorial strategy for a domain, balancing competing topics, formats, and audience needs.</t>
  </si>
  <si>
    <t xml:space="preserve">Defines the content model and governance that other writers and teams adopt.</t>
  </si>
  <si>
    <t xml:space="preserve">Sets the organization's editorial vision and standards, anticipating audience and format shifts.</t>
  </si>
  <si>
    <t xml:space="preserve">Defines what authoritative content means in the field, externally recognized as a thought leader.</t>
  </si>
  <si>
    <t xml:space="preserve">MKT-03</t>
  </si>
  <si>
    <t xml:space="preserve">Creative direction &amp; design management</t>
  </si>
  <si>
    <t xml:space="preserve">Guide visual and creative execution to deliver compelling, on-brand assets.</t>
  </si>
  <si>
    <t xml:space="preserve">Executes design tasks within a defined visual system, with creative choices reviewed.</t>
  </si>
  <si>
    <t xml:space="preserve">Delivers creative work independently to brief, managing routine revisions and feedback.</t>
  </si>
  <si>
    <t xml:space="preserve">Directs creative for whole campaigns, resolving ambiguous briefs into coherent concepts.</t>
  </si>
  <si>
    <t xml:space="preserve">Defines the creative approach and critique standards other designers learn from.</t>
  </si>
  <si>
    <t xml:space="preserve">Sets the creative vision and aesthetic direction across the organization, anticipating design trends.</t>
  </si>
  <si>
    <t xml:space="preserve">Shapes creative standards the industry references, externally celebrated for distinctive work.</t>
  </si>
  <si>
    <t xml:space="preserve">MKT-04</t>
  </si>
  <si>
    <t xml:space="preserve">Public relations &amp; corporate communications</t>
  </si>
  <si>
    <t xml:space="preserve">Shape public narrative, manage media relationships, and protect reputation through earned channels.</t>
  </si>
  <si>
    <t xml:space="preserve">Drafts press materials and media lists from templates, with messaging reviewed before release.</t>
  </si>
  <si>
    <t xml:space="preserve">Manages routine media relationships and announcements independently, handling standard inquiries.</t>
  </si>
  <si>
    <t xml:space="preserve">Owns communications for sensitive topics, navigating ambiguous narratives and difficult press situations.</t>
  </si>
  <si>
    <t xml:space="preserve">Defines the messaging framework and crisis-response playbook other communicators adopt.</t>
  </si>
  <si>
    <t xml:space="preserve">Sets corporate communications strategy and reputation standards, anticipating narrative and stakeholder risks.</t>
  </si>
  <si>
    <t xml:space="preserve">Shapes how the discipline handles reputation, sought externally as an authority on communications.</t>
  </si>
  <si>
    <t xml:space="preserve">MKT-05</t>
  </si>
  <si>
    <t xml:space="preserve">Demand &amp; Growth</t>
  </si>
  <si>
    <t xml:space="preserve">Demand generation &amp; growth marketing</t>
  </si>
  <si>
    <t xml:space="preserve">Drive qualified pipeline through coordinated multi-channel acquisition and growth experiments.</t>
  </si>
  <si>
    <t xml:space="preserve">Executes demand campaigns to spec, with targeting and budget choices reviewed.</t>
  </si>
  <si>
    <t xml:space="preserve">Runs standard acquisition programs independently, optimizing routine funnels toward targets.</t>
  </si>
  <si>
    <t xml:space="preserve">Owns demand strategy for a segment, diagnosing and fixing underperforming funnels autonomously.</t>
  </si>
  <si>
    <t xml:space="preserve">Defines the growth model and experimentation approach other marketers adopt.</t>
  </si>
  <si>
    <t xml:space="preserve">Sets the organization's demand strategy and growth standards, anticipating channel saturation and shifts.</t>
  </si>
  <si>
    <t xml:space="preserve">Defines growth-marketing practice the field follows, externally credible on scalable acquisition.</t>
  </si>
  <si>
    <t xml:space="preserve">MKT-06</t>
  </si>
  <si>
    <t xml:space="preserve">Digital &amp; search marketing</t>
  </si>
  <si>
    <t xml:space="preserve">Acquire and engage audiences through organic, paid, and search-driven digital channels.</t>
  </si>
  <si>
    <t xml:space="preserve">Implements digital and search campaigns from a plan, with keywords and bids reviewed.</t>
  </si>
  <si>
    <t xml:space="preserve">Manages search and digital channels independently, optimizing routine campaigns to targets.</t>
  </si>
  <si>
    <t xml:space="preserve">Owns digital strategy across channels, resolving ambiguous attribution and ranking challenges autonomously.</t>
  </si>
  <si>
    <t xml:space="preserve">Defines the digital and search methodology other practitioners adopt across campaigns.</t>
  </si>
  <si>
    <t xml:space="preserve">Sets digital marketing strategy and standards, anticipating algorithm and platform shifts.</t>
  </si>
  <si>
    <t xml:space="preserve">Shapes search and digital practice the industry references, externally recognized expert.</t>
  </si>
  <si>
    <t xml:space="preserve">MKT-07</t>
  </si>
  <si>
    <t xml:space="preserve">Lifecycle &amp; retention marketing</t>
  </si>
  <si>
    <t xml:space="preserve">Nurture, convert, and retain audiences across the customer lifecycle to maximize value.</t>
  </si>
  <si>
    <t xml:space="preserve">Builds lifecycle messages from defined journeys, with timing and segmentation reviewed.</t>
  </si>
  <si>
    <t xml:space="preserve">Runs standard retention and nurture programs independently, handling routine segmentation.</t>
  </si>
  <si>
    <t xml:space="preserve">Owns lifecycle strategy for a cohort, diagnosing churn and engagement problems autonomously.</t>
  </si>
  <si>
    <t xml:space="preserve">Defines the lifecycle model and retention frameworks other marketers adopt.</t>
  </si>
  <si>
    <t xml:space="preserve">Sets retention strategy and customer-value standards, anticipating shifts in engagement behavior.</t>
  </si>
  <si>
    <t xml:space="preserve">Defines lifecycle-marketing practice the field follows, externally credible on retention and loyalty.</t>
  </si>
  <si>
    <t xml:space="preserve">MKT-08</t>
  </si>
  <si>
    <t xml:space="preserve">Campaign planning &amp; management</t>
  </si>
  <si>
    <t xml:space="preserve">Orchestrate integrated campaigns end-to-end from brief through execution and optimization.</t>
  </si>
  <si>
    <t xml:space="preserve">Coordinates campaign tasks and timelines under direction, with the plan reviewed.</t>
  </si>
  <si>
    <t xml:space="preserve">Plans and runs standard multi-channel campaigns independently, managing routine dependencies.</t>
  </si>
  <si>
    <t xml:space="preserve">Owns complex campaigns end-to-end, resolving conflicting priorities and ambiguous briefs autonomously.</t>
  </si>
  <si>
    <t xml:space="preserve">Defines the campaign planning methodology and orchestration approach other marketers adopt.</t>
  </si>
  <si>
    <t xml:space="preserve">Sets integrated campaign strategy and standards, anticipating cross-channel and timing dynamics.</t>
  </si>
  <si>
    <t xml:space="preserve">Shapes campaign-management practice the industry references, externally recognized authority.</t>
  </si>
  <si>
    <t xml:space="preserve">MKT-09</t>
  </si>
  <si>
    <t xml:space="preserve">Events &amp; Engagement</t>
  </si>
  <si>
    <t xml:space="preserve">Event &amp; field marketing</t>
  </si>
  <si>
    <t xml:space="preserve">Plan and run events and field programs that generate engagement and pipeline.</t>
  </si>
  <si>
    <t xml:space="preserve">Supports event logistics and setup under direction, with arrangements reviewed.</t>
  </si>
  <si>
    <t xml:space="preserve">Runs standard events and field programs independently, handling routine vendor and attendee issues.</t>
  </si>
  <si>
    <t xml:space="preserve">Owns flagship events end-to-end, resolving ambiguous trade-offs in scope, budget, and experience.</t>
  </si>
  <si>
    <t xml:space="preserve">Defines the event playbook and field-marketing approach other organizers adopt.</t>
  </si>
  <si>
    <t xml:space="preserve">Sets event strategy and experience standards, anticipating shifts in audience engagement.</t>
  </si>
  <si>
    <t xml:space="preserve">Defines what great events mean in the field, externally sought to design landmark experiences.</t>
  </si>
  <si>
    <t xml:space="preserve">MKT-10</t>
  </si>
  <si>
    <t xml:space="preserve">Community &amp; advocacy programs</t>
  </si>
  <si>
    <t xml:space="preserve">Build and nurture communities and advocates that amplify reach and loyalty.</t>
  </si>
  <si>
    <t xml:space="preserve">Moderates and supports community activity under direction, with responses reviewed.</t>
  </si>
  <si>
    <t xml:space="preserve">Runs standard community and advocacy programs independently, handling routine member needs.</t>
  </si>
  <si>
    <t xml:space="preserve">Owns community strategy for a program, resolving ambiguous engagement and conflict situations autonomously.</t>
  </si>
  <si>
    <t xml:space="preserve">Defines the community-building and advocacy model other program leads adopt.</t>
  </si>
  <si>
    <t xml:space="preserve">Sets community strategy and health standards, anticipating shifts in member behavior and sentiment.</t>
  </si>
  <si>
    <t xml:space="preserve">Shapes community and advocacy practice the field follows, externally recognized authority.</t>
  </si>
  <si>
    <t xml:space="preserve">MKT-11</t>
  </si>
  <si>
    <t xml:space="preserve">Marketing Operations &amp; Insight</t>
  </si>
  <si>
    <t xml:space="preserve">Marketing analytics &amp; attribution</t>
  </si>
  <si>
    <t xml:space="preserve">Measure marketing performance and attribute outcomes across channels to guide investment.</t>
  </si>
  <si>
    <t xml:space="preserve">Pulls standard marketing reports and metrics, with interpretation reviewed.</t>
  </si>
  <si>
    <t xml:space="preserve">Builds routine dashboards and attribution analyses independently, answering standard performance questions.</t>
  </si>
  <si>
    <t xml:space="preserve">Owns measurement for a domain, resolving ambiguous attribution and data-quality problems autonomously.</t>
  </si>
  <si>
    <t xml:space="preserve">Defines the attribution methodology and measurement framework other analysts adopt.</t>
  </si>
  <si>
    <t xml:space="preserve">Sets analytics strategy and measurement standards, anticipating shifts in data and privacy constraints.</t>
  </si>
  <si>
    <t xml:space="preserve">Defines marketing-measurement practice the field follows, externally credible on attribution.</t>
  </si>
  <si>
    <t xml:space="preserve">MKT-12</t>
  </si>
  <si>
    <t xml:space="preserve">Marketing operations &amp; automation</t>
  </si>
  <si>
    <t xml:space="preserve">Design marketing processes, data flows, and automated programs that scale execution.</t>
  </si>
  <si>
    <t xml:space="preserve">Executes automation tasks and data hygiene under direction, with configuration reviewed.</t>
  </si>
  <si>
    <t xml:space="preserve">Builds and maintains standard automation workflows independently, handling routine operational issues.</t>
  </si>
  <si>
    <t xml:space="preserve">Owns the marketing operations stack for a team, resolving ambiguous process and data challenges autonomously.</t>
  </si>
  <si>
    <t xml:space="preserve">Defines the operations architecture and automation standards other practitioners adopt.</t>
  </si>
  <si>
    <t xml:space="preserve">Sets marketing-operations strategy and governance, anticipating scaling and integration needs.</t>
  </si>
  <si>
    <t xml:space="preserve">Shapes marketing-operations practice the industry references, externally recognized expert.</t>
  </si>
  <si>
    <t xml:space="preserve">MKT-13</t>
  </si>
  <si>
    <t xml:space="preserve">Customer &amp; audience research</t>
  </si>
  <si>
    <t xml:space="preserve">Generate audience insight through segmentation, research, and behavioral analysis.</t>
  </si>
  <si>
    <t xml:space="preserve">Conducts research tasks to a defined protocol, with analysis reviewed.</t>
  </si>
  <si>
    <t xml:space="preserve">Runs standard studies and surveys independently, drawing routine insights from data.</t>
  </si>
  <si>
    <t xml:space="preserve">Owns research for a question, designing methods and resolving ambiguous findings autonomously.</t>
  </si>
  <si>
    <t xml:space="preserve">Defines the research methodology and insight frameworks other researchers adopt.</t>
  </si>
  <si>
    <t xml:space="preserve">Sets the research agenda and rigor standards, anticipating shifts in audience and method.</t>
  </si>
  <si>
    <t xml:space="preserve">Defines audience-research practice the field follows, externally credible on customer insight.</t>
  </si>
  <si>
    <t xml:space="preserve">SAL-01</t>
  </si>
  <si>
    <t xml:space="preserve">Sales</t>
  </si>
  <si>
    <t xml:space="preserve">Pipeline Generation</t>
  </si>
  <si>
    <t xml:space="preserve">Prospecting &amp; lead qualification</t>
  </si>
  <si>
    <t xml:space="preserve">Identify, reach, and qualify prospects to build a healthy top-of-funnel pipeline.</t>
  </si>
  <si>
    <t xml:space="preserve">Works defined prospect lists and qualifies leads against a checklist, with outreach reviewed.</t>
  </si>
  <si>
    <t xml:space="preserve">Runs standard prospecting independently, qualifying routine opportunities to agreed criteria.</t>
  </si>
  <si>
    <t xml:space="preserve">Owns prospecting for a territory, qualifying ambiguous and complex opportunities autonomously.</t>
  </si>
  <si>
    <t xml:space="preserve">Defines the prospecting and qualification methodology other reps adopt.</t>
  </si>
  <si>
    <t xml:space="preserve">Sets the pipeline-generation strategy and qualification standards across the organization.</t>
  </si>
  <si>
    <t xml:space="preserve">Shapes prospecting practice the profession references, externally recognized authority.</t>
  </si>
  <si>
    <t xml:space="preserve">SAL-02</t>
  </si>
  <si>
    <t xml:space="preserve">Territory &amp; market coverage planning</t>
  </si>
  <si>
    <t xml:space="preserve">Segment and prioritize territories and markets to optimize sales coverage and effort.</t>
  </si>
  <si>
    <t xml:space="preserve">Maintains territory data and coverage lists under direction, with assignments reviewed.</t>
  </si>
  <si>
    <t xml:space="preserve">Plans coverage for a defined territory independently, handling routine allocation decisions.</t>
  </si>
  <si>
    <t xml:space="preserve">Owns territory design for a region, resolving ambiguous segmentation and capacity trade-offs autonomously.</t>
  </si>
  <si>
    <t xml:space="preserve">Defines the territory-planning methodology and coverage model other planners adopt.</t>
  </si>
  <si>
    <t xml:space="preserve">Sets market-coverage strategy and standards, anticipating shifts in market and capacity.</t>
  </si>
  <si>
    <t xml:space="preserve">Defines territory-design practice the field follows, externally credible on coverage strategy.</t>
  </si>
  <si>
    <t xml:space="preserve">SAL-03</t>
  </si>
  <si>
    <t xml:space="preserve">Selling</t>
  </si>
  <si>
    <t xml:space="preserve">Consultative &amp; solution selling</t>
  </si>
  <si>
    <t xml:space="preserve">Diagnose customer needs and craft tailored solutions that link value to outcomes.</t>
  </si>
  <si>
    <t xml:space="preserve">Follows a discovery script to surface needs, with solution framing reviewed.</t>
  </si>
  <si>
    <t xml:space="preserve">Runs consultative conversations independently, mapping routine needs to solutions.</t>
  </si>
  <si>
    <t xml:space="preserve">Owns complex consultative deals, diagnosing ambiguous needs and shaping tailored solutions autonomously.</t>
  </si>
  <si>
    <t xml:space="preserve">Defines the consultative selling methodology and discovery approach other sellers adopt.</t>
  </si>
  <si>
    <t xml:space="preserve">Sets the solution-selling strategy and standards, anticipating shifts in buyer needs.</t>
  </si>
  <si>
    <t xml:space="preserve">Shapes consultative-selling practice the profession references, externally recognized authority.</t>
  </si>
  <si>
    <t xml:space="preserve">SAL-04</t>
  </si>
  <si>
    <t xml:space="preserve">Sales presentations &amp; demonstrations</t>
  </si>
  <si>
    <t xml:space="preserve">Deliver persuasive presentations and demonstrations that advance buyer commitment.</t>
  </si>
  <si>
    <t xml:space="preserve">Delivers standard presentations from a deck, with delivery reviewed.</t>
  </si>
  <si>
    <t xml:space="preserve">Tailors and presents independently to routine audiences, handling common questions.</t>
  </si>
  <si>
    <t xml:space="preserve">Owns high-stakes presentations, adapting to ambiguous rooms and tough objections autonomously.</t>
  </si>
  <si>
    <t xml:space="preserve">Defines the presentation and demo approach other sellers learn from.</t>
  </si>
  <si>
    <t xml:space="preserve">Sets presentation strategy and storytelling standards across the sales organization.</t>
  </si>
  <si>
    <t xml:space="preserve">Defines what compelling sales presentation means in the field, externally sought to teach it.</t>
  </si>
  <si>
    <t xml:space="preserve">SAL-05</t>
  </si>
  <si>
    <t xml:space="preserve">Negotiation &amp; closing</t>
  </si>
  <si>
    <t xml:space="preserve">Navigate terms, resolve objections, and close agreements that protect mutual value.</t>
  </si>
  <si>
    <t xml:space="preserve">Executes standard closing steps within set terms, with concessions reviewed.</t>
  </si>
  <si>
    <t xml:space="preserve">Negotiates and closes routine deals independently within approved guardrails.</t>
  </si>
  <si>
    <t xml:space="preserve">Owns complex negotiations, navigating ambiguous terms and multi-party closes autonomously.</t>
  </si>
  <si>
    <t xml:space="preserve">Defines the negotiation and closing playbook other sellers adopt.</t>
  </si>
  <si>
    <t xml:space="preserve">Sets negotiation strategy and deal-term standards, anticipating buyer tactics.</t>
  </si>
  <si>
    <t xml:space="preserve">Shapes negotiation practice the profession references, externally recognized authority on closing.</t>
  </si>
  <si>
    <t xml:space="preserve">SAL-06</t>
  </si>
  <si>
    <t xml:space="preserve">Deal &amp; Account Management</t>
  </si>
  <si>
    <t xml:space="preserve">Sales pipeline &amp; deal management</t>
  </si>
  <si>
    <t xml:space="preserve">Manage opportunities through stages with rigor, hygiene, and momentum to close.</t>
  </si>
  <si>
    <t xml:space="preserve">Updates deal records and stages under direction, with hygiene reviewed.</t>
  </si>
  <si>
    <t xml:space="preserve">Manages a personal pipeline independently, advancing routine deals through stages.</t>
  </si>
  <si>
    <t xml:space="preserve">Owns a complex pipeline, diagnosing stalled deals and prioritizing ambiguous trade-offs autonomously.</t>
  </si>
  <si>
    <t xml:space="preserve">Defines the pipeline-management discipline and deal-review approach other sellers adopt.</t>
  </si>
  <si>
    <t xml:space="preserve">Sets pipeline strategy and deal-management standards, anticipating funnel risks.</t>
  </si>
  <si>
    <t xml:space="preserve">Defines pipeline-management practice the profession references, externally credible authority.</t>
  </si>
  <si>
    <t xml:space="preserve">SAL-07</t>
  </si>
  <si>
    <t xml:space="preserve">Account planning &amp; expansion</t>
  </si>
  <si>
    <t xml:space="preserve">Develop strategic account plans that retain, grow, and expand key relationships.</t>
  </si>
  <si>
    <t xml:space="preserve">Maintains account records and plans under direction, with priorities reviewed.</t>
  </si>
  <si>
    <t xml:space="preserve">Manages expansion in assigned accounts independently, pursuing routine upsell opportunities.</t>
  </si>
  <si>
    <t xml:space="preserve">Owns strategic account plans, navigating ambiguous stakeholder maps and expansion paths autonomously.</t>
  </si>
  <si>
    <t xml:space="preserve">Defines the account-planning methodology and expansion approach other sellers adopt.</t>
  </si>
  <si>
    <t xml:space="preserve">Sets account strategy and growth standards, anticipating shifts in customer value.</t>
  </si>
  <si>
    <t xml:space="preserve">Shapes account-management practice the profession references, externally recognized authority.</t>
  </si>
  <si>
    <t xml:space="preserve">SAL-08</t>
  </si>
  <si>
    <t xml:space="preserve">Sales Effectiveness</t>
  </si>
  <si>
    <t xml:space="preserve">Sales forecasting &amp; quota management</t>
  </si>
  <si>
    <t xml:space="preserve">Forecast revenue and manage quota attainment with predictable, data-grounded rigor.</t>
  </si>
  <si>
    <t xml:space="preserve">Updates forecast inputs and quota tracking under direction, with figures reviewed.</t>
  </si>
  <si>
    <t xml:space="preserve">Produces a personal forecast independently, managing routine quota attainment questions.</t>
  </si>
  <si>
    <t xml:space="preserve">Owns forecasting for a team, reconciling ambiguous signals into reliable calls autonomously.</t>
  </si>
  <si>
    <t xml:space="preserve">Defines the forecasting methodology and quota-setting approach other leaders adopt.</t>
  </si>
  <si>
    <t xml:space="preserve">Sets forecasting strategy and quota standards, anticipating market and capacity shifts.</t>
  </si>
  <si>
    <t xml:space="preserve">Defines forecasting practice the field follows, externally credible on predictability and quota design.</t>
  </si>
  <si>
    <t xml:space="preserve">SAL-09</t>
  </si>
  <si>
    <t xml:space="preserve">Sales enablement &amp; coaching</t>
  </si>
  <si>
    <t xml:space="preserve">Equip and coach sellers with the skills, content, and tools to perform consistently.</t>
  </si>
  <si>
    <t xml:space="preserve">Delivers enablement content and onboarding tasks under direction, with coaching reviewed.</t>
  </si>
  <si>
    <t xml:space="preserve">Runs standard training and coaching independently, developing routine rep skills.</t>
  </si>
  <si>
    <t xml:space="preserve">Owns enablement for a team, diagnosing ambiguous performance gaps and coaching autonomously.</t>
  </si>
  <si>
    <t xml:space="preserve">Defines the enablement curriculum and coaching model other trainers adopt.</t>
  </si>
  <si>
    <t xml:space="preserve">Sets enablement strategy and competency standards, anticipating skill needs.</t>
  </si>
  <si>
    <t xml:space="preserve">Shapes sales-enablement practice the profession references, externally recognized authority.</t>
  </si>
  <si>
    <t xml:space="preserve">SAL-10</t>
  </si>
  <si>
    <t xml:space="preserve">Channel &amp; partner sales</t>
  </si>
  <si>
    <t xml:space="preserve">Drive revenue through indirect channels by enabling and managing selling partners.</t>
  </si>
  <si>
    <t xml:space="preserve">Supports partner deals and registrations under direction, with terms reviewed.</t>
  </si>
  <si>
    <t xml:space="preserve">Manages routine partner-sourced deals independently, handling standard channel conflict.</t>
  </si>
  <si>
    <t xml:space="preserve">Owns channel revenue for a region, resolving ambiguous partner and conflict situations autonomously.</t>
  </si>
  <si>
    <t xml:space="preserve">Defines the channel-selling model and partner-engagement approach other reps adopt.</t>
  </si>
  <si>
    <t xml:space="preserve">Sets channel-sales strategy and standards, anticipating ecosystem and conflict dynamics.</t>
  </si>
  <si>
    <t xml:space="preserve">Defines channel-sales practice the field follows, externally credible on indirect revenue.</t>
  </si>
  <si>
    <t xml:space="preserve">SAL-11</t>
  </si>
  <si>
    <t xml:space="preserve">Sales operations &amp; process</t>
  </si>
  <si>
    <t xml:space="preserve">Design and run sales processes, territories, and systems that improve productivity.</t>
  </si>
  <si>
    <t xml:space="preserve">Executes sales-ops tasks and data updates under direction, with changes reviewed.</t>
  </si>
  <si>
    <t xml:space="preserve">Maintains standard sales processes and tooling independently, handling routine requests.</t>
  </si>
  <si>
    <t xml:space="preserve">Owns sales process for a team, resolving ambiguous workflow and data challenges autonomously.</t>
  </si>
  <si>
    <t xml:space="preserve">Defines the sales-operations architecture and process standards other practitioners adopt.</t>
  </si>
  <si>
    <t xml:space="preserve">Sets sales-operations strategy and governance, anticipating scaling and tooling needs.</t>
  </si>
  <si>
    <t xml:space="preserve">Shapes sales-operations practice the profession references, externally recognized expert.</t>
  </si>
  <si>
    <t xml:space="preserve">BD-01</t>
  </si>
  <si>
    <t xml:space="preserve">Partnerships &amp; Business Development</t>
  </si>
  <si>
    <t xml:space="preserve">Partnership Strategy</t>
  </si>
  <si>
    <t xml:space="preserve">Partnership strategy &amp; sourcing</t>
  </si>
  <si>
    <t xml:space="preserve">Identify, evaluate, and source partnerships that advance strategic and revenue goals.</t>
  </si>
  <si>
    <t xml:space="preserve">Researches and shortlists potential partners under direction, with the rationale reviewed.</t>
  </si>
  <si>
    <t xml:space="preserve">Sources and screens routine partnership opportunities independently against agreed criteria.</t>
  </si>
  <si>
    <t xml:space="preserve">Owns partnership strategy for a domain, prioritizing ambiguous opportunities and fit autonomously.</t>
  </si>
  <si>
    <t xml:space="preserve">Defines the partnership-sourcing methodology and prioritization model others adopt.</t>
  </si>
  <si>
    <t xml:space="preserve">Sets the partnership strategy and standards, anticipating shifts in the partner landscape.</t>
  </si>
  <si>
    <t xml:space="preserve">Defines partnership-strategy practice the field follows, externally credible on ecosystem strategy.</t>
  </si>
  <si>
    <t xml:space="preserve">BD-02</t>
  </si>
  <si>
    <t xml:space="preserve">Ecosystem &amp; channel development</t>
  </si>
  <si>
    <t xml:space="preserve">Build and grow partner ecosystems and channels that extend reach and capability.</t>
  </si>
  <si>
    <t xml:space="preserve">Supports ecosystem and channel tasks under direction, with recruitment steps reviewed.</t>
  </si>
  <si>
    <t xml:space="preserve">Develops routine channel relationships independently, onboarding standard partners.</t>
  </si>
  <si>
    <t xml:space="preserve">Owns ecosystem development for a segment, resolving ambiguous structure and incentive trade-offs autonomously.</t>
  </si>
  <si>
    <t xml:space="preserve">Defines the ecosystem-development model and channel-design approach others adopt.</t>
  </si>
  <si>
    <t xml:space="preserve">Sets ecosystem strategy and standards, anticipating shifts in channel economics and structure.</t>
  </si>
  <si>
    <t xml:space="preserve">Shapes ecosystem-development practice the field references, externally recognized authority.</t>
  </si>
  <si>
    <t xml:space="preserve">BD-03</t>
  </si>
  <si>
    <t xml:space="preserve">Deal Making &amp; Alliances</t>
  </si>
  <si>
    <t xml:space="preserve">Deal structuring &amp; negotiation</t>
  </si>
  <si>
    <t xml:space="preserve">Structure and negotiate partnership and commercial deals balancing risk and value.</t>
  </si>
  <si>
    <t xml:space="preserve">Prepares deal terms from templates under direction, with structure reviewed.</t>
  </si>
  <si>
    <t xml:space="preserve">Structures and negotiates routine partnership deals independently within agreed guardrails.</t>
  </si>
  <si>
    <t xml:space="preserve">Owns complex deal structuring, navigating ambiguous terms and multi-party negotiations autonomously.</t>
  </si>
  <si>
    <t xml:space="preserve">Defines the deal-structuring frameworks and negotiation approach others adopt.</t>
  </si>
  <si>
    <t xml:space="preserve">Sets deal-structuring strategy and standards, anticipating risk and value-sharing dynamics.</t>
  </si>
  <si>
    <t xml:space="preserve">Defines deal-making practice the field follows, externally credible on complex partnership structures.</t>
  </si>
  <si>
    <t xml:space="preserve">BD-04</t>
  </si>
  <si>
    <t xml:space="preserve">Alliance &amp; relationship management</t>
  </si>
  <si>
    <t xml:space="preserve">Manage ongoing alliances to sustain trust, joint value, and mutual accountability.</t>
  </si>
  <si>
    <t xml:space="preserve">Maintains alliance records and check-ins under direction, with follow-ups reviewed.</t>
  </si>
  <si>
    <t xml:space="preserve">Manages routine alliance relationships independently, handling standard partner needs.</t>
  </si>
  <si>
    <t xml:space="preserve">Owns strategic alliances, navigating ambiguous stakeholder dynamics and conflicts autonomously.</t>
  </si>
  <si>
    <t xml:space="preserve">Defines the alliance-management model and governance approach others adopt.</t>
  </si>
  <si>
    <t xml:space="preserve">Sets alliance strategy and relationship standards, anticipating shifts in partner priorities.</t>
  </si>
  <si>
    <t xml:space="preserve">Shapes alliance-management practice the field references, externally recognized authority.</t>
  </si>
  <si>
    <t xml:space="preserve">BD-05</t>
  </si>
  <si>
    <t xml:space="preserve">Joint go-to-market &amp; co-selling</t>
  </si>
  <si>
    <t xml:space="preserve">Orchestrate joint offerings, co-selling, and shared pipeline with partners.</t>
  </si>
  <si>
    <t xml:space="preserve">Supports joint GTM activities and co-sell tasks under direction, with plans reviewed.</t>
  </si>
  <si>
    <t xml:space="preserve">Executes routine joint campaigns and co-sell motions independently with partners.</t>
  </si>
  <si>
    <t xml:space="preserve">Owns joint GTM for a partnership, resolving ambiguous alignment and attribution issues autonomously.</t>
  </si>
  <si>
    <t xml:space="preserve">Defines the joint-GTM and co-selling playbook other teams adopt.</t>
  </si>
  <si>
    <t xml:space="preserve">Sets co-sell strategy and standards, anticipating shifts in partner go-to-market dynamics.</t>
  </si>
  <si>
    <t xml:space="preserve">Defines joint-GTM practice the field follows, externally credible on co-selling at scale.</t>
  </si>
  <si>
    <t xml:space="preserve">BD-06</t>
  </si>
  <si>
    <t xml:space="preserve">Partner Performance</t>
  </si>
  <si>
    <t xml:space="preserve">Partner performance &amp; program management</t>
  </si>
  <si>
    <t xml:space="preserve">Track partner performance and run programs, tiers, and incentives that drive results.</t>
  </si>
  <si>
    <t xml:space="preserve">Tracks partner metrics and program tasks under direction, with reporting reviewed.</t>
  </si>
  <si>
    <t xml:space="preserve">Manages a standard partner program independently, handling routine performance and tiering.</t>
  </si>
  <si>
    <t xml:space="preserve">Owns program performance for a portfolio, diagnosing ambiguous underperformance and incentives autonomously.</t>
  </si>
  <si>
    <t xml:space="preserve">Defines the partner-program design and performance frameworks others adopt.</t>
  </si>
  <si>
    <t xml:space="preserve">Sets partner-program strategy and standards, anticipating shifts in program economics.</t>
  </si>
  <si>
    <t xml:space="preserve">Shapes partner-program practice the field references, externally recognized authority.</t>
  </si>
  <si>
    <t xml:space="preserve">CSM-01</t>
  </si>
  <si>
    <t xml:space="preserve">Customer Success &amp; Account Management</t>
  </si>
  <si>
    <t xml:space="preserve">Onboarding &amp; Adoption</t>
  </si>
  <si>
    <t xml:space="preserve">Customer onboarding &amp; adoption</t>
  </si>
  <si>
    <t xml:space="preserve">Guide new customers through implementation and drive early adoption to reach first value.</t>
  </si>
  <si>
    <t xml:space="preserve">Completes assigned onboarding steps from a checklist for new customers, with each session reviewed.</t>
  </si>
  <si>
    <t xml:space="preserve">Runs standard onboarding plans independently, configuring setup and guiding customers to first value.</t>
  </si>
  <si>
    <t xml:space="preserve">Tailors onboarding to complex or ambiguous customer needs and is the team's go-to for tough launches.</t>
  </si>
  <si>
    <t xml:space="preserve">Designs the onboarding methodology others follow and rescues stalled or failing implementations.</t>
  </si>
  <si>
    <t xml:space="preserve">Sets onboarding strategy across segments and anticipates shifts in how customers reach value.</t>
  </si>
  <si>
    <t xml:space="preserve">Defines what excellent onboarding means industry-wide and is sought externally for that expertise.</t>
  </si>
  <si>
    <t xml:space="preserve">CSM-02</t>
  </si>
  <si>
    <t xml:space="preserve">Adoption monitoring &amp; enablement</t>
  </si>
  <si>
    <t xml:space="preserve">Track usage signals and deliver targeted enablement to deepen adoption over time.</t>
  </si>
  <si>
    <t xml:space="preserve">Tracks basic usage metrics and flags low-adoption accounts for a reviewer to act on.</t>
  </si>
  <si>
    <t xml:space="preserve">Independently monitors adoption signals and delivers standard enablement to lift feature usage.</t>
  </si>
  <si>
    <t xml:space="preserve">Diagnoses ambiguous adoption gaps and designs targeted enablement that reliably moves usage.</t>
  </si>
  <si>
    <t xml:space="preserve">Builds the adoption-measurement and enablement frameworks the team adopts as standard.</t>
  </si>
  <si>
    <t xml:space="preserve">Sets the adoption strategy and predicts which usage patterns precede expansion or churn.</t>
  </si>
  <si>
    <t xml:space="preserve">Shapes how the discipline defines healthy adoption and is externally credible on enablement practice.</t>
  </si>
  <si>
    <t xml:space="preserve">CSM-03</t>
  </si>
  <si>
    <t xml:space="preserve">Account Health &amp; Retention</t>
  </si>
  <si>
    <t xml:space="preserve">Account health &amp; churn management</t>
  </si>
  <si>
    <t xml:space="preserve">Score account health from leading indicators and intervene proactively to prevent churn.</t>
  </si>
  <si>
    <t xml:space="preserve">Updates health scores from defined inputs and escalates declining accounts to a reviewer.</t>
  </si>
  <si>
    <t xml:space="preserve">Independently assesses account health and runs standard interventions on at-risk accounts.</t>
  </si>
  <si>
    <t xml:space="preserve">Interprets conflicting health signals, diagnoses root causes, and is the go-to on hard cases.</t>
  </si>
  <si>
    <t xml:space="preserve">Designs the health-scoring model and intervention playbooks others rely on.</t>
  </si>
  <si>
    <t xml:space="preserve">Sets churn-management strategy and anticipates emerging drivers of attrition across the book.</t>
  </si>
  <si>
    <t xml:space="preserve">Defines best-practice account health for the field and influences how others measure churn.</t>
  </si>
  <si>
    <t xml:space="preserve">CSM-04</t>
  </si>
  <si>
    <t xml:space="preserve">Renewal &amp; expansion management</t>
  </si>
  <si>
    <t xml:space="preserve">Forecast, negotiate, and close renewals while growing upsell and cross-sell.</t>
  </si>
  <si>
    <t xml:space="preserve">Prepares renewal paperwork and flags upcoming dates, with quotes and terms reviewed.</t>
  </si>
  <si>
    <t xml:space="preserve">Independently runs straightforward renewals and surfaces routine expansion opportunities.</t>
  </si>
  <si>
    <t xml:space="preserve">Negotiates complex multi-stakeholder renewals and structures expansion deals autonomously.</t>
  </si>
  <si>
    <t xml:space="preserve">Defines the renewal and expansion playbook and closes the deals others can't.</t>
  </si>
  <si>
    <t xml:space="preserve">Sets renewal and expansion strategy and forecasts where account growth is heading.</t>
  </si>
  <si>
    <t xml:space="preserve">Defines what world-class renewal and expansion looks like and is sought for that authority.</t>
  </si>
  <si>
    <t xml:space="preserve">CSM-05</t>
  </si>
  <si>
    <t xml:space="preserve">Risk identification &amp; save planning</t>
  </si>
  <si>
    <t xml:space="preserve">Detect at-risk accounts and orchestrate cross-functional recovery and retention plays.</t>
  </si>
  <si>
    <t xml:space="preserve">Identifies obvious risk signals and logs them for a reviewer to assess and act.</t>
  </si>
  <si>
    <t xml:space="preserve">Independently spots common risks and executes standard save plans on routine cases.</t>
  </si>
  <si>
    <t xml:space="preserve">Detects subtle, ambiguous risk early and builds save plans that recover hard accounts.</t>
  </si>
  <si>
    <t xml:space="preserve">Designs the risk-detection signals and save methodology the team adopts.</t>
  </si>
  <si>
    <t xml:space="preserve">Sets save strategy and anticipates systemic risks before they surface across the portfolio.</t>
  </si>
  <si>
    <t xml:space="preserve">Defines the discipline's standard for risk and retention and is externally recognized for it.</t>
  </si>
  <si>
    <t xml:space="preserve">CSM-06</t>
  </si>
  <si>
    <t xml:space="preserve">Value &amp; Success Planning</t>
  </si>
  <si>
    <t xml:space="preserve">Success planning &amp; business reviews</t>
  </si>
  <si>
    <t xml:space="preserve">Build joint success plans and run reviews that align on goals, progress, and next steps.</t>
  </si>
  <si>
    <t xml:space="preserve">Assembles business-review materials from templates, with content reviewed before delivery.</t>
  </si>
  <si>
    <t xml:space="preserve">Independently builds success plans and runs standard business reviews with customers.</t>
  </si>
  <si>
    <t xml:space="preserve">Crafts executive-level success plans for complex accounts and leads ambiguous, high-stakes reviews.</t>
  </si>
  <si>
    <t xml:space="preserve">Defines the success-planning and review framework others follow and coaches them on it.</t>
  </si>
  <si>
    <t xml:space="preserve">Sets the strategy linking success plans to outcomes and anticipates shifts in customer priorities.</t>
  </si>
  <si>
    <t xml:space="preserve">Defines what great success planning means for the profession and is externally credible on it.</t>
  </si>
  <si>
    <t xml:space="preserve">CSM-07</t>
  </si>
  <si>
    <t xml:space="preserve">Customer outcome &amp; value realization</t>
  </si>
  <si>
    <t xml:space="preserve">Define target outcomes and quantify realized value to justify continued investment.</t>
  </si>
  <si>
    <t xml:space="preserve">Collects outcome data and populates value summaries for a reviewer to validate.</t>
  </si>
  <si>
    <t xml:space="preserve">Independently maps customer goals to metrics and reports realized value on standard accounts.</t>
  </si>
  <si>
    <t xml:space="preserve">Quantifies value in ambiguous cases and is the go-to for proving complex business outcomes.</t>
  </si>
  <si>
    <t xml:space="preserve">Builds the value-realization methodology and ROI models the team adopts.</t>
  </si>
  <si>
    <t xml:space="preserve">Sets value-measurement strategy and anticipates how customers will define success next.</t>
  </si>
  <si>
    <t xml:space="preserve">Defines how the industry measures customer value and shapes outcome-realization practice.</t>
  </si>
  <si>
    <t xml:space="preserve">CSM-08</t>
  </si>
  <si>
    <t xml:space="preserve">Strategic account growth planning</t>
  </si>
  <si>
    <t xml:space="preserve">Map account whitespace and stakeholders to chart multi-year growth and expansion.</t>
  </si>
  <si>
    <t xml:space="preserve">Gathers account background and drafts growth notes for a reviewer to refine.</t>
  </si>
  <si>
    <t xml:space="preserve">Independently builds growth plans for individual accounts using standard approaches.</t>
  </si>
  <si>
    <t xml:space="preserve">Develops multi-year growth strategies for complex accounts and navigates ambiguous stakeholder maps.</t>
  </si>
  <si>
    <t xml:space="preserve">Defines the strategic account-planning method others adopt and unlocks stalled growth.</t>
  </si>
  <si>
    <t xml:space="preserve">Sets portfolio-level growth strategy and anticipates where strategic accounts are heading.</t>
  </si>
  <si>
    <t xml:space="preserve">Defines best-practice strategic account growth for the field and is sought externally for it.</t>
  </si>
  <si>
    <t xml:space="preserve">CSM-09</t>
  </si>
  <si>
    <t xml:space="preserve">Advocacy &amp; Voice of Customer</t>
  </si>
  <si>
    <t xml:space="preserve">Customer advocacy &amp; voice-of-customer</t>
  </si>
  <si>
    <t xml:space="preserve">Cultivate references and advocates while channeling structured feedback into the business.</t>
  </si>
  <si>
    <t xml:space="preserve">Captures customer feedback and references for a reviewer to route or act on.</t>
  </si>
  <si>
    <t xml:space="preserve">Independently runs standard advocacy programs and channels routine feedback to teams.</t>
  </si>
  <si>
    <t xml:space="preserve">Synthesizes ambiguous feedback into actionable insight and cultivates strong references autonomously.</t>
  </si>
  <si>
    <t xml:space="preserve">Designs the voice-of-customer program and advocacy framework the organization adopts.</t>
  </si>
  <si>
    <t xml:space="preserve">Sets advocacy strategy and anticipates which customer signals should shape direction.</t>
  </si>
  <si>
    <t xml:space="preserve">Defines how the discipline practices voice-of-customer and is externally credible on advocacy.</t>
  </si>
  <si>
    <t xml:space="preserve">SUP-01</t>
  </si>
  <si>
    <t xml:space="preserve">Customer Support &amp; Service Operations</t>
  </si>
  <si>
    <t xml:space="preserve">Case &amp; Queue Management</t>
  </si>
  <si>
    <t xml:space="preserve">Case management &amp; triage</t>
  </si>
  <si>
    <t xml:space="preserve">Capture, categorize, and route service cases by urgency and impact for efficient resolution.</t>
  </si>
  <si>
    <t xml:space="preserve">Logs and categorizes incoming cases per defined rules, with prioritization reviewed.</t>
  </si>
  <si>
    <t xml:space="preserve">Independently triages and manages standard cases through resolution with normal oversight.</t>
  </si>
  <si>
    <t xml:space="preserve">Handles ambiguous, high-volume triage decisions and is the go-to for tricky case prioritization.</t>
  </si>
  <si>
    <t xml:space="preserve">Designs the triage model and case-handling standards the team adopts.</t>
  </si>
  <si>
    <t xml:space="preserve">Sets case-management strategy and anticipates how demand patterns will shift triage needs.</t>
  </si>
  <si>
    <t xml:space="preserve">Defines best-practice case triage for the discipline and influences how others structure it.</t>
  </si>
  <si>
    <t xml:space="preserve">SUP-02</t>
  </si>
  <si>
    <t xml:space="preserve">Service-level &amp; queue management</t>
  </si>
  <si>
    <t xml:space="preserve">Monitor and balance work queues against service-level targets to control resolution times.</t>
  </si>
  <si>
    <t xml:space="preserve">Monitors queues against targets and flags breaches for a reviewer to address.</t>
  </si>
  <si>
    <t xml:space="preserve">Independently manages queues to meet service levels under routine load variation.</t>
  </si>
  <si>
    <t xml:space="preserve">Balances competing queues under pressure and is the go-to for keeping SLAs intact in hard conditions.</t>
  </si>
  <si>
    <t xml:space="preserve">Designs the queue-management and SLA strategy others follow.</t>
  </si>
  <si>
    <t xml:space="preserve">Sets service-level strategy and anticipates demand shifts before they threaten targets.</t>
  </si>
  <si>
    <t xml:space="preserve">Defines what excellent service-level management means for the field and is externally credible.</t>
  </si>
  <si>
    <t xml:space="preserve">SUP-03</t>
  </si>
  <si>
    <t xml:space="preserve">Issue diagnosis &amp; resolution</t>
  </si>
  <si>
    <t xml:space="preserve">Investigate reported problems systematically and apply or develop fixes to restore service.</t>
  </si>
  <si>
    <t xml:space="preserve">Resolves well-defined issues using known steps, escalating anything unfamiliar.</t>
  </si>
  <si>
    <t xml:space="preserve">Independently diagnoses and resolves standard issues with normal review of tricky ones.</t>
  </si>
  <si>
    <t xml:space="preserve">Solves ambiguous, multi-factor problems and is the go-to for the hardest tickets.</t>
  </si>
  <si>
    <t xml:space="preserve">Defines diagnostic approaches others adopt and resolves issues no one else can.</t>
  </si>
  <si>
    <t xml:space="preserve">Sets resolution strategy and anticipates emerging failure modes before they spread.</t>
  </si>
  <si>
    <t xml:space="preserve">Defines the discipline's standard for diagnosis and is sought externally for hard problems.</t>
  </si>
  <si>
    <t xml:space="preserve">SUP-04</t>
  </si>
  <si>
    <t xml:space="preserve">Escalation &amp; Incident Handling</t>
  </si>
  <si>
    <t xml:space="preserve">Escalation &amp; incident communication</t>
  </si>
  <si>
    <t xml:space="preserve">Manage tiered escalations and keep customers informed through service-impacting incidents.</t>
  </si>
  <si>
    <t xml:space="preserve">Follows the escalation script and posts status updates that are reviewed before sending.</t>
  </si>
  <si>
    <t xml:space="preserve">Independently manages standard escalations and communicates clearly through routine incidents.</t>
  </si>
  <si>
    <t xml:space="preserve">Owns communication on ambiguous, high-pressure incidents and is the go-to under crisis.</t>
  </si>
  <si>
    <t xml:space="preserve">Designs the escalation and incident-communication protocols the team adopts.</t>
  </si>
  <si>
    <t xml:space="preserve">Sets incident-communication strategy and anticipates stakeholder needs in major events.</t>
  </si>
  <si>
    <t xml:space="preserve">Defines best-practice incident communication for the discipline and is externally recognized.</t>
  </si>
  <si>
    <t xml:space="preserve">SUP-05</t>
  </si>
  <si>
    <t xml:space="preserve">Problem &amp; root-cause management</t>
  </si>
  <si>
    <t xml:space="preserve">Analyze recurring issues to identify root causes and drive permanent corrective actions.</t>
  </si>
  <si>
    <t xml:space="preserve">Gathers incident details and documents findings for a reviewer to analyze.</t>
  </si>
  <si>
    <t xml:space="preserve">Independently runs root-cause analysis on standard recurring problems with normal review.</t>
  </si>
  <si>
    <t xml:space="preserve">Untangles ambiguous, systemic root causes and is the go-to for elusive recurring issues.</t>
  </si>
  <si>
    <t xml:space="preserve">Defines the problem-management methodology others adopt and cracks the hardest root causes.</t>
  </si>
  <si>
    <t xml:space="preserve">Sets problem-management strategy and anticipates systemic failures before they recur.</t>
  </si>
  <si>
    <t xml:space="preserve">Defines how the discipline practices root-cause management and shapes industry approaches.</t>
  </si>
  <si>
    <t xml:space="preserve">SUP-06</t>
  </si>
  <si>
    <t xml:space="preserve">Self-Service &amp; Knowledge</t>
  </si>
  <si>
    <t xml:space="preserve">Knowledge base &amp; self-service design</t>
  </si>
  <si>
    <t xml:space="preserve">Design and curate knowledge content and self-service experiences that deflect and resolve issues.</t>
  </si>
  <si>
    <t xml:space="preserve">Drafts knowledge articles from templates, with accuracy and clarity reviewed.</t>
  </si>
  <si>
    <t xml:space="preserve">Independently authors and maintains standard self-service content to defined quality.</t>
  </si>
  <si>
    <t xml:space="preserve">Designs self-service content for ambiguous needs and is the go-to for tough knowledge gaps.</t>
  </si>
  <si>
    <t xml:space="preserve">Defines the knowledge architecture and authoring standards the team adopts.</t>
  </si>
  <si>
    <t xml:space="preserve">Sets self-service strategy and anticipates what customers will need to solve themselves.</t>
  </si>
  <si>
    <t xml:space="preserve">Defines best-practice knowledge and self-service design for the field and is externally credible.</t>
  </si>
  <si>
    <t xml:space="preserve">SUP-07</t>
  </si>
  <si>
    <t xml:space="preserve">Support automation &amp; deflection design</t>
  </si>
  <si>
    <t xml:space="preserve">Build automated assist and routing flows that resolve common requests without agent effort.</t>
  </si>
  <si>
    <t xml:space="preserve">Configures simple automated responses from defined patterns, with logic reviewed.</t>
  </si>
  <si>
    <t xml:space="preserve">Independently builds standard deflection flows and tunes them to routine demand.</t>
  </si>
  <si>
    <t xml:space="preserve">Designs automation for ambiguous, high-impact cases and is the go-to for complex deflection.</t>
  </si>
  <si>
    <t xml:space="preserve">Defines the automation and deflection framework others adopt.</t>
  </si>
  <si>
    <t xml:space="preserve">Sets deflection strategy and anticipates which interactions automation should absorb next.</t>
  </si>
  <si>
    <t xml:space="preserve">Defines how the discipline approaches support automation and shapes industry practice.</t>
  </si>
  <si>
    <t xml:space="preserve">SUP-08</t>
  </si>
  <si>
    <t xml:space="preserve">Quality &amp; Performance</t>
  </si>
  <si>
    <t xml:space="preserve">Quality assurance &amp; CSAT management</t>
  </si>
  <si>
    <t xml:space="preserve">Audit interactions against quality standards and manage satisfaction metrics to improve service.</t>
  </si>
  <si>
    <t xml:space="preserve">Scores cases against a defined rubric and flags issues for a reviewer.</t>
  </si>
  <si>
    <t xml:space="preserve">Independently audits quality and manages routine CSAT follow-up with normal oversight.</t>
  </si>
  <si>
    <t xml:space="preserve">Interprets ambiguous quality signals and is the go-to for improving stubborn CSAT problems.</t>
  </si>
  <si>
    <t xml:space="preserve">Designs the quality rubric and CSAT-improvement program the team adopts.</t>
  </si>
  <si>
    <t xml:space="preserve">Sets quality and satisfaction strategy and anticipates emerging drivers of customer sentiment.</t>
  </si>
  <si>
    <t xml:space="preserve">Defines what support quality means for the discipline and is externally credible on it.</t>
  </si>
  <si>
    <t xml:space="preserve">SUP-09</t>
  </si>
  <si>
    <t xml:space="preserve">Support operations analytics &amp; forecasting</t>
  </si>
  <si>
    <t xml:space="preserve">Analyze support data and forecast demand to inform staffing, trends, and performance.</t>
  </si>
  <si>
    <t xml:space="preserve">Compiles support metrics into standard reports for a reviewer to interpret.</t>
  </si>
  <si>
    <t xml:space="preserve">Independently analyzes operational data and produces routine forecasts with normal review.</t>
  </si>
  <si>
    <t xml:space="preserve">Models ambiguous demand patterns and is the go-to for reliable forecasts in volatile conditions.</t>
  </si>
  <si>
    <t xml:space="preserve">Defines the analytics and forecasting methodology others adopt.</t>
  </si>
  <si>
    <t xml:space="preserve">Sets analytics strategy and anticipates how operational dynamics will shift forecasting needs.</t>
  </si>
  <si>
    <t xml:space="preserve">Defines best-practice support analytics for the field and is sought externally for it.</t>
  </si>
  <si>
    <t xml:space="preserve">SUP-10</t>
  </si>
  <si>
    <t xml:space="preserve">Workforce &amp; Capacity</t>
  </si>
  <si>
    <t xml:space="preserve">Workforce &amp; shift planning for support</t>
  </si>
  <si>
    <t xml:space="preserve">Forecast contact volume and schedule staff to meet coverage and service-level requirements.</t>
  </si>
  <si>
    <t xml:space="preserve">Slots agents into shifts using a defined schedule, with coverage reviewed.</t>
  </si>
  <si>
    <t xml:space="preserve">Independently builds standard schedules that meet routine coverage requirements.</t>
  </si>
  <si>
    <t xml:space="preserve">Balances complex constraints and volatile demand and is the go-to for tough staffing puzzles.</t>
  </si>
  <si>
    <t xml:space="preserve">Defines the workforce-planning model and scheduling standards others adopt.</t>
  </si>
  <si>
    <t xml:space="preserve">Sets workforce strategy and anticipates capacity needs ahead of demand shifts.</t>
  </si>
  <si>
    <t xml:space="preserve">Defines best-practice support workforce planning for the discipline and is externally credible.</t>
  </si>
  <si>
    <t xml:space="preserve">FIN-01</t>
  </si>
  <si>
    <t xml:space="preserve">Finance &amp; Accounting</t>
  </si>
  <si>
    <t xml:space="preserve">Planning, Budgeting &amp; Analysis</t>
  </si>
  <si>
    <t xml:space="preserve">Financial planning &amp; analysis (FP&amp;A)</t>
  </si>
  <si>
    <t xml:space="preserve">Builds forecasts, budgets, and variance analysis to guide resource allocation and performance.</t>
  </si>
  <si>
    <t xml:space="preserve">Pulls data and updates planning templates, with analysis reviewed before use.</t>
  </si>
  <si>
    <t xml:space="preserve">Independently builds standard analyses and variance reports with normal review.</t>
  </si>
  <si>
    <t xml:space="preserve">Analyzes ambiguous business drivers and is the go-to for hard planning questions.</t>
  </si>
  <si>
    <t xml:space="preserve">Defines the FP&amp;A approach and analytical frameworks others adopt.</t>
  </si>
  <si>
    <t xml:space="preserve">Sets FP&amp;A strategy and anticipates how business dynamics will reshape planning.</t>
  </si>
  <si>
    <t xml:space="preserve">Defines what excellent FP&amp;A means for the profession and is externally credible on it.</t>
  </si>
  <si>
    <t xml:space="preserve">FIN-02</t>
  </si>
  <si>
    <t xml:space="preserve">Budgeting &amp; forecasting</t>
  </si>
  <si>
    <t xml:space="preserve">Develops operating and capital budgets and rolling forecasts aligned to financial targets.</t>
  </si>
  <si>
    <t xml:space="preserve">Enters budget inputs and updates forecast templates, with figures reviewed.</t>
  </si>
  <si>
    <t xml:space="preserve">Independently prepares standard budgets and forecasts with normal review.</t>
  </si>
  <si>
    <t xml:space="preserve">Builds forecasts under high uncertainty and is the go-to for reconciling conflicting assumptions.</t>
  </si>
  <si>
    <t xml:space="preserve">Defines the budgeting and forecasting methodology others adopt.</t>
  </si>
  <si>
    <t xml:space="preserve">Sets forecasting strategy and anticipates shifts that will challenge planning assumptions.</t>
  </si>
  <si>
    <t xml:space="preserve">Defines best-practice budgeting and forecasting for the field and is sought externally for it.</t>
  </si>
  <si>
    <t xml:space="preserve">FIN-03</t>
  </si>
  <si>
    <t xml:space="preserve">Financial modeling &amp; valuation</t>
  </si>
  <si>
    <t xml:space="preserve">Constructs quantitative models to value assets, businesses, and scenarios for decisions.</t>
  </si>
  <si>
    <t xml:space="preserve">Populates model inputs and runs defined scenarios, with outputs reviewed.</t>
  </si>
  <si>
    <t xml:space="preserve">Independently builds standard models and valuations with normal review.</t>
  </si>
  <si>
    <t xml:space="preserve">Models ambiguous, complex situations and is the go-to for defensible valuations.</t>
  </si>
  <si>
    <t xml:space="preserve">Defines modeling standards and valuation approaches others adopt.</t>
  </si>
  <si>
    <t xml:space="preserve">Sets modeling strategy and anticipates which methods best fit emerging situations.</t>
  </si>
  <si>
    <t xml:space="preserve">Defines what rigorous financial modeling means for the profession and is externally recognized.</t>
  </si>
  <si>
    <t xml:space="preserve">FIN-04</t>
  </si>
  <si>
    <t xml:space="preserve">Capital planning &amp; investment appraisal</t>
  </si>
  <si>
    <t xml:space="preserve">Evaluates capital projects using cash flow, payback, and return metrics to prioritize funding.</t>
  </si>
  <si>
    <t xml:space="preserve">Gathers project data and computes defined metrics, with appraisals reviewed.</t>
  </si>
  <si>
    <t xml:space="preserve">Independently appraises standard investments and prepares routine capital plans.</t>
  </si>
  <si>
    <t xml:space="preserve">Evaluates ambiguous, high-stakes investments and is the go-to for tough capital decisions.</t>
  </si>
  <si>
    <t xml:space="preserve">Defines the appraisal methodology and capital-planning framework others adopt.</t>
  </si>
  <si>
    <t xml:space="preserve">Sets capital-allocation strategy and anticipates how priorities will reshape investment.</t>
  </si>
  <si>
    <t xml:space="preserve">Defines best-practice capital planning for the discipline and is externally credible on it.</t>
  </si>
  <si>
    <t xml:space="preserve">FIN-05</t>
  </si>
  <si>
    <t xml:space="preserve">Accounting &amp; Reporting</t>
  </si>
  <si>
    <t xml:space="preserve">Accounting &amp; financial reporting</t>
  </si>
  <si>
    <t xml:space="preserve">Records transactions and prepares financial statements per applicable accounting standards.</t>
  </si>
  <si>
    <t xml:space="preserve">Prepares routine entries and report sections per standards, with work reviewed.</t>
  </si>
  <si>
    <t xml:space="preserve">Independently produces standard financial statements and disclosures with normal review.</t>
  </si>
  <si>
    <t xml:space="preserve">Handles ambiguous accounting treatments and is the go-to for complex reporting judgments.</t>
  </si>
  <si>
    <t xml:space="preserve">Defines reporting standards and accounting policy the team adopts.</t>
  </si>
  <si>
    <t xml:space="preserve">Sets reporting strategy and anticipates how evolving standards will affect disclosure.</t>
  </si>
  <si>
    <t xml:space="preserve">Defines best-practice financial reporting for the profession and shapes how others apply it.</t>
  </si>
  <si>
    <t xml:space="preserve">FIN-06</t>
  </si>
  <si>
    <t xml:space="preserve">Management &amp; cost accounting</t>
  </si>
  <si>
    <t xml:space="preserve">Allocates and analyzes costs to support pricing, profitability, and management decisions.</t>
  </si>
  <si>
    <t xml:space="preserve">Compiles cost data and updates standard cost reports, with allocations reviewed.</t>
  </si>
  <si>
    <t xml:space="preserve">Independently prepares routine cost analyses and management reports with normal review.</t>
  </si>
  <si>
    <t xml:space="preserve">Designs costing for ambiguous cases and is the go-to for complex allocation and margin questions.</t>
  </si>
  <si>
    <t xml:space="preserve">Defines the costing methodology and management-reporting framework others adopt.</t>
  </si>
  <si>
    <t xml:space="preserve">Sets cost-accounting strategy and anticipates how business changes will reshape costing.</t>
  </si>
  <si>
    <t xml:space="preserve">Defines best-practice management and cost accounting for the field and is externally credible.</t>
  </si>
  <si>
    <t xml:space="preserve">FIN-07</t>
  </si>
  <si>
    <t xml:space="preserve">Revenue recognition &amp; billing operations</t>
  </si>
  <si>
    <t xml:space="preserve">Applies revenue standards and operates billing cycles to recognize and invoice earned revenue.</t>
  </si>
  <si>
    <t xml:space="preserve">Processes routine billing and revenue entries per rules, with work reviewed.</t>
  </si>
  <si>
    <t xml:space="preserve">Independently handles standard revenue recognition and billing with normal review.</t>
  </si>
  <si>
    <t xml:space="preserve">Resolves ambiguous recognition cases and is the go-to for complex contract and billing scenarios.</t>
  </si>
  <si>
    <t xml:space="preserve">Defines revenue-recognition policy and billing-operations standards others adopt.</t>
  </si>
  <si>
    <t xml:space="preserve">Sets revenue strategy and anticipates how new arrangements will affect recognition.</t>
  </si>
  <si>
    <t xml:space="preserve">Defines best-practice revenue recognition for the profession and is sought externally for it.</t>
  </si>
  <si>
    <t xml:space="preserve">FIN-08</t>
  </si>
  <si>
    <t xml:space="preserve">General ledger &amp; financial close</t>
  </si>
  <si>
    <t xml:space="preserve">Manages ledger integrity and reconciliations for accurate, timely period-end closes.</t>
  </si>
  <si>
    <t xml:space="preserve">Posts routine entries and reconciliations per checklist, with work reviewed.</t>
  </si>
  <si>
    <t xml:space="preserve">Independently runs standard close tasks and reconciliations with normal review.</t>
  </si>
  <si>
    <t xml:space="preserve">Resolves ambiguous close issues and is the go-to for keeping a complex close on track.</t>
  </si>
  <si>
    <t xml:space="preserve">Defines the close process and ledger-control standards others adopt.</t>
  </si>
  <si>
    <t xml:space="preserve">Sets close strategy and anticipates how complexity will challenge the close.</t>
  </si>
  <si>
    <t xml:space="preserve">Defines best-practice ledger and close management for the field and is externally credible.</t>
  </si>
  <si>
    <t xml:space="preserve">FIN-09</t>
  </si>
  <si>
    <t xml:space="preserve">Treasury &amp; Capital</t>
  </si>
  <si>
    <t xml:space="preserve">Treasury &amp; cash management</t>
  </si>
  <si>
    <t xml:space="preserve">Manages liquidity, cash positioning, and short-term funding to optimize working capital.</t>
  </si>
  <si>
    <t xml:space="preserve">Records cash positions and processes routine transactions, with work reviewed.</t>
  </si>
  <si>
    <t xml:space="preserve">Independently manages standard cash operations and short-term liquidity with normal review.</t>
  </si>
  <si>
    <t xml:space="preserve">Manages ambiguous liquidity situations and is the go-to for tough cash-flow decisions.</t>
  </si>
  <si>
    <t xml:space="preserve">Defines the treasury and liquidity-management framework others adopt.</t>
  </si>
  <si>
    <t xml:space="preserve">Sets treasury strategy and anticipates liquidity needs before they materialize.</t>
  </si>
  <si>
    <t xml:space="preserve">Defines best-practice treasury and cash management for the discipline and is externally recognized.</t>
  </si>
  <si>
    <t xml:space="preserve">FIN-10</t>
  </si>
  <si>
    <t xml:space="preserve">Financial risk management &amp; hedging</t>
  </si>
  <si>
    <t xml:space="preserve">Mitigates currency, rate, credit, and commodity exposures using hedging instruments.</t>
  </si>
  <si>
    <t xml:space="preserve">Gathers exposure data and applies defined hedging steps, with work reviewed.</t>
  </si>
  <si>
    <t xml:space="preserve">Independently monitors standard risks and executes routine hedges with normal review.</t>
  </si>
  <si>
    <t xml:space="preserve">Assesses ambiguous, complex exposures and is the go-to for structuring difficult hedges.</t>
  </si>
  <si>
    <t xml:space="preserve">Defines the risk-management and hedging methodology others adopt.</t>
  </si>
  <si>
    <t xml:space="preserve">Sets risk strategy and anticipates emerging exposures before they materialize.</t>
  </si>
  <si>
    <t xml:space="preserve">Defines best-practice financial risk management for the profession and shapes industry practice.</t>
  </si>
  <si>
    <t xml:space="preserve">FIN-11</t>
  </si>
  <si>
    <t xml:space="preserve">Investor relations &amp; capital markets</t>
  </si>
  <si>
    <t xml:space="preserve">Communicates performance and strategy to investors to support capital access and valuation.</t>
  </si>
  <si>
    <t xml:space="preserve">Assembles investor materials from templates, with content reviewed before release.</t>
  </si>
  <si>
    <t xml:space="preserve">Independently prepares standard investor communications and handles routine inquiries.</t>
  </si>
  <si>
    <t xml:space="preserve">Navigates ambiguous market questions and is the go-to for tough investor conversations.</t>
  </si>
  <si>
    <t xml:space="preserve">Defines the investor-relations and capital-markets approach others adopt.</t>
  </si>
  <si>
    <t xml:space="preserve">Sets IR strategy and anticipates how market sentiment will shape positioning.</t>
  </si>
  <si>
    <t xml:space="preserve">Defines best-practice investor relations for the field and is externally credible on it.</t>
  </si>
  <si>
    <t xml:space="preserve">FIN-12</t>
  </si>
  <si>
    <t xml:space="preserve">Tax, Controls &amp; Assurance</t>
  </si>
  <si>
    <t xml:space="preserve">Tax planning &amp; compliance</t>
  </si>
  <si>
    <t xml:space="preserve">Plans tax positions and prepares filings to optimize liability while meeting obligations.</t>
  </si>
  <si>
    <t xml:space="preserve">Prepares routine tax filings and gathers documentation, with work reviewed.</t>
  </si>
  <si>
    <t xml:space="preserve">Independently handles standard compliance and filings with normal review.</t>
  </si>
  <si>
    <t xml:space="preserve">Resolves ambiguous tax positions and is the go-to for complex planning questions.</t>
  </si>
  <si>
    <t xml:space="preserve">Defines tax-planning approaches and compliance standards others adopt.</t>
  </si>
  <si>
    <t xml:space="preserve">Sets tax strategy and anticipates how regulatory change will affect positions.</t>
  </si>
  <si>
    <t xml:space="preserve">Defines best-practice tax planning for the profession and is sought externally for it.</t>
  </si>
  <si>
    <t xml:space="preserve">FIN-13</t>
  </si>
  <si>
    <t xml:space="preserve">Internal controls &amp; financial governance</t>
  </si>
  <si>
    <t xml:space="preserve">Designs and operates control frameworks for reliable financial reporting and asset safety.</t>
  </si>
  <si>
    <t xml:space="preserve">Performs assigned control checks and documents results, with work reviewed.</t>
  </si>
  <si>
    <t xml:space="preserve">Independently operates and tests standard controls with normal review.</t>
  </si>
  <si>
    <t xml:space="preserve">Diagnoses ambiguous control gaps and is the go-to for designing robust controls.</t>
  </si>
  <si>
    <t xml:space="preserve">Defines the control framework and governance standards others adopt.</t>
  </si>
  <si>
    <t xml:space="preserve">Sets controls strategy and anticipates emerging risks that controls must address.</t>
  </si>
  <si>
    <t xml:space="preserve">Defines best-practice financial governance for the discipline and is externally credible on it.</t>
  </si>
  <si>
    <t xml:space="preserve">FIN-14</t>
  </si>
  <si>
    <t xml:space="preserve">External &amp; financial audit coordination</t>
  </si>
  <si>
    <t xml:space="preserve">Plans and executes audit activities to verify accuracy and assess control effectiveness.</t>
  </si>
  <si>
    <t xml:space="preserve">Collects requested evidence and tracks audit items, with submissions reviewed.</t>
  </si>
  <si>
    <t xml:space="preserve">Independently manages standard audit requests and routine auditor liaison with normal review.</t>
  </si>
  <si>
    <t xml:space="preserve">Handles ambiguous audit matters and is the go-to for keeping a complex audit on track.</t>
  </si>
  <si>
    <t xml:space="preserve">Defines the audit-coordination approach and readiness standards others adopt.</t>
  </si>
  <si>
    <t xml:space="preserve">Sets audit-coordination strategy and anticipates scrutiny before it arises.</t>
  </si>
  <si>
    <t xml:space="preserve">Defines best-practice audit coordination for the field and is externally recognized for it.</t>
  </si>
  <si>
    <t xml:space="preserve">PROC-01</t>
  </si>
  <si>
    <t xml:space="preserve">Procurement &amp; Vendor Management</t>
  </si>
  <si>
    <t xml:space="preserve">Sourcing &amp; Selection</t>
  </si>
  <si>
    <t xml:space="preserve">Sourcing strategy &amp; supplier selection</t>
  </si>
  <si>
    <t xml:space="preserve">Develops sourcing strategies and evaluates suppliers to select best-fit sources of supply.</t>
  </si>
  <si>
    <t xml:space="preserve">Gathers supplier information and scores bids against criteria others define, with selections reviewed.</t>
  </si>
  <si>
    <t xml:space="preserve">Runs standard sourcing events end-to-end, shortlisting suppliers and recommending awards for routine categories.</t>
  </si>
  <si>
    <t xml:space="preserve">Designs sourcing approaches for ambiguous or complex needs and defends selection decisions to stakeholders.</t>
  </si>
  <si>
    <t xml:space="preserve">Defines selection methodologies and weighting models that other sourcing professionals adopt across categories.</t>
  </si>
  <si>
    <t xml:space="preserve">Sets organizational sourcing strategy and anticipates shifts in supply markets that reshape selection.</t>
  </si>
  <si>
    <t xml:space="preserve">Defines industry practice for evidence-based supplier selection and is cited externally as authoritative.</t>
  </si>
  <si>
    <t xml:space="preserve">PROC-02</t>
  </si>
  <si>
    <t xml:space="preserve">Category management</t>
  </si>
  <si>
    <t xml:space="preserve">Segments spend into categories and applies tailored strategies to maximize value.</t>
  </si>
  <si>
    <t xml:space="preserve">Maintains category spend data and supplier lists under direction, flagging anomalies for review.</t>
  </si>
  <si>
    <t xml:space="preserve">Manages a defined category, tracking spend, suppliers, and renewals with routine guidance.</t>
  </si>
  <si>
    <t xml:space="preserve">Owns complex categories, building multi-year category plans that balance cost, risk, and innovation.</t>
  </si>
  <si>
    <t xml:space="preserve">Designs the category management operating model and coaches managers on advanced category strategy.</t>
  </si>
  <si>
    <t xml:space="preserve">Sets enterprise category strategy and predicts category market trends years ahead.</t>
  </si>
  <si>
    <t xml:space="preserve">Pioneers category management frameworks adopted as reference practice across the profession.</t>
  </si>
  <si>
    <t xml:space="preserve">PROC-03</t>
  </si>
  <si>
    <t xml:space="preserve">Competitive bidding &amp; tendering</t>
  </si>
  <si>
    <t xml:space="preserve">Designs and runs structured solicitation and evaluation to award competitive deals.</t>
  </si>
  <si>
    <t xml:space="preserve">Assembles tender documents and logs supplier responses against checklists, with steps reviewed.</t>
  </si>
  <si>
    <t xml:space="preserve">Runs standard tenders independently, managing timelines, clarifications, and evaluation logistics.</t>
  </si>
  <si>
    <t xml:space="preserve">Structures complex tenders with intricate requirements and resolves disputes and ambiguous responses.</t>
  </si>
  <si>
    <t xml:space="preserve">Defines tendering methods and evaluation frameworks others use for high-stakes competitions.</t>
  </si>
  <si>
    <t xml:space="preserve">Sets the organization's competitive bidding strategy and shapes how markets respond to its tenders.</t>
  </si>
  <si>
    <t xml:space="preserve">Establishes recognized standards for fair, defensible tendering across the discipline.</t>
  </si>
  <si>
    <t xml:space="preserve">PROC-04</t>
  </si>
  <si>
    <t xml:space="preserve">Contracts &amp; Negotiation</t>
  </si>
  <si>
    <t xml:space="preserve">Supplier contract negotiation &amp; administration</t>
  </si>
  <si>
    <t xml:space="preserve">Negotiates terms and administers contracts for favorable, enforceable agreements.</t>
  </si>
  <si>
    <t xml:space="preserve">Tracks contract terms and renewal dates and prepares standard clauses under supervision.</t>
  </si>
  <si>
    <t xml:space="preserve">Negotiates routine contract terms and administers agreements within established mandates.</t>
  </si>
  <si>
    <t xml:space="preserve">Leads complex negotiations, handling difficult counterparties and crafting bespoke commercial terms.</t>
  </si>
  <si>
    <t xml:space="preserve">Defines negotiation playbooks and contract standards that other negotiators adopt.</t>
  </si>
  <si>
    <t xml:space="preserve">Sets contracting strategy and anticipates legal and commercial shifts affecting supplier agreements.</t>
  </si>
  <si>
    <t xml:space="preserve">Shapes contracting practice recognized industry-wide as the benchmark for sound supplier agreements.</t>
  </si>
  <si>
    <t xml:space="preserve">PROC-05</t>
  </si>
  <si>
    <t xml:space="preserve">Supplier Performance &amp; Risk</t>
  </si>
  <si>
    <t xml:space="preserve">Supplier relationship &amp; performance management</t>
  </si>
  <si>
    <t xml:space="preserve">Builds supplier partnerships and monitors performance against service and value expectations.</t>
  </si>
  <si>
    <t xml:space="preserve">Collects supplier performance data and updates scorecards with results reviewed.</t>
  </si>
  <si>
    <t xml:space="preserve">Manages routine supplier relationships, running reviews and tracking SLAs independently.</t>
  </si>
  <si>
    <t xml:space="preserve">Owns critical supplier relationships, resolving conflicts and driving performance improvement under ambiguity.</t>
  </si>
  <si>
    <t xml:space="preserve">Designs SRM frameworks and performance models that others adopt across the supplier base.</t>
  </si>
  <si>
    <t xml:space="preserve">Sets enterprise supplier relationship strategy and foresees how key partnerships should evolve.</t>
  </si>
  <si>
    <t xml:space="preserve">Defines what excellent supplier partnership means for the profession and is externally credible.</t>
  </si>
  <si>
    <t xml:space="preserve">PROC-06</t>
  </si>
  <si>
    <t xml:space="preserve">Supplier risk &amp; compliance</t>
  </si>
  <si>
    <t xml:space="preserve">Assesses and mitigates supplier financial, operational, and continuity risks.</t>
  </si>
  <si>
    <t xml:space="preserve">Runs supplier risk checklists and compliance screens, escalating findings for review.</t>
  </si>
  <si>
    <t xml:space="preserve">Assesses routine supplier risks and verifies compliance against standard requirements independently.</t>
  </si>
  <si>
    <t xml:space="preserve">Evaluates complex, ambiguous supplier risks and designs mitigation for critical exposures.</t>
  </si>
  <si>
    <t xml:space="preserve">Defines supplier risk frameworks and compliance controls others apply across the supply base.</t>
  </si>
  <si>
    <t xml:space="preserve">Sets supplier risk strategy and anticipates emerging regulatory and supply-chain threats.</t>
  </si>
  <si>
    <t xml:space="preserve">Pioneers supplier risk and compliance practice regarded as authoritative across the industry.</t>
  </si>
  <si>
    <t xml:space="preserve">PROC-07</t>
  </si>
  <si>
    <t xml:space="preserve">Spend &amp; Operations</t>
  </si>
  <si>
    <t xml:space="preserve">Spend analysis &amp; cost optimization</t>
  </si>
  <si>
    <t xml:space="preserve">Analyzes spend to identify savings, consolidation, and total-cost-of-ownership opportunities.</t>
  </si>
  <si>
    <t xml:space="preserve">Cleans and categorizes spend data and produces standard reports under guidance.</t>
  </si>
  <si>
    <t xml:space="preserve">Analyzes spend independently to identify routine savings and reports cost opportunities.</t>
  </si>
  <si>
    <t xml:space="preserve">Uncovers complex savings across fragmented spend and builds defensible optimization business cases.</t>
  </si>
  <si>
    <t xml:space="preserve">Defines spend analytics methods and cost-optimization approaches that others adopt.</t>
  </si>
  <si>
    <t xml:space="preserve">Sets enterprise cost strategy and predicts where structural savings will emerge.</t>
  </si>
  <si>
    <t xml:space="preserve">Defines best practice for spend intelligence and cost optimization across the discipline.</t>
  </si>
  <si>
    <t xml:space="preserve">PROC-08</t>
  </si>
  <si>
    <t xml:space="preserve">Procure-to-pay process management</t>
  </si>
  <si>
    <t xml:space="preserve">Optimizes the end-to-end procure-to-pay cycle for accuracy, speed, control, and cash efficiency.</t>
  </si>
  <si>
    <t xml:space="preserve">Processes requisitions, orders, and invoices following defined procedures, with exceptions escalated.</t>
  </si>
  <si>
    <t xml:space="preserve">Manages routine procure-to-pay flows independently and resolves common exceptions.</t>
  </si>
  <si>
    <t xml:space="preserve">Handles complex P2P exceptions and redesigns local process steps to remove friction.</t>
  </si>
  <si>
    <t xml:space="preserve">Defines P2P process and control standards that operators across the function adopt.</t>
  </si>
  <si>
    <t xml:space="preserve">Sets P2P strategy and anticipates how processes should evolve for control and efficiency.</t>
  </si>
  <si>
    <t xml:space="preserve">Establishes procure-to-pay practice recognized as the benchmark across the profession.</t>
  </si>
  <si>
    <t xml:space="preserve">HR-01</t>
  </si>
  <si>
    <t xml:space="preserve">People &amp; Talent (HR)</t>
  </si>
  <si>
    <t xml:space="preserve">Talent Acquisition</t>
  </si>
  <si>
    <t xml:space="preserve">Talent acquisition &amp; recruiting</t>
  </si>
  <si>
    <t xml:space="preserve">Owns end-to-end sourcing, assessment, and offer to fill roles with qualified candidates.</t>
  </si>
  <si>
    <t xml:space="preserve">Screens applications and schedules interviews against defined criteria, with decisions reviewed.</t>
  </si>
  <si>
    <t xml:space="preserve">Manages requisitions end-to-end for standard roles, sourcing and closing candidates independently.</t>
  </si>
  <si>
    <t xml:space="preserve">Fills hard-to-source and senior roles, handling ambiguous needs and complex stakeholder demands.</t>
  </si>
  <si>
    <t xml:space="preserve">Defines recruiting methods and assessment approaches that other recruiters adopt.</t>
  </si>
  <si>
    <t xml:space="preserve">Sets talent acquisition strategy and anticipates shifts in talent markets and hiring needs.</t>
  </si>
  <si>
    <t xml:space="preserve">Shapes recruiting practice recognized industry-wide as the standard for effective hiring.</t>
  </si>
  <si>
    <t xml:space="preserve">HR-02</t>
  </si>
  <si>
    <t xml:space="preserve">Employer branding &amp; candidate experience</t>
  </si>
  <si>
    <t xml:space="preserve">Shapes market reputation and candidate journey to attract and convert talent.</t>
  </si>
  <si>
    <t xml:space="preserve">Publishes branded content and gathers candidate feedback following defined guidelines.</t>
  </si>
  <si>
    <t xml:space="preserve">Runs standard employer-branding activities and improves candidate touchpoints independently.</t>
  </si>
  <si>
    <t xml:space="preserve">Crafts compelling employer narratives and resolves complex candidate-experience breakdowns.</t>
  </si>
  <si>
    <t xml:space="preserve">Defines branding and candidate-experience frameworks that other practitioners adopt.</t>
  </si>
  <si>
    <t xml:space="preserve">Sets employer-brand strategy and anticipates how talent perceptions and channels will shift.</t>
  </si>
  <si>
    <t xml:space="preserve">Defines what a leading employer brand and candidate experience look like for the field.</t>
  </si>
  <si>
    <t xml:space="preserve">HR-03</t>
  </si>
  <si>
    <t xml:space="preserve">Workforce sourcing strategy &amp; pipelining</t>
  </si>
  <si>
    <t xml:space="preserve">Builds proactive talent pools and sourcing channels to meet future hiring demand.</t>
  </si>
  <si>
    <t xml:space="preserve">Builds candidate lists and maintains talent pools using defined search criteria.</t>
  </si>
  <si>
    <t xml:space="preserve">Runs proactive sourcing campaigns and sustains pipelines for routine roles independently.</t>
  </si>
  <si>
    <t xml:space="preserve">Designs sourcing strategies for scarce skills and builds pipelines under high ambiguity.</t>
  </si>
  <si>
    <t xml:space="preserve">Defines sourcing and pipelining methodologies that other sourcers adopt.</t>
  </si>
  <si>
    <t xml:space="preserve">Sets enterprise workforce-sourcing strategy and predicts future talent-supply gaps.</t>
  </si>
  <si>
    <t xml:space="preserve">Pioneers talent-pipelining practice recognized as authoritative across the profession.</t>
  </si>
  <si>
    <t xml:space="preserve">HR-04</t>
  </si>
  <si>
    <t xml:space="preserve">Total Rewards</t>
  </si>
  <si>
    <t xml:space="preserve">Total rewards &amp; compensation design</t>
  </si>
  <si>
    <t xml:space="preserve">Designs pay structures, bands, and incentives that are equitable and market-competitive.</t>
  </si>
  <si>
    <t xml:space="preserve">Maintains pay data and benchmarks roles against defined bands, with results reviewed.</t>
  </si>
  <si>
    <t xml:space="preserve">Conducts standard compensation analysis and recommends routine pay decisions independently.</t>
  </si>
  <si>
    <t xml:space="preserve">Designs pay structures for complex roles and resolves contentious equity and market issues.</t>
  </si>
  <si>
    <t xml:space="preserve">Defines compensation philosophy and design frameworks that other rewards professionals adopt.</t>
  </si>
  <si>
    <t xml:space="preserve">Sets total rewards strategy and anticipates market and regulatory shifts in pay.</t>
  </si>
  <si>
    <t xml:space="preserve">Shapes compensation-design practice regarded industry-wide as the benchmark.</t>
  </si>
  <si>
    <t xml:space="preserve">HR-05</t>
  </si>
  <si>
    <t xml:space="preserve">Benefits &amp; wellbeing program management</t>
  </si>
  <si>
    <t xml:space="preserve">Administers health, retirement, leave, and wellbeing offerings across the workforce.</t>
  </si>
  <si>
    <t xml:space="preserve">Administers enrollments and answers routine benefits questions following defined procedures.</t>
  </si>
  <si>
    <t xml:space="preserve">Manages standard benefits and wellbeing programs and resolves common issues independently.</t>
  </si>
  <si>
    <t xml:space="preserve">Designs benefits offerings for complex needs and resolves ambiguous coverage and vendor problems.</t>
  </si>
  <si>
    <t xml:space="preserve">Defines benefits and wellbeing program frameworks that other administrators adopt.</t>
  </si>
  <si>
    <t xml:space="preserve">Sets benefits and wellbeing strategy and anticipates workforce-health and cost trends.</t>
  </si>
  <si>
    <t xml:space="preserve">Defines leading practice for benefits and wellbeing across the discipline.</t>
  </si>
  <si>
    <t xml:space="preserve">HR-06</t>
  </si>
  <si>
    <t xml:space="preserve">Equity &amp; long-term incentive administration</t>
  </si>
  <si>
    <t xml:space="preserve">Manages equity and long-term incentive programs and their governance and reporting.</t>
  </si>
  <si>
    <t xml:space="preserve">Records grants and processes vesting events following defined procedures, with checks reviewed.</t>
  </si>
  <si>
    <t xml:space="preserve">Administers standard equity and incentive plans independently, handling routine transactions.</t>
  </si>
  <si>
    <t xml:space="preserve">Resolves complex equity events and edge cases across grants, taxation, and reporting.</t>
  </si>
  <si>
    <t xml:space="preserve">Defines equity-administration controls and processes that other administrators adopt.</t>
  </si>
  <si>
    <t xml:space="preserve">Sets long-term incentive administration strategy and anticipates regulatory and plan-design shifts.</t>
  </si>
  <si>
    <t xml:space="preserve">Establishes equity-administration practice recognized as the standard across the profession.</t>
  </si>
  <si>
    <t xml:space="preserve">HR-07</t>
  </si>
  <si>
    <t xml:space="preserve">Learning &amp; Org Development</t>
  </si>
  <si>
    <t xml:space="preserve">Learning &amp; development program design</t>
  </si>
  <si>
    <t xml:space="preserve">Builds curricula, capability frameworks, and delivery models that grow workforce skills.</t>
  </si>
  <si>
    <t xml:space="preserve">Assembles learning materials and schedules sessions against defined objectives, with content reviewed.</t>
  </si>
  <si>
    <t xml:space="preserve">Designs and delivers standard learning programs independently for routine needs.</t>
  </si>
  <si>
    <t xml:space="preserve">Designs learning solutions for complex skill gaps and ambiguous capability needs.</t>
  </si>
  <si>
    <t xml:space="preserve">Defines instructional-design methods and learning frameworks that other designers adopt.</t>
  </si>
  <si>
    <t xml:space="preserve">Sets enterprise learning strategy and anticipates future capability and skill demands.</t>
  </si>
  <si>
    <t xml:space="preserve">Pioneers learning-design practice recognized industry-wide as authoritative.</t>
  </si>
  <si>
    <t xml:space="preserve">HR-08</t>
  </si>
  <si>
    <t xml:space="preserve">Organizational development &amp; culture programs</t>
  </si>
  <si>
    <t xml:space="preserve">Designs interventions that strengthen culture, values, and organizational effectiveness.</t>
  </si>
  <si>
    <t xml:space="preserve">Supports culture initiatives and collects feedback following defined plans.</t>
  </si>
  <si>
    <t xml:space="preserve">Runs standard OD and culture interventions independently for routine situations.</t>
  </si>
  <si>
    <t xml:space="preserve">Diagnoses complex organizational dysfunction and designs interventions under high ambiguity.</t>
  </si>
  <si>
    <t xml:space="preserve">Defines OD methods and culture-change frameworks that other practitioners adopt.</t>
  </si>
  <si>
    <t xml:space="preserve">Sets organizational-development strategy and anticipates cultural shifts the organization must make.</t>
  </si>
  <si>
    <t xml:space="preserve">Shapes OD and culture practice regarded as the benchmark across the discipline.</t>
  </si>
  <si>
    <t xml:space="preserve">HR-09</t>
  </si>
  <si>
    <t xml:space="preserve">Talent management &amp; succession programs</t>
  </si>
  <si>
    <t xml:space="preserve">Owns frameworks for identifying, developing, and retaining critical and high-potential talent.</t>
  </si>
  <si>
    <t xml:space="preserve">Maintains talent and succession data and prepares review materials under direction.</t>
  </si>
  <si>
    <t xml:space="preserve">Runs standard talent-review and succession cycles independently for defined populations.</t>
  </si>
  <si>
    <t xml:space="preserve">Designs succession approaches for critical, ambiguous roles and resolves contested talent calls.</t>
  </si>
  <si>
    <t xml:space="preserve">Defines talent-management and succession frameworks that other practitioners adopt.</t>
  </si>
  <si>
    <t xml:space="preserve">Sets enterprise succession strategy and anticipates future leadership and capability gaps.</t>
  </si>
  <si>
    <t xml:space="preserve">Defines leading practice for talent management and succession across the profession.</t>
  </si>
  <si>
    <t xml:space="preserve">HR-10</t>
  </si>
  <si>
    <t xml:space="preserve">DEI program management</t>
  </si>
  <si>
    <t xml:space="preserve">Runs diversity, equity, and inclusion strategy, programs, and accountability measures.</t>
  </si>
  <si>
    <t xml:space="preserve">Supports DEI activities and compiles representation data following defined plans.</t>
  </si>
  <si>
    <t xml:space="preserve">Runs standard DEI programs independently and tracks routine progress measures.</t>
  </si>
  <si>
    <t xml:space="preserve">Designs DEI interventions for complex, sensitive challenges under significant ambiguity.</t>
  </si>
  <si>
    <t xml:space="preserve">Defines DEI program frameworks and measurement approaches that other practitioners adopt.</t>
  </si>
  <si>
    <t xml:space="preserve">Sets enterprise DEI strategy and anticipates shifts in equity expectations and regulation.</t>
  </si>
  <si>
    <t xml:space="preserve">Pioneers DEI practice recognized externally as authoritative across the field.</t>
  </si>
  <si>
    <t xml:space="preserve">HR-11</t>
  </si>
  <si>
    <t xml:space="preserve">HR Partnering &amp; Employee Relations</t>
  </si>
  <si>
    <t xml:space="preserve">HR business partnering</t>
  </si>
  <si>
    <t xml:space="preserve">Advises leaders on people strategy, organizational issues, and workforce decisions.</t>
  </si>
  <si>
    <t xml:space="preserve">Answers routine manager queries and gathers people data, with guidance reviewed.</t>
  </si>
  <si>
    <t xml:space="preserve">Advises managers on standard people matters independently within established policy.</t>
  </si>
  <si>
    <t xml:space="preserve">Partners on complex, ambiguous people challenges and influences senior leaders' decisions.</t>
  </si>
  <si>
    <t xml:space="preserve">Defines HR partnering approaches and coaching models that other partners adopt.</t>
  </si>
  <si>
    <t xml:space="preserve">Sets the HR partnering operating model and anticipates the business's future people needs.</t>
  </si>
  <si>
    <t xml:space="preserve">Defines what excellent HR partnering means for the discipline and is externally credible.</t>
  </si>
  <si>
    <t xml:space="preserve">HR-12</t>
  </si>
  <si>
    <t xml:space="preserve">Employee relations &amp; investigations</t>
  </si>
  <si>
    <t xml:space="preserve">Handles grievances, conduct concerns, and workplace investigations fairly and consistently.</t>
  </si>
  <si>
    <t xml:space="preserve">Documents cases and gathers evidence following defined procedures, with steps reviewed.</t>
  </si>
  <si>
    <t xml:space="preserve">Handles routine ER cases and conducts standard investigations independently.</t>
  </si>
  <si>
    <t xml:space="preserve">Manages complex, high-risk investigations and resolves sensitive disputes under ambiguity.</t>
  </si>
  <si>
    <t xml:space="preserve">Defines investigation methods and ER frameworks that other practitioners adopt.</t>
  </si>
  <si>
    <t xml:space="preserve">Sets employee-relations strategy and anticipates emerging workforce-conflict and legal risks.</t>
  </si>
  <si>
    <t xml:space="preserve">Establishes ER and investigations practice recognized as the standard across the profession.</t>
  </si>
  <si>
    <t xml:space="preserve">HR-13</t>
  </si>
  <si>
    <t xml:space="preserve">Employee engagement &amp; listening programs</t>
  </si>
  <si>
    <t xml:space="preserve">Runs surveys and feedback systems to measure and act on workforce sentiment.</t>
  </si>
  <si>
    <t xml:space="preserve">Administers surveys and compiles engagement results following defined procedures.</t>
  </si>
  <si>
    <t xml:space="preserve">Runs standard listening cycles independently and reports routine engagement insights.</t>
  </si>
  <si>
    <t xml:space="preserve">Designs listening strategies for complex needs and turns ambiguous signals into action.</t>
  </si>
  <si>
    <t xml:space="preserve">Defines engagement and listening frameworks that other practitioners adopt.</t>
  </si>
  <si>
    <t xml:space="preserve">Sets enterprise engagement strategy and anticipates shifts in workforce sentiment and expectations.</t>
  </si>
  <si>
    <t xml:space="preserve">Pioneers employee-listening practice regarded industry-wide as authoritative.</t>
  </si>
  <si>
    <t xml:space="preserve">HR-14</t>
  </si>
  <si>
    <t xml:space="preserve">People Operations &amp; Compliance</t>
  </si>
  <si>
    <t xml:space="preserve">HR operations &amp; lifecycle administration</t>
  </si>
  <si>
    <t xml:space="preserve">Administers accurate records and transactions across hire-to-retire lifecycle events.</t>
  </si>
  <si>
    <t xml:space="preserve">Processes lifecycle transactions following defined procedures, escalating exceptions for review.</t>
  </si>
  <si>
    <t xml:space="preserve">Manages routine HR operations and lifecycle events independently, resolving common issues.</t>
  </si>
  <si>
    <t xml:space="preserve">Handles complex lifecycle exceptions and redesigns local processes to improve service.</t>
  </si>
  <si>
    <t xml:space="preserve">Defines HR operations standards and controls that other administrators adopt.</t>
  </si>
  <si>
    <t xml:space="preserve">Sets HR operations strategy and anticipates how lifecycle services should evolve.</t>
  </si>
  <si>
    <t xml:space="preserve">Establishes HR operations practice recognized as the benchmark across the profession.</t>
  </si>
  <si>
    <t xml:space="preserve">HR-15</t>
  </si>
  <si>
    <t xml:space="preserve">HR compliance &amp; employment law application</t>
  </si>
  <si>
    <t xml:space="preserve">Applies employment laws and regulations to policies, decisions, and practices.</t>
  </si>
  <si>
    <t xml:space="preserve">Applies defined compliance checklists and flags potential issues for review.</t>
  </si>
  <si>
    <t xml:space="preserve">Applies standard employment-law requirements to routine situations independently.</t>
  </si>
  <si>
    <t xml:space="preserve">Interprets ambiguous legal requirements and advises on complex compliance risks.</t>
  </si>
  <si>
    <t xml:space="preserve">Defines compliance frameworks and interpretive guidance that other practitioners adopt.</t>
  </si>
  <si>
    <t xml:space="preserve">Sets HR compliance strategy and anticipates regulatory change affecting the workforce.</t>
  </si>
  <si>
    <t xml:space="preserve">Shapes employment-compliance practice regarded as authoritative across the discipline.</t>
  </si>
  <si>
    <t xml:space="preserve">HR-16</t>
  </si>
  <si>
    <t xml:space="preserve">People analytics &amp; workforce planning</t>
  </si>
  <si>
    <t xml:space="preserve">Models workforce supply, demand, and trends to inform people decisions with data.</t>
  </si>
  <si>
    <t xml:space="preserve">Compiles workforce data and produces standard reports under guidance.</t>
  </si>
  <si>
    <t xml:space="preserve">Builds routine workforce analyses and forecasts independently for defined needs.</t>
  </si>
  <si>
    <t xml:space="preserve">Models complex workforce scenarios and derives insight from ambiguous, messy data.</t>
  </si>
  <si>
    <t xml:space="preserve">Defines analytics methods and workforce-planning models that other analysts adopt.</t>
  </si>
  <si>
    <t xml:space="preserve">Sets people-analytics strategy and anticipates the workforce shifts the organization must plan for.</t>
  </si>
  <si>
    <t xml:space="preserve">Pioneers people-analytics and workforce-planning practice recognized as authoritative.</t>
  </si>
  <si>
    <t xml:space="preserve">WPL-01</t>
  </si>
  <si>
    <t xml:space="preserve">Workplace, Facilities &amp; Real Estate</t>
  </si>
  <si>
    <t xml:space="preserve">Facilities &amp; Space</t>
  </si>
  <si>
    <t xml:space="preserve">Facilities &amp; space management</t>
  </si>
  <si>
    <t xml:space="preserve">Plans, allocates, and maintains physical workspace to meet occupancy and operational needs.</t>
  </si>
  <si>
    <t xml:space="preserve">Updates space records and processes facilities requests following defined procedures.</t>
  </si>
  <si>
    <t xml:space="preserve">Manages routine space allocation and facilities services independently for standard needs.</t>
  </si>
  <si>
    <t xml:space="preserve">Solves complex space and utilization challenges and plans moves under significant ambiguity.</t>
  </si>
  <si>
    <t xml:space="preserve">Defines space-management standards and planning approaches that others adopt.</t>
  </si>
  <si>
    <t xml:space="preserve">Sets enterprise space strategy and anticipates how workplace demand will evolve.</t>
  </si>
  <si>
    <t xml:space="preserve">Defines leading practice for facilities and space management across the discipline.</t>
  </si>
  <si>
    <t xml:space="preserve">WPL-02</t>
  </si>
  <si>
    <t xml:space="preserve">Building operations &amp; maintenance management</t>
  </si>
  <si>
    <t xml:space="preserve">Operates building systems and preventive maintenance to ensure reliable, safe facilities.</t>
  </si>
  <si>
    <t xml:space="preserve">Logs maintenance requests and tracks routine tasks following defined procedures.</t>
  </si>
  <si>
    <t xml:space="preserve">Manages standard building operations and planned maintenance independently.</t>
  </si>
  <si>
    <t xml:space="preserve">Resolves complex building failures and optimizes maintenance under operational ambiguity.</t>
  </si>
  <si>
    <t xml:space="preserve">Defines maintenance and building-operations standards that other managers adopt.</t>
  </si>
  <si>
    <t xml:space="preserve">Sets building-operations strategy and anticipates asset-lifecycle and reliability needs.</t>
  </si>
  <si>
    <t xml:space="preserve">Establishes building-operations practice recognized as the benchmark across the profession.</t>
  </si>
  <si>
    <t xml:space="preserve">WPL-03</t>
  </si>
  <si>
    <t xml:space="preserve">Capital projects &amp; fit-out delivery</t>
  </si>
  <si>
    <t xml:space="preserve">Delivers construction, renovation, and fit-out projects on scope, budget, and schedule.</t>
  </si>
  <si>
    <t xml:space="preserve">Tracks project tasks and documents progress following defined plans, with work reviewed.</t>
  </si>
  <si>
    <t xml:space="preserve">Manages standard fit-out projects independently, controlling scope, schedule, and budget.</t>
  </si>
  <si>
    <t xml:space="preserve">Delivers complex projects and resolves difficult scope, cost, and contractor problems.</t>
  </si>
  <si>
    <t xml:space="preserve">Defines project-delivery methods and fit-out standards that others adopt.</t>
  </si>
  <si>
    <t xml:space="preserve">Sets capital-projects strategy and anticipates how the portfolio's space must change.</t>
  </si>
  <si>
    <t xml:space="preserve">Pioneers capital-project delivery practice recognized industry-wide as authoritative.</t>
  </si>
  <si>
    <t xml:space="preserve">WPL-04</t>
  </si>
  <si>
    <t xml:space="preserve">Real Estate &amp; Portfolio</t>
  </si>
  <si>
    <t xml:space="preserve">Real estate &amp; lease management</t>
  </si>
  <si>
    <t xml:space="preserve">Manages the property portfolio, leases, and occupancy costs across locations.</t>
  </si>
  <si>
    <t xml:space="preserve">Maintains lease records and tracks critical dates following defined procedures.</t>
  </si>
  <si>
    <t xml:space="preserve">Administers leases and routine real-estate transactions independently within mandates.</t>
  </si>
  <si>
    <t xml:space="preserve">Negotiates complex leases and resolves ambiguous occupancy and landlord disputes.</t>
  </si>
  <si>
    <t xml:space="preserve">Defines lease-management and transaction standards that others adopt.</t>
  </si>
  <si>
    <t xml:space="preserve">Sets real-estate strategy and anticipates market and occupancy shifts affecting the portfolio.</t>
  </si>
  <si>
    <t xml:space="preserve">Shapes real-estate and lease-management practice regarded as the benchmark.</t>
  </si>
  <si>
    <t xml:space="preserve">WPL-05</t>
  </si>
  <si>
    <t xml:space="preserve">Workplace portfolio strategy &amp; site selection</t>
  </si>
  <si>
    <t xml:space="preserve">Sets location strategy and evaluates sites against business, cost, and talent needs.</t>
  </si>
  <si>
    <t xml:space="preserve">Compiles site and portfolio data and prepares comparison materials under direction.</t>
  </si>
  <si>
    <t xml:space="preserve">Evaluates standard site options and supports routine portfolio decisions independently.</t>
  </si>
  <si>
    <t xml:space="preserve">Designs site-selection approaches for complex needs and resolves competing location trade-offs.</t>
  </si>
  <si>
    <t xml:space="preserve">Defines portfolio-strategy and site-selection frameworks that others adopt.</t>
  </si>
  <si>
    <t xml:space="preserve">Sets enterprise portfolio strategy and anticipates how location needs will evolve.</t>
  </si>
  <si>
    <t xml:space="preserve">Defines leading practice for workplace portfolio strategy across the discipline.</t>
  </si>
  <si>
    <t xml:space="preserve">WPL-06</t>
  </si>
  <si>
    <t xml:space="preserve">Workplace Experience</t>
  </si>
  <si>
    <t xml:space="preserve">Workplace experience &amp; services</t>
  </si>
  <si>
    <t xml:space="preserve">Designs on-site services and amenities that support productivity and employee experience.</t>
  </si>
  <si>
    <t xml:space="preserve">Delivers routine workplace services and gathers user feedback following defined plans.</t>
  </si>
  <si>
    <t xml:space="preserve">Manages standard workplace-experience services independently and resolves common issues.</t>
  </si>
  <si>
    <t xml:space="preserve">Designs experience improvements for complex needs and resolves ambiguous service breakdowns.</t>
  </si>
  <si>
    <t xml:space="preserve">Defines workplace-experience standards and service models that others adopt.</t>
  </si>
  <si>
    <t xml:space="preserve">Sets workplace-experience strategy and anticipates shifts in employee expectations.</t>
  </si>
  <si>
    <t xml:space="preserve">Pioneers workplace-experience practice recognized industry-wide as authoritative.</t>
  </si>
  <si>
    <t xml:space="preserve">WPL-07</t>
  </si>
  <si>
    <t xml:space="preserve">Sustainability &amp; energy management</t>
  </si>
  <si>
    <t xml:space="preserve">Manages energy use, emissions, and sustainability of the built environment and operations.</t>
  </si>
  <si>
    <t xml:space="preserve">Records energy and sustainability data and runs standard reports under guidance.</t>
  </si>
  <si>
    <t xml:space="preserve">Manages routine energy and sustainability initiatives independently for defined targets.</t>
  </si>
  <si>
    <t xml:space="preserve">Designs sustainability and energy solutions for complex sites under significant ambiguity.</t>
  </si>
  <si>
    <t xml:space="preserve">Defines sustainability and energy-management frameworks that others adopt.</t>
  </si>
  <si>
    <t xml:space="preserve">Sets sustainability strategy and anticipates regulatory and resource shifts affecting the portfolio.</t>
  </si>
  <si>
    <t xml:space="preserve">Defines leading practice for workplace sustainability and energy across the discipline.</t>
  </si>
  <si>
    <t xml:space="preserve">WPL-08</t>
  </si>
  <si>
    <t xml:space="preserve">Health, Safety &amp; Security</t>
  </si>
  <si>
    <t xml:space="preserve">Environmental health &amp; safety</t>
  </si>
  <si>
    <t xml:space="preserve">Ensures safe working conditions and compliance with occupational health and safety standards.</t>
  </si>
  <si>
    <t xml:space="preserve">Conducts routine safety checks and logs incidents following defined procedures.</t>
  </si>
  <si>
    <t xml:space="preserve">Manages standard EHS programs and investigations independently within policy.</t>
  </si>
  <si>
    <t xml:space="preserve">Resolves complex safety hazards and ambiguous compliance situations under risk.</t>
  </si>
  <si>
    <t xml:space="preserve">Defines EHS standards and risk-assessment methods that others adopt.</t>
  </si>
  <si>
    <t xml:space="preserve">Sets EHS strategy and anticipates emerging hazards and regulatory change.</t>
  </si>
  <si>
    <t xml:space="preserve">Establishes environmental-health-and-safety practice recognized as authoritative across the field.</t>
  </si>
  <si>
    <t xml:space="preserve">WPL-09</t>
  </si>
  <si>
    <t xml:space="preserve">Physical security &amp; access management</t>
  </si>
  <si>
    <t xml:space="preserve">Protects people and premises through access control, monitoring, and security operations.</t>
  </si>
  <si>
    <t xml:space="preserve">Monitors access systems and logs incidents following defined procedures.</t>
  </si>
  <si>
    <t xml:space="preserve">Manages routine physical-security operations and access controls independently.</t>
  </si>
  <si>
    <t xml:space="preserve">Resolves complex security incidents and designs controls for ambiguous threats.</t>
  </si>
  <si>
    <t xml:space="preserve">Defines physical-security standards and access frameworks that others adopt.</t>
  </si>
  <si>
    <t xml:space="preserve">Sets physical-security strategy and anticipates emerging threats to people and assets.</t>
  </si>
  <si>
    <t xml:space="preserve">Pioneers physical-security and access-management practice recognized industry-wide as authoritative.</t>
  </si>
  <si>
    <t xml:space="preserve">LEG-01</t>
  </si>
  <si>
    <t xml:space="preserve">Legal, Privacy &amp; Compliance</t>
  </si>
  <si>
    <t xml:space="preserve">Commercial &amp; Transactional Law</t>
  </si>
  <si>
    <t xml:space="preserve">Contract drafting &amp; negotiation</t>
  </si>
  <si>
    <t xml:space="preserve">Draft, review, and negotiate contractual terms that allocate risk and obligations.</t>
  </si>
  <si>
    <t xml:space="preserve">Drafts standard clauses from approved templates; flags deviations and negotiation points for supervising counsel review.</t>
  </si>
  <si>
    <t xml:space="preserve">Drafts and redlines routine commercial agreements independently, negotiating standard terms with normal counsel oversight.</t>
  </si>
  <si>
    <t xml:space="preserve">Handles bespoke, high-ambiguity contracts and contentious negotiations autonomously; the go-to drafter for novel deal terms.</t>
  </si>
  <si>
    <t xml:space="preserve">Designs clause libraries and negotiation playbooks others adopt; resolves drafting impasses that stall complex deals.</t>
  </si>
  <si>
    <t xml:space="preserve">Sets the organization's contracting standards and risk posture; anticipates emerging clauses and shifts negotiation strategy.</t>
  </si>
  <si>
    <t xml:space="preserve">Defines contracting best practice recognized across the profession; authors model terms others treat as market standard.</t>
  </si>
  <si>
    <t xml:space="preserve">LEG-02</t>
  </si>
  <si>
    <t xml:space="preserve">Commercial &amp; transactional law</t>
  </si>
  <si>
    <t xml:space="preserve">Advise on the legal structuring of commercial deals, financing, and transactions.</t>
  </si>
  <si>
    <t xml:space="preserve">Researches commercial-law questions and prepares routine transactional documents under close supervision.</t>
  </si>
  <si>
    <t xml:space="preserve">Advises on standard commercial matters and structures routine transactions independently with normal review.</t>
  </si>
  <si>
    <t xml:space="preserve">Resolves ambiguous commercial-law issues and structures non-standard deals autonomously; the local subject expert.</t>
  </si>
  <si>
    <t xml:space="preserve">Defines transaction structures and risk frameworks others follow; cracks problems that stall sophisticated deals.</t>
  </si>
  <si>
    <t xml:space="preserve">Sets the firm's commercial-law approach and anticipates regulatory and market shifts affecting transactions.</t>
  </si>
  <si>
    <t xml:space="preserve">Shapes commercial-law practice industry-wide; externally cited authority on transactional structuring.</t>
  </si>
  <si>
    <t xml:space="preserve">LEG-03</t>
  </si>
  <si>
    <t xml:space="preserve">M&amp;A &amp; corporate transactions (legal)</t>
  </si>
  <si>
    <t xml:space="preserve">Provide legal support for due diligence, structuring, and execution of corporate transactions.</t>
  </si>
  <si>
    <t xml:space="preserve">Assembles diligence checklists and supporting documents for deals under senior supervision.</t>
  </si>
  <si>
    <t xml:space="preserve">Runs defined diligence workstreams and drafts routine deal documents independently with normal review.</t>
  </si>
  <si>
    <t xml:space="preserve">Manages full deal legal workstreams and negotiates complex provisions autonomously through ambiguity.</t>
  </si>
  <si>
    <t xml:space="preserve">Architects deal structures and diligence approaches others adopt; resolves issues that threaten closing.</t>
  </si>
  <si>
    <t xml:space="preserve">Sets the organization's M&amp;A legal strategy; anticipates structuring and regulatory risks across the deal lifecycle.</t>
  </si>
  <si>
    <t xml:space="preserve">Defines deal-execution practice recognized industry-wide; sought externally on landmark transactions.</t>
  </si>
  <si>
    <t xml:space="preserve">LEG-04</t>
  </si>
  <si>
    <t xml:space="preserve">Corporate &amp; Regulatory Counsel</t>
  </si>
  <si>
    <t xml:space="preserve">Corporate &amp; entity governance</t>
  </si>
  <si>
    <t xml:space="preserve">Maintain legal entity structures, board governance, and statutory corporate obligations.</t>
  </si>
  <si>
    <t xml:space="preserve">Maintains entity records and prepares routine corporate filings and minutes under supervision.</t>
  </si>
  <si>
    <t xml:space="preserve">Manages governance for standard entities and prepares board materials independently with normal review.</t>
  </si>
  <si>
    <t xml:space="preserve">Handles complex multi-entity governance and novel corporate-secretarial questions autonomously.</t>
  </si>
  <si>
    <t xml:space="preserve">Designs governance structures and entity frameworks others adopt; resolves intractable governance conflicts.</t>
  </si>
  <si>
    <t xml:space="preserve">Sets enterprise governance strategy and anticipates regulatory shifts affecting entity structures.</t>
  </si>
  <si>
    <t xml:space="preserve">Defines governance best practice recognized across the field; externally credible authority.</t>
  </si>
  <si>
    <t xml:space="preserve">LEG-05</t>
  </si>
  <si>
    <t xml:space="preserve">Regulatory &amp; licensing compliance</t>
  </si>
  <si>
    <t xml:space="preserve">Interpret and apply sector regulations, permits, and licensing requirements to operations.</t>
  </si>
  <si>
    <t xml:space="preserve">Tracks licensing requirements and prepares routine regulatory filings under supervision.</t>
  </si>
  <si>
    <t xml:space="preserve">Manages standard licensing and compliance obligations independently with normal review.</t>
  </si>
  <si>
    <t xml:space="preserve">Resolves ambiguous regulatory-interpretation questions and handles complex licensing autonomously.</t>
  </si>
  <si>
    <t xml:space="preserve">Designs compliance approaches to novel regulation others adopt; resolves contested regulatory positions.</t>
  </si>
  <si>
    <t xml:space="preserve">Sets regulatory strategy and engages regulators; anticipates emerging requirements ahead of enforcement.</t>
  </si>
  <si>
    <t xml:space="preserve">Shapes regulatory practice and interpretation industry-wide; externally recognized authority.</t>
  </si>
  <si>
    <t xml:space="preserve">LEG-06</t>
  </si>
  <si>
    <t xml:space="preserve">Intellectual property management</t>
  </si>
  <si>
    <t xml:space="preserve">Protect, register, and enforce trademarks, patents, copyrights, and trade secrets.</t>
  </si>
  <si>
    <t xml:space="preserve">Maintains IP records and prepares routine filings and renewals under supervision.</t>
  </si>
  <si>
    <t xml:space="preserve">Manages standard IP portfolios and prosecution tasks independently with normal review.</t>
  </si>
  <si>
    <t xml:space="preserve">Handles complex IP strategy, contested rights, and licensing questions autonomously.</t>
  </si>
  <si>
    <t xml:space="preserve">Designs IP protection and enforcement strategies others adopt; resolves the hardest portfolio disputes.</t>
  </si>
  <si>
    <t xml:space="preserve">Sets enterprise IP strategy aligned to business value; anticipates shifts in IP law and risk.</t>
  </si>
  <si>
    <t xml:space="preserve">Defines IP-management practice recognized across the field; externally cited authority.</t>
  </si>
  <si>
    <t xml:space="preserve">LEG-07</t>
  </si>
  <si>
    <t xml:space="preserve">Employment &amp; labor law advisory</t>
  </si>
  <si>
    <t xml:space="preserve">Advise on workforce legal matters including hiring, conduct, terminations, and labor relations.</t>
  </si>
  <si>
    <t xml:space="preserve">Researches employment questions and drafts routine policy and correspondence under supervision.</t>
  </si>
  <si>
    <t xml:space="preserve">Advises on standard employment matters and handles routine cases independently with normal review.</t>
  </si>
  <si>
    <t xml:space="preserve">Resolves ambiguous, high-stakes employment disputes and complex workforce questions autonomously.</t>
  </si>
  <si>
    <t xml:space="preserve">Defines employment-risk frameworks and advisory approaches others adopt; solves the hardest cases.</t>
  </si>
  <si>
    <t xml:space="preserve">Sets enterprise employment-law strategy; anticipates regulatory and workforce-law shifts.</t>
  </si>
  <si>
    <t xml:space="preserve">Shapes employment-law practice industry-wide; externally recognized authority.</t>
  </si>
  <si>
    <t xml:space="preserve">LEG-08</t>
  </si>
  <si>
    <t xml:space="preserve">Dispute &amp; Litigation Management</t>
  </si>
  <si>
    <t xml:space="preserve">Litigation &amp; dispute management</t>
  </si>
  <si>
    <t xml:space="preserve">Manage litigation strategy, proceedings, and resolution of legal disputes and claims.</t>
  </si>
  <si>
    <t xml:space="preserve">Supports litigation by preparing documents and tracking deadlines under close supervision.</t>
  </si>
  <si>
    <t xml:space="preserve">Manages routine disputes and defined litigation tasks independently with normal review.</t>
  </si>
  <si>
    <t xml:space="preserve">Drives complex, high-exposure litigation strategy and settlement decisions autonomously.</t>
  </si>
  <si>
    <t xml:space="preserve">Defines dispute-strategy frameworks others adopt; resolves the most intractable, bet-the-company matters.</t>
  </si>
  <si>
    <t xml:space="preserve">Sets enterprise litigation strategy and risk appetite; anticipates emerging dispute exposures.</t>
  </si>
  <si>
    <t xml:space="preserve">Defines litigation-management practice recognized across the profession; externally credible authority.</t>
  </si>
  <si>
    <t xml:space="preserve">LEG-09</t>
  </si>
  <si>
    <t xml:space="preserve">Legal hold &amp; evidence management</t>
  </si>
  <si>
    <t xml:space="preserve">Preserve, collect, and govern records and evidence in anticipation of proceedings.</t>
  </si>
  <si>
    <t xml:space="preserve">Issues standard legal-hold notices and tracks acknowledgments under supervision.</t>
  </si>
  <si>
    <t xml:space="preserve">Manages routine holds and evidence-preservation processes independently with normal review.</t>
  </si>
  <si>
    <t xml:space="preserve">Designs and defends holds for complex, contested matters autonomously through ambiguity.</t>
  </si>
  <si>
    <t xml:space="preserve">Defines preservation and collection methodologies others adopt; resolves spoliation-risk challenges.</t>
  </si>
  <si>
    <t xml:space="preserve">Sets enterprise preservation strategy; anticipates evidentiary and regulatory shifts in discovery.</t>
  </si>
  <si>
    <t xml:space="preserve">Defines evidence-preservation best practice recognized across the field; externally cited authority.</t>
  </si>
  <si>
    <t xml:space="preserve">LEG-10</t>
  </si>
  <si>
    <t xml:space="preserve">Data Protection &amp; Privacy</t>
  </si>
  <si>
    <t xml:space="preserve">Data protection &amp; privacy law</t>
  </si>
  <si>
    <t xml:space="preserve">Apply data protection and privacy legal requirements to the handling of personal information.</t>
  </si>
  <si>
    <t xml:space="preserve">Researches privacy-law questions and completes routine assessments under supervision.</t>
  </si>
  <si>
    <t xml:space="preserve">Advises on standard privacy matters and conducts routine assessments independently with normal review.</t>
  </si>
  <si>
    <t xml:space="preserve">Resolves ambiguous cross-jurisdictional privacy questions and complex processing autonomously.</t>
  </si>
  <si>
    <t xml:space="preserve">Defines privacy-law interpretation and risk frameworks others adopt; solves the hardest questions.</t>
  </si>
  <si>
    <t xml:space="preserve">Sets enterprise privacy-law strategy; anticipates regulatory and enforcement shifts ahead of peers.</t>
  </si>
  <si>
    <t xml:space="preserve">Shapes privacy-law practice and interpretation industry-wide; externally recognized authority.</t>
  </si>
  <si>
    <t xml:space="preserve">LEG-11</t>
  </si>
  <si>
    <t xml:space="preserve">Privacy program management</t>
  </si>
  <si>
    <t xml:space="preserve">Operate the privacy governance program including rights handling, notices, and accountability.</t>
  </si>
  <si>
    <t xml:space="preserve">Maintains privacy-program records and supports defined controls under supervision.</t>
  </si>
  <si>
    <t xml:space="preserve">Operates standard privacy-program processes and assessments independently with normal review.</t>
  </si>
  <si>
    <t xml:space="preserve">Runs a full privacy program through ambiguity and complex incidents autonomously.</t>
  </si>
  <si>
    <t xml:space="preserve">Designs privacy-program architectures and operating models others adopt; resolves the hardest gaps.</t>
  </si>
  <si>
    <t xml:space="preserve">Sets enterprise privacy-program strategy; anticipates regulatory and operational shifts.</t>
  </si>
  <si>
    <t xml:space="preserve">Defines privacy-program best practice recognized across the field; externally credible authority.</t>
  </si>
  <si>
    <t xml:space="preserve">LEG-12</t>
  </si>
  <si>
    <t xml:space="preserve">Legal Operations &amp; Advisory</t>
  </si>
  <si>
    <t xml:space="preserve">Legal operations &amp; matter management</t>
  </si>
  <si>
    <t xml:space="preserve">Run the legal function's intake, workflow, knowledge, and outside-counsel management.</t>
  </si>
  <si>
    <t xml:space="preserve">Tracks matters and maintains legal-ops records and reports under supervision.</t>
  </si>
  <si>
    <t xml:space="preserve">Manages standard matter-intake, vendor, and reporting processes independently with normal review.</t>
  </si>
  <si>
    <t xml:space="preserve">Optimizes complex matter portfolios and resolves ambiguous operational issues autonomously.</t>
  </si>
  <si>
    <t xml:space="preserve">Designs legal-ops processes and metrics frameworks others adopt; solves the hardest operating problems.</t>
  </si>
  <si>
    <t xml:space="preserve">Sets enterprise legal-operations strategy; anticipates shifts in delivery models and tooling.</t>
  </si>
  <si>
    <t xml:space="preserve">Defines legal-operations best practice recognized across the profession; externally cited authority.</t>
  </si>
  <si>
    <t xml:space="preserve">LEG-13</t>
  </si>
  <si>
    <t xml:space="preserve">Legal advisory &amp; business partnering</t>
  </si>
  <si>
    <t xml:space="preserve">Provide practical, risk-balanced legal guidance to business stakeholders on decisions.</t>
  </si>
  <si>
    <t xml:space="preserve">Answers routine business questions and escalates appropriately under supervision.</t>
  </si>
  <si>
    <t xml:space="preserve">Advises business stakeholders on standard matters independently with normal review.</t>
  </si>
  <si>
    <t xml:space="preserve">Provides decisive counsel on ambiguous, high-stakes business questions autonomously; the trusted go-to advisor.</t>
  </si>
  <si>
    <t xml:space="preserve">Defines advisory frameworks balancing legal risk and business value that others adopt.</t>
  </si>
  <si>
    <t xml:space="preserve">Sets the model for embedded legal partnering; anticipates business and legal-risk shifts.</t>
  </si>
  <si>
    <t xml:space="preserve">Defines business-partnering best practice recognized across the field; externally credible authority.</t>
  </si>
  <si>
    <t xml:space="preserve">RISK-01</t>
  </si>
  <si>
    <t xml:space="preserve">Enterprise Risk, Audit &amp; Governance</t>
  </si>
  <si>
    <t xml:space="preserve">Enterprise Risk Management</t>
  </si>
  <si>
    <t xml:space="preserve">Enterprise risk management</t>
  </si>
  <si>
    <t xml:space="preserve">Identify, assess, treat, and monitor risks across the organization within a risk appetite.</t>
  </si>
  <si>
    <t xml:space="preserve">Maintains risk registers and gathers risk data under supervision.</t>
  </si>
  <si>
    <t xml:space="preserve">Conducts standard risk assessments and updates registers independently with normal review.</t>
  </si>
  <si>
    <t xml:space="preserve">Assesses complex, interconnected enterprise risks and sets local methodology autonomously.</t>
  </si>
  <si>
    <t xml:space="preserve">Designs the enterprise risk framework and appetite model others adopt; solves the hardest risk problems.</t>
  </si>
  <si>
    <t xml:space="preserve">Sets enterprise risk strategy and appetite at board level; anticipates emerging systemic risks.</t>
  </si>
  <si>
    <t xml:space="preserve">Defines enterprise-risk practice recognized industry-wide; externally cited authority.</t>
  </si>
  <si>
    <t xml:space="preserve">RISK-02</t>
  </si>
  <si>
    <t xml:space="preserve">Operational &amp; financial risk assessment</t>
  </si>
  <si>
    <t xml:space="preserve">Evaluate process, operational, and financial exposures and recommend mitigating controls.</t>
  </si>
  <si>
    <t xml:space="preserve">Collects data and completes defined risk-assessment templates under supervision.</t>
  </si>
  <si>
    <t xml:space="preserve">Performs standard operational and financial risk assessments independently with normal review.</t>
  </si>
  <si>
    <t xml:space="preserve">Assesses complex, ambiguous operational and financial risks autonomously; the local expert.</t>
  </si>
  <si>
    <t xml:space="preserve">Defines assessment methodologies and quantification models others adopt; cracks the hardest analyses.</t>
  </si>
  <si>
    <t xml:space="preserve">Sets the organization's risk-assessment approach; anticipates emerging operational and financial exposures.</t>
  </si>
  <si>
    <t xml:space="preserve">Defines risk-assessment best practice recognized across the field; externally credible authority.</t>
  </si>
  <si>
    <t xml:space="preserve">RISK-03</t>
  </si>
  <si>
    <t xml:space="preserve">Third-party &amp; vendor risk</t>
  </si>
  <si>
    <t xml:space="preserve">Assess and monitor risks introduced by suppliers, partners, and outsourced relationships.</t>
  </si>
  <si>
    <t xml:space="preserve">Completes vendor risk questionnaires and tracks assessments under supervision.</t>
  </si>
  <si>
    <t xml:space="preserve">Conducts standard third-party risk assessments and monitoring independently with normal review.</t>
  </si>
  <si>
    <t xml:space="preserve">Assesses complex, high-criticality vendor and supply-chain risks autonomously through ambiguity.</t>
  </si>
  <si>
    <t xml:space="preserve">Designs the third-party risk framework and tiering model others adopt; resolves the hardest exposures.</t>
  </si>
  <si>
    <t xml:space="preserve">Sets enterprise third-party risk strategy; anticipates emerging supply-chain and concentration risks.</t>
  </si>
  <si>
    <t xml:space="preserve">Defines third-party risk practice recognized industry-wide; externally cited authority.</t>
  </si>
  <si>
    <t xml:space="preserve">RISK-04</t>
  </si>
  <si>
    <t xml:space="preserve">Compliance Program Management</t>
  </si>
  <si>
    <t xml:space="preserve">Regulatory compliance program management</t>
  </si>
  <si>
    <t xml:space="preserve">Design and operate programs ensuring ongoing adherence to applicable laws and regulations.</t>
  </si>
  <si>
    <t xml:space="preserve">Maintains compliance-program records and supports defined controls under supervision.</t>
  </si>
  <si>
    <t xml:space="preserve">Operates standard compliance-program processes and assessments independently with normal review.</t>
  </si>
  <si>
    <t xml:space="preserve">Runs a full compliance program through ambiguity and complex obligations autonomously.</t>
  </si>
  <si>
    <t xml:space="preserve">Designs compliance-program architectures and operating models others adopt; resolves the hardest gaps.</t>
  </si>
  <si>
    <t xml:space="preserve">Sets enterprise compliance-program strategy; anticipates regulatory shifts ahead of enforcement.</t>
  </si>
  <si>
    <t xml:space="preserve">Defines compliance-program best practice recognized across the field; externally credible authority.</t>
  </si>
  <si>
    <t xml:space="preserve">RISK-05</t>
  </si>
  <si>
    <t xml:space="preserve">Compliance monitoring &amp; regulatory reporting</t>
  </si>
  <si>
    <t xml:space="preserve">Track obligations, test adherence, and prepare required regulatory submissions.</t>
  </si>
  <si>
    <t xml:space="preserve">Compiles monitoring data and prepares routine regulatory reports under supervision.</t>
  </si>
  <si>
    <t xml:space="preserve">Executes standard monitoring and reporting cycles independently with normal review.</t>
  </si>
  <si>
    <t xml:space="preserve">Designs monitoring for complex obligations and resolves ambiguous reporting questions autonomously.</t>
  </si>
  <si>
    <t xml:space="preserve">Defines monitoring and reporting methodologies others adopt; solves the hardest data and interpretation problems.</t>
  </si>
  <si>
    <t xml:space="preserve">Sets enterprise monitoring and reporting strategy; anticipates shifts in regulatory expectations.</t>
  </si>
  <si>
    <t xml:space="preserve">Defines compliance-monitoring best practice recognized industry-wide; externally cited authority.</t>
  </si>
  <si>
    <t xml:space="preserve">RISK-06</t>
  </si>
  <si>
    <t xml:space="preserve">Internal Audit &amp; Controls</t>
  </si>
  <si>
    <t xml:space="preserve">Internal audit &amp; controls assurance</t>
  </si>
  <si>
    <t xml:space="preserve">Plan and execute independent audits to assess control effectiveness and provide assurance.</t>
  </si>
  <si>
    <t xml:space="preserve">Executes defined audit test steps and documents results under supervision.</t>
  </si>
  <si>
    <t xml:space="preserve">Conducts standard audits and assurance procedures independently with normal review.</t>
  </si>
  <si>
    <t xml:space="preserve">Leads complex, high-risk audits and resolves contested findings autonomously.</t>
  </si>
  <si>
    <t xml:space="preserve">Defines audit methodologies and risk-based approaches others adopt; cracks the hardest engagements.</t>
  </si>
  <si>
    <t xml:space="preserve">Sets the enterprise audit strategy and assurance model; anticipates emerging assurance needs.</t>
  </si>
  <si>
    <t xml:space="preserve">Defines internal-audit practice recognized across the profession; externally credible authority.</t>
  </si>
  <si>
    <t xml:space="preserve">RISK-07</t>
  </si>
  <si>
    <t xml:space="preserve">Internal controls design &amp; testing</t>
  </si>
  <si>
    <t xml:space="preserve">Define, document, and test control frameworks that mitigate key business risks.</t>
  </si>
  <si>
    <t xml:space="preserve">Documents controls and executes defined test scripts under supervision.</t>
  </si>
  <si>
    <t xml:space="preserve">Designs and tests standard controls independently with normal review.</t>
  </si>
  <si>
    <t xml:space="preserve">Designs controls for complex processes and resolves ambiguous design gaps autonomously.</t>
  </si>
  <si>
    <t xml:space="preserve">Defines control-design frameworks and testing methodologies others adopt; solves the hardest control problems.</t>
  </si>
  <si>
    <t xml:space="preserve">Sets the enterprise control-environment strategy; anticipates emerging control and automation needs.</t>
  </si>
  <si>
    <t xml:space="preserve">Defines controls-design best practice recognized industry-wide; externally cited authority.</t>
  </si>
  <si>
    <t xml:space="preserve">RISK-08</t>
  </si>
  <si>
    <t xml:space="preserve">Governance, Policy &amp; Ethics</t>
  </si>
  <si>
    <t xml:space="preserve">Policy &amp; standards governance</t>
  </si>
  <si>
    <t xml:space="preserve">Develop, approve, and maintain enterprise policies, standards, and their lifecycle.</t>
  </si>
  <si>
    <t xml:space="preserve">Drafts routine policy updates from templates and tracks versions under supervision.</t>
  </si>
  <si>
    <t xml:space="preserve">Develops and maintains standard policies and standards independently with normal review.</t>
  </si>
  <si>
    <t xml:space="preserve">Resolves ambiguous, cross-functional policy conflicts and authors complex standards autonomously.</t>
  </si>
  <si>
    <t xml:space="preserve">Designs the policy-governance framework and lifecycle others adopt; resolves the hardest policy tensions.</t>
  </si>
  <si>
    <t xml:space="preserve">Sets enterprise policy-governance strategy; anticipates emerging policy and standards needs.</t>
  </si>
  <si>
    <t xml:space="preserve">Defines policy-governance best practice recognized across the field; externally credible authority.</t>
  </si>
  <si>
    <t xml:space="preserve">RISK-09</t>
  </si>
  <si>
    <t xml:space="preserve">Ethics &amp; conduct program management</t>
  </si>
  <si>
    <t xml:space="preserve">Foster ethical conduct through codes, training, and a culture of integrity.</t>
  </si>
  <si>
    <t xml:space="preserve">Supports ethics-program operations and tracks training and disclosures under supervision.</t>
  </si>
  <si>
    <t xml:space="preserve">Operates standard ethics and conduct processes independently with normal review.</t>
  </si>
  <si>
    <t xml:space="preserve">Handles complex, sensitive conduct matters and ambiguous ethical questions autonomously.</t>
  </si>
  <si>
    <t xml:space="preserve">Designs ethics-program architecture and culture measures others adopt; resolves the hardest dilemmas.</t>
  </si>
  <si>
    <t xml:space="preserve">Sets enterprise ethics strategy and tone-at-the-top approach; anticipates emerging conduct risks.</t>
  </si>
  <si>
    <t xml:space="preserve">Defines ethics-program best practice recognized industry-wide; externally cited authority.</t>
  </si>
  <si>
    <t xml:space="preserve">RISK-10</t>
  </si>
  <si>
    <t xml:space="preserve">Fraud prevention &amp; investigations</t>
  </si>
  <si>
    <t xml:space="preserve">Detect, investigate, and respond to fraud, misconduct, and integrity violations.</t>
  </si>
  <si>
    <t xml:space="preserve">Gathers evidence and documents investigation steps under supervision.</t>
  </si>
  <si>
    <t xml:space="preserve">Conducts standard fraud investigations and control reviews independently with normal review.</t>
  </si>
  <si>
    <t xml:space="preserve">Leads complex, high-stakes investigations and ambiguous fraud schemes autonomously.</t>
  </si>
  <si>
    <t xml:space="preserve">Defines investigation methodologies and fraud-detection frameworks others adopt; cracks the hardest cases.</t>
  </si>
  <si>
    <t xml:space="preserve">Sets enterprise fraud-risk strategy; anticipates emerging fraud schemes and exposures.</t>
  </si>
  <si>
    <t xml:space="preserve">Defines fraud-investigation best practice recognized across the profession; externally credible authority.</t>
  </si>
  <si>
    <t xml:space="preserve">RISK-11</t>
  </si>
  <si>
    <t xml:space="preserve">Business continuity &amp; resilience</t>
  </si>
  <si>
    <t xml:space="preserve">Plan and maintain capabilities to sustain and recover critical operations during disruption.</t>
  </si>
  <si>
    <t xml:space="preserve">Maintains continuity documentation and supports defined exercises under supervision.</t>
  </si>
  <si>
    <t xml:space="preserve">Develops standard continuity plans and runs routine exercises independently with normal review.</t>
  </si>
  <si>
    <t xml:space="preserve">Designs resilience for complex, interdependent operations and resolves ambiguous gaps autonomously.</t>
  </si>
  <si>
    <t xml:space="preserve">Defines the resilience framework and impact-analysis methodology others adopt; solves the hardest scenarios.</t>
  </si>
  <si>
    <t xml:space="preserve">Sets enterprise resilience strategy; anticipates emerging disruption and concentration risks.</t>
  </si>
  <si>
    <t xml:space="preserve">Defines resilience best practice recognized industry-wide; externally cited authority.</t>
  </si>
  <si>
    <t xml:space="preserve">RISK-12</t>
  </si>
  <si>
    <t xml:space="preserve">Crisis management &amp; response coordination</t>
  </si>
  <si>
    <t xml:space="preserve">Coordinate organizational response, decision-making, and communication during crisis events.</t>
  </si>
  <si>
    <t xml:space="preserve">Supports crisis logistics and documentation under supervision.</t>
  </si>
  <si>
    <t xml:space="preserve">Coordinates defined crisis-response tasks and communications independently with normal review.</t>
  </si>
  <si>
    <t xml:space="preserve">Leads response for complex, fast-moving crises and ambiguous decisions autonomously.</t>
  </si>
  <si>
    <t xml:space="preserve">Defines crisis-response frameworks and command structures others adopt; steers the hardest crises.</t>
  </si>
  <si>
    <t xml:space="preserve">Sets enterprise crisis-management strategy; anticipates emerging crisis scenarios and readiness gaps.</t>
  </si>
  <si>
    <t xml:space="preserve">Defines crisis-management best practice recognized across the field; externally credible authority.</t>
  </si>
  <si>
    <t xml:space="preserve">STRAT-01</t>
  </si>
  <si>
    <t xml:space="preserve">Corporate Strategy &amp; Executive Leadership</t>
  </si>
  <si>
    <t xml:space="preserve">Strategy Formulation</t>
  </si>
  <si>
    <t xml:space="preserve">Corporate strategy formulation</t>
  </si>
  <si>
    <t xml:space="preserve">Define enterprise direction, scope, and competitive positioning to create durable advantage.</t>
  </si>
  <si>
    <t xml:space="preserve">Gathers inputs and assembles analysis for strategy work under supervision.</t>
  </si>
  <si>
    <t xml:space="preserve">Develops components of strategy and standard analyses independently with normal review.</t>
  </si>
  <si>
    <t xml:space="preserve">Frames ambiguous strategic problems and shapes coherent strategy autonomously; the go-to strategist.</t>
  </si>
  <si>
    <t xml:space="preserve">Defines strategy-formulation approaches others adopt; resolves the hardest strategic trade-offs.</t>
  </si>
  <si>
    <t xml:space="preserve">Sets the enterprise strategic direction; anticipates major shifts reshaping the competitive landscape.</t>
  </si>
  <si>
    <t xml:space="preserve">Defines corporate-strategy practice recognized industry-wide; externally cited thought leader.</t>
  </si>
  <si>
    <t xml:space="preserve">STRAT-02</t>
  </si>
  <si>
    <t xml:space="preserve">Strategic planning &amp; OKR cascading</t>
  </si>
  <si>
    <t xml:space="preserve">Translate strategy into multi-horizon plans and cascading objectives across the enterprise.</t>
  </si>
  <si>
    <t xml:space="preserve">Maintains planning artifacts and tracks objectives under supervision.</t>
  </si>
  <si>
    <t xml:space="preserve">Runs standard planning cycles and cascades objectives independently with normal review.</t>
  </si>
  <si>
    <t xml:space="preserve">Designs planning for complex, interdependent units and resolves misalignment autonomously.</t>
  </si>
  <si>
    <t xml:space="preserve">Defines the planning and goal-cascade methodology others adopt; fixes the hardest alignment failures.</t>
  </si>
  <si>
    <t xml:space="preserve">Sets the enterprise planning operating model; anticipates shifts in how strategy translates to execution.</t>
  </si>
  <si>
    <t xml:space="preserve">Defines strategic-planning best practice recognized across the field; externally credible authority.</t>
  </si>
  <si>
    <t xml:space="preserve">STRAT-03</t>
  </si>
  <si>
    <t xml:space="preserve">Business model &amp; innovation strategy</t>
  </si>
  <si>
    <t xml:space="preserve">Design and evolve how the organization creates, delivers, and captures value over time.</t>
  </si>
  <si>
    <t xml:space="preserve">Researches business models and supports innovation analysis under supervision.</t>
  </si>
  <si>
    <t xml:space="preserve">Develops standard business-model analyses and innovation cases independently with normal review.</t>
  </si>
  <si>
    <t xml:space="preserve">Designs novel business models and resolves ambiguous innovation bets autonomously.</t>
  </si>
  <si>
    <t xml:space="preserve">Defines business-model and innovation frameworks others adopt; cracks the hardest model problems.</t>
  </si>
  <si>
    <t xml:space="preserve">Sets enterprise business-model and innovation strategy; anticipates disruptive shifts.</t>
  </si>
  <si>
    <t xml:space="preserve">Defines business-model innovation practice recognized industry-wide; externally cited thought leader.</t>
  </si>
  <si>
    <t xml:space="preserve">STRAT-04</t>
  </si>
  <si>
    <t xml:space="preserve">Scenario planning &amp; strategic foresight</t>
  </si>
  <si>
    <t xml:space="preserve">Anticipate future conditions through scenarios and signals to stress-test strategic choices.</t>
  </si>
  <si>
    <t xml:space="preserve">Gathers signals and supports scenario documentation under supervision.</t>
  </si>
  <si>
    <t xml:space="preserve">Builds standard scenarios and trend analyses independently with normal review.</t>
  </si>
  <si>
    <t xml:space="preserve">Constructs complex, ambiguous scenarios and derives strategic implications autonomously.</t>
  </si>
  <si>
    <t xml:space="preserve">Defines foresight methodologies others adopt; surfaces the non-obvious futures others miss.</t>
  </si>
  <si>
    <t xml:space="preserve">Sets the enterprise foresight approach; anticipates structural shifts ahead of the market.</t>
  </si>
  <si>
    <t xml:space="preserve">Defines strategic-foresight best practice recognized across the field; externally credible authority.</t>
  </si>
  <si>
    <t xml:space="preserve">STRAT-05</t>
  </si>
  <si>
    <t xml:space="preserve">Market &amp; Competitive Insight</t>
  </si>
  <si>
    <t xml:space="preserve">Market &amp; competitive intelligence</t>
  </si>
  <si>
    <t xml:space="preserve">Analyze markets, customers, and rivals to inform positioning and strategic moves.</t>
  </si>
  <si>
    <t xml:space="preserve">Collects market and competitor data and compiles routine briefs under supervision.</t>
  </si>
  <si>
    <t xml:space="preserve">Produces standard competitive analyses and market assessments independently with normal review.</t>
  </si>
  <si>
    <t xml:space="preserve">Synthesizes ambiguous signals into decisive competitive insight autonomously; the go-to analyst.</t>
  </si>
  <si>
    <t xml:space="preserve">Defines intelligence methodologies and frameworks others adopt; cracks the hardest market questions.</t>
  </si>
  <si>
    <t xml:space="preserve">Sets the enterprise intelligence agenda; anticipates competitive and market shifts ahead of rivals.</t>
  </si>
  <si>
    <t xml:space="preserve">Defines competitive-intelligence best practice recognized industry-wide; externally cited authority.</t>
  </si>
  <si>
    <t xml:space="preserve">STRAT-06</t>
  </si>
  <si>
    <t xml:space="preserve">Corporate Development</t>
  </si>
  <si>
    <t xml:space="preserve">Mergers, acquisitions &amp; corporate development</t>
  </si>
  <si>
    <t xml:space="preserve">Source, evaluate, and integrate inorganic growth opportunities including deals and partnerships.</t>
  </si>
  <si>
    <t xml:space="preserve">Compiles target data and supports deal models under supervision.</t>
  </si>
  <si>
    <t xml:space="preserve">Runs standard screening, modeling, and diligence workstreams independently with normal review.</t>
  </si>
  <si>
    <t xml:space="preserve">Drives complex deal evaluation, structuring, and negotiation autonomously through ambiguity.</t>
  </si>
  <si>
    <t xml:space="preserve">Defines deal-evaluation and integration frameworks others adopt; resolves the hardest deal problems.</t>
  </si>
  <si>
    <t xml:space="preserve">Sets the enterprise corporate-development strategy and portfolio direction; anticipates consolidation shifts.</t>
  </si>
  <si>
    <t xml:space="preserve">Defines corporate-development practice recognized industry-wide; externally credible authority on deals.</t>
  </si>
  <si>
    <t xml:space="preserve">STRAT-07</t>
  </si>
  <si>
    <t xml:space="preserve">Capital allocation &amp; investment prioritization</t>
  </si>
  <si>
    <t xml:space="preserve">Allocate scarce capital across initiatives to maximize risk-adjusted enterprise returns.</t>
  </si>
  <si>
    <t xml:space="preserve">Compiles investment data and supports prioritization analyses under supervision.</t>
  </si>
  <si>
    <t xml:space="preserve">Evaluates standard investments and applies allocation criteria independently with normal review.</t>
  </si>
  <si>
    <t xml:space="preserve">Prioritizes complex, competing investments under ambiguity and constraint autonomously.</t>
  </si>
  <si>
    <t xml:space="preserve">Defines capital-allocation frameworks and hurdle models others adopt; resolves the hardest trade-offs.</t>
  </si>
  <si>
    <t xml:space="preserve">Sets the enterprise capital-allocation strategy; anticipates shifts in where value is created.</t>
  </si>
  <si>
    <t xml:space="preserve">Defines capital-allocation best practice recognized across the field; externally cited authority.</t>
  </si>
  <si>
    <t xml:space="preserve">STRAT-08</t>
  </si>
  <si>
    <t xml:space="preserve">Business case &amp; financial analysis</t>
  </si>
  <si>
    <t xml:space="preserve">Build rigorous financial cases and valuations to justify and compare major investments.</t>
  </si>
  <si>
    <t xml:space="preserve">Builds routine financial models and gathers assumptions under supervision.</t>
  </si>
  <si>
    <t xml:space="preserve">Develops standard business cases and analyses independently with normal review.</t>
  </si>
  <si>
    <t xml:space="preserve">Constructs rigorous cases for complex, ambiguous decisions autonomously; the go-to analyst.</t>
  </si>
  <si>
    <t xml:space="preserve">Defines business-case and modeling standards others adopt; cracks the hardest valuation problems.</t>
  </si>
  <si>
    <t xml:space="preserve">Sets the enterprise investment-analysis approach; anticipates shifts in value drivers and risk.</t>
  </si>
  <si>
    <t xml:space="preserve">Defines business-case and financial-analysis best practice recognized industry-wide; externally credible authority.</t>
  </si>
  <si>
    <t xml:space="preserve">STRAT-09</t>
  </si>
  <si>
    <t xml:space="preserve">Governance &amp; Enterprise Leadership</t>
  </si>
  <si>
    <t xml:space="preserve">Board &amp; governance leadership</t>
  </si>
  <si>
    <t xml:space="preserve">Engage boards and govern the enterprise with accountability, ethics, and fiduciary discipline.</t>
  </si>
  <si>
    <t xml:space="preserve">Prepares board materials and tracks governance actions under supervision.</t>
  </si>
  <si>
    <t xml:space="preserve">Manages standard board processes and reporting independently with normal review.</t>
  </si>
  <si>
    <t xml:space="preserve">Steers complex board dynamics and ambiguous governance questions autonomously.</t>
  </si>
  <si>
    <t xml:space="preserve">Defines board operating models and governance practices others adopt; resolves the hardest tensions.</t>
  </si>
  <si>
    <t xml:space="preserve">Sets the enterprise governance and board-effectiveness strategy; anticipates governance shifts.</t>
  </si>
  <si>
    <t xml:space="preserve">Defines board-governance best practice recognized across the field; externally credible authority.</t>
  </si>
  <si>
    <t xml:space="preserve">STRAT-10</t>
  </si>
  <si>
    <t xml:space="preserve">Enterprise transformation leadership</t>
  </si>
  <si>
    <t xml:space="preserve">Lead large-scale, cross-enterprise change to reshape the organization's operating model.</t>
  </si>
  <si>
    <t xml:space="preserve">Supports transformation tracking and documentation under supervision.</t>
  </si>
  <si>
    <t xml:space="preserve">Leads defined transformation workstreams independently with normal review.</t>
  </si>
  <si>
    <t xml:space="preserve">Drives complex, cross-functional transformation through ambiguity and resistance autonomously.</t>
  </si>
  <si>
    <t xml:space="preserve">Defines transformation approaches and operating models others adopt; rescues the hardest programs.</t>
  </si>
  <si>
    <t xml:space="preserve">Sets the enterprise transformation strategy; anticipates the shifts that make transformation necessary.</t>
  </si>
  <si>
    <t xml:space="preserve">Defines transformation-leadership best practice recognized industry-wide; externally cited authority.</t>
  </si>
  <si>
    <t xml:space="preserve">BIZ-01</t>
  </si>
  <si>
    <t xml:space="preserve">Business &amp; Revenue Operations</t>
  </si>
  <si>
    <t xml:space="preserve">Operational Excellence</t>
  </si>
  <si>
    <t xml:space="preserve">Business operations &amp; process improvement</t>
  </si>
  <si>
    <t xml:space="preserve">Design, run, and continuously improve core business processes for efficiency and quality.</t>
  </si>
  <si>
    <t xml:space="preserve">Maps and documents existing process steps under guidance, flagging obvious bottlenecks for review.</t>
  </si>
  <si>
    <t xml:space="preserve">Independently runs standard process improvements, gathering data and implementing routine fixes with normal review.</t>
  </si>
  <si>
    <t xml:space="preserve">Autonomously redesigns ambiguous, cross-team processes end-to-end and sets the local standard for how work flows.</t>
  </si>
  <si>
    <t xml:space="preserve">Defines the improvement methodology others adopt and untangles processes others find intractable.</t>
  </si>
  <si>
    <t xml:space="preserve">Sets operational-excellence strategy across the business and anticipates where process capability must head next.</t>
  </si>
  <si>
    <t xml:space="preserve">Defines what good operational practice means industry-wide and is sought externally for process expertise.</t>
  </si>
  <si>
    <t xml:space="preserve">BIZ-02</t>
  </si>
  <si>
    <t xml:space="preserve">Operating model &amp; organization design</t>
  </si>
  <si>
    <t xml:space="preserve">Structure functions, roles, and workflows to align operations with strategy.</t>
  </si>
  <si>
    <t xml:space="preserve">Documents current roles, handoffs, and reporting lines under direction for a single team.</t>
  </si>
  <si>
    <t xml:space="preserve">Independently designs structure for one function, clarifying routine roles and decision rights with review.</t>
  </si>
  <si>
    <t xml:space="preserve">Autonomously designs operating models for ambiguous multi-function areas, resolving overlap and accountability gaps.</t>
  </si>
  <si>
    <t xml:space="preserve">Defines org-design approaches others follow and solves structural problems that have stumped leadership.</t>
  </si>
  <si>
    <t xml:space="preserve">Sets enterprise operating-model strategy and anticipates structural shifts the organization will need.</t>
  </si>
  <si>
    <t xml:space="preserve">Shapes how the discipline conceives operating models and is externally recognized for the craft.</t>
  </si>
  <si>
    <t xml:space="preserve">BIZ-03</t>
  </si>
  <si>
    <t xml:space="preserve">Cross-functional initiative leadership</t>
  </si>
  <si>
    <t xml:space="preserve">Drive complex initiatives spanning multiple functions toward shared operational outcomes.</t>
  </si>
  <si>
    <t xml:space="preserve">Coordinates tasks and tracks actions for a small initiative under a lead's guidance.</t>
  </si>
  <si>
    <t xml:space="preserve">Independently runs a defined cross-team initiative, managing routine dependencies and stakeholders with review.</t>
  </si>
  <si>
    <t xml:space="preserve">Autonomously leads ambiguous, contentious initiatives spanning many functions to landed outcomes.</t>
  </si>
  <si>
    <t xml:space="preserve">Defines how complex initiatives are run here and rescues efforts others cannot move.</t>
  </si>
  <si>
    <t xml:space="preserve">Sets the strategy and operating cadence for the organization's most critical cross-functional bets.</t>
  </si>
  <si>
    <t xml:space="preserve">Defines industry-leading practice for cross-functional execution and is sought externally to teach it.</t>
  </si>
  <si>
    <t xml:space="preserve">BIZ-04</t>
  </si>
  <si>
    <t xml:space="preserve">Revenue &amp; GTM Operations</t>
  </si>
  <si>
    <t xml:space="preserve">Revenue operations &amp; go-to-market systems</t>
  </si>
  <si>
    <t xml:space="preserve">Design and orchestrate end-to-end revenue processes across marketing, sales, and service.</t>
  </si>
  <si>
    <t xml:space="preserve">Configures simple GTM workflow and field changes under supervision, following established conventions.</t>
  </si>
  <si>
    <t xml:space="preserve">Independently builds and maintains standard revenue workflows and integrations with normal review.</t>
  </si>
  <si>
    <t xml:space="preserve">Autonomously designs end-to-end GTM system architecture across marketing, sales, and success, handling messy edge cases.</t>
  </si>
  <si>
    <t xml:space="preserve">Defines the revenue-systems blueprint others adopt and solves integration problems others can't.</t>
  </si>
  <si>
    <t xml:space="preserve">Sets RevOps systems strategy and anticipates how the GTM tech stack must evolve.</t>
  </si>
  <si>
    <t xml:space="preserve">Defines what good revenue operations looks like for the field and is externally credible on it.</t>
  </si>
  <si>
    <t xml:space="preserve">BIZ-05</t>
  </si>
  <si>
    <t xml:space="preserve">Revenue operations analytics</t>
  </si>
  <si>
    <t xml:space="preserve">Measure pipeline, conversion, and retention to optimize revenue performance and efficiency.</t>
  </si>
  <si>
    <t xml:space="preserve">Pulls standard pipeline and funnel reports under guidance, checking figures before sharing.</t>
  </si>
  <si>
    <t xml:space="preserve">Independently builds routine revenue analyses and dashboards, explaining trends with normal review.</t>
  </si>
  <si>
    <t xml:space="preserve">Autonomously models ambiguous revenue questions end-to-end and becomes the trusted source for GTM numbers.</t>
  </si>
  <si>
    <t xml:space="preserve">Defines the analytical frameworks and metric definitions others adopt across revenue teams.</t>
  </si>
  <si>
    <t xml:space="preserve">Sets revenue-analytics strategy and anticipates which signals will drive future growth decisions.</t>
  </si>
  <si>
    <t xml:space="preserve">Shapes how the discipline measures revenue performance and is recognized externally for the methods.</t>
  </si>
  <si>
    <t xml:space="preserve">BIZ-06</t>
  </si>
  <si>
    <t xml:space="preserve">Pricing, deal &amp; monetization operations</t>
  </si>
  <si>
    <t xml:space="preserve">Operationalize pricing, quoting, and deal processes to maximize realized revenue.</t>
  </si>
  <si>
    <t xml:space="preserve">Processes standard deal desk requests and applies approved discount rules under review.</t>
  </si>
  <si>
    <t xml:space="preserve">Independently manages routine pricing approvals and deal structuring within set guardrails.</t>
  </si>
  <si>
    <t xml:space="preserve">Autonomously structures complex, non-standard deals and sets local norms for monetization mechanics.</t>
  </si>
  <si>
    <t xml:space="preserve">Defines deal-desk and monetization approaches others follow and cracks pricing problems others can't.</t>
  </si>
  <si>
    <t xml:space="preserve">Sets monetization and pricing-operations strategy and anticipates shifts in how value is captured.</t>
  </si>
  <si>
    <t xml:space="preserve">Defines leading practice for pricing operations across the field and is sought externally for it.</t>
  </si>
  <si>
    <t xml:space="preserve">BIZ-07</t>
  </si>
  <si>
    <t xml:space="preserve">Planning &amp; Performance</t>
  </si>
  <si>
    <t xml:space="preserve">Forecasting &amp; planning operations</t>
  </si>
  <si>
    <t xml:space="preserve">Run cyclical forecasting and planning processes to align targets, capacity, and resources.</t>
  </si>
  <si>
    <t xml:space="preserve">Updates forecast inputs and assembles planning templates under guidance.</t>
  </si>
  <si>
    <t xml:space="preserve">Independently produces standard forecasts and plans, reconciling routine variances with review.</t>
  </si>
  <si>
    <t xml:space="preserve">Autonomously builds forecasting models for ambiguous situations and owns the planning cadence end-to-end.</t>
  </si>
  <si>
    <t xml:space="preserve">Defines the forecasting methodology others adopt and resolves planning problems others cannot.</t>
  </si>
  <si>
    <t xml:space="preserve">Sets enterprise planning strategy and anticipates the dynamics future forecasts must capture.</t>
  </si>
  <si>
    <t xml:space="preserve">Defines best-in-class forecasting practice for the discipline and is externally recognized for it.</t>
  </si>
  <si>
    <t xml:space="preserve">BIZ-08</t>
  </si>
  <si>
    <t xml:space="preserve">Operational analytics &amp; business intelligence</t>
  </si>
  <si>
    <t xml:space="preserve">Turn operational data into reporting and insight that drives business decisions.</t>
  </si>
  <si>
    <t xml:space="preserve">Builds basic reports and dashboards from defined requirements under supervision.</t>
  </si>
  <si>
    <t xml:space="preserve">Independently delivers standard BI analyses and self-serve dashboards with normal review.</t>
  </si>
  <si>
    <t xml:space="preserve">Autonomously frames ambiguous business questions and builds the analytics the organization relies on.</t>
  </si>
  <si>
    <t xml:space="preserve">Defines BI standards, semantic models, and methods others adopt across the business.</t>
  </si>
  <si>
    <t xml:space="preserve">Sets the operational-analytics strategy and anticipates the decisions data must soon support.</t>
  </si>
  <si>
    <t xml:space="preserve">Shapes how the discipline practices business intelligence and is externally credible on it.</t>
  </si>
  <si>
    <t xml:space="preserve">BIZ-09</t>
  </si>
  <si>
    <t xml:space="preserve">Data &amp; Systems Operations</t>
  </si>
  <si>
    <t xml:space="preserve">Operational data governance &amp; quality</t>
  </si>
  <si>
    <t xml:space="preserve">Steward the integrity, definitions, and quality of operational data across systems.</t>
  </si>
  <si>
    <t xml:space="preserve">Performs defined data cleanup and quality checks under guidance, escalating anomalies.</t>
  </si>
  <si>
    <t xml:space="preserve">Independently maintains data standards and resolves routine quality issues with review.</t>
  </si>
  <si>
    <t xml:space="preserve">Autonomously designs governance and quality controls for ambiguous, messy data domains.</t>
  </si>
  <si>
    <t xml:space="preserve">Defines the governance framework others adopt and remediates data problems others can't.</t>
  </si>
  <si>
    <t xml:space="preserve">Sets enterprise data-governance strategy and anticipates emerging quality and stewardship needs.</t>
  </si>
  <si>
    <t xml:space="preserve">Defines what good operational data governance means for the field and is externally recognized.</t>
  </si>
  <si>
    <t xml:space="preserve">BIZ-10</t>
  </si>
  <si>
    <t xml:space="preserve">Business systems &amp; workflow administration</t>
  </si>
  <si>
    <t xml:space="preserve">Configure and maintain business systems and automated workflows that run operations.</t>
  </si>
  <si>
    <t xml:space="preserve">Performs routine system configuration and user support tasks under supervision.</t>
  </si>
  <si>
    <t xml:space="preserve">Independently administers business systems and builds standard workflows with normal review.</t>
  </si>
  <si>
    <t xml:space="preserve">Autonomously designs complex automations and system configurations, handling tricky edge cases.</t>
  </si>
  <si>
    <t xml:space="preserve">Defines administration standards and architecture others adopt and fixes what others cannot.</t>
  </si>
  <si>
    <t xml:space="preserve">Sets business-systems strategy and anticipates how the workflow platform landscape must evolve.</t>
  </si>
  <si>
    <t xml:space="preserve">Defines leading practice for business-systems administration and is sought externally for it.</t>
  </si>
  <si>
    <t xml:space="preserve">PPM-01</t>
  </si>
  <si>
    <t xml:space="preserve">Program &amp; Portfolio Management</t>
  </si>
  <si>
    <t xml:space="preserve">Portfolio Governance</t>
  </si>
  <si>
    <t xml:space="preserve">Portfolio prioritization &amp; governance</t>
  </si>
  <si>
    <t xml:space="preserve">Select, sequence, and govern the enterprise portfolio to align investment with strategy.</t>
  </si>
  <si>
    <t xml:space="preserve">Maintains the portfolio inventory and prepares governance materials under direction.</t>
  </si>
  <si>
    <t xml:space="preserve">Independently runs routine intake and prioritization scoring within an established framework.</t>
  </si>
  <si>
    <t xml:space="preserve">Autonomously facilitates contentious prioritization and sets local governance standards across the portfolio.</t>
  </si>
  <si>
    <t xml:space="preserve">Defines the prioritization and governance model others adopt and resolves the toughest trade-offs.</t>
  </si>
  <si>
    <t xml:space="preserve">Sets enterprise portfolio-governance strategy and anticipates shifts in investment priorities.</t>
  </si>
  <si>
    <t xml:space="preserve">Defines best-practice portfolio governance for the discipline and is externally recognized for it.</t>
  </si>
  <si>
    <t xml:space="preserve">PPM-02</t>
  </si>
  <si>
    <t xml:space="preserve">Benefits realization &amp; value tracking</t>
  </si>
  <si>
    <t xml:space="preserve">Define, track, and verify the benefits and value delivered by portfolio investments.</t>
  </si>
  <si>
    <t xml:space="preserve">Records benefit measures and tracks realization against plan under guidance.</t>
  </si>
  <si>
    <t xml:space="preserve">Independently monitors benefits and reports realization, flagging routine shortfalls with review.</t>
  </si>
  <si>
    <t xml:space="preserve">Autonomously defines value cases for ambiguous initiatives and owns realization tracking end-to-end.</t>
  </si>
  <si>
    <t xml:space="preserve">Defines the benefits-realization methodology others adopt and salvages value others miss.</t>
  </si>
  <si>
    <t xml:space="preserve">Sets enterprise value-tracking strategy and anticipates how benefits should be measured next.</t>
  </si>
  <si>
    <t xml:space="preserve">Defines leading benefits-realization practice for the field and is sought externally for it.</t>
  </si>
  <si>
    <t xml:space="preserve">PPM-03</t>
  </si>
  <si>
    <t xml:space="preserve">Portfolio reporting &amp; performance analytics</t>
  </si>
  <si>
    <t xml:space="preserve">Aggregate portfolio health, progress, and risk into insight for executive decisions.</t>
  </si>
  <si>
    <t xml:space="preserve">Compiles status data into standard portfolio reports under supervision.</t>
  </si>
  <si>
    <t xml:space="preserve">Independently produces routine portfolio dashboards and performance summaries with review.</t>
  </si>
  <si>
    <t xml:space="preserve">Autonomously builds analytics that surface portfolio risks and becomes the trusted reporting source.</t>
  </si>
  <si>
    <t xml:space="preserve">Defines portfolio-reporting standards and metrics others adopt across programs.</t>
  </si>
  <si>
    <t xml:space="preserve">Sets portfolio-analytics strategy and anticipates the signals leadership will need to steer.</t>
  </si>
  <si>
    <t xml:space="preserve">Shapes how the discipline reports portfolio performance and is externally credible on it.</t>
  </si>
  <si>
    <t xml:space="preserve">PPM-04</t>
  </si>
  <si>
    <t xml:space="preserve">Program Delivery</t>
  </si>
  <si>
    <t xml:space="preserve">Program &amp; dependency management (enterprise)</t>
  </si>
  <si>
    <t xml:space="preserve">Coordinate interrelated programs and cross-program dependencies toward strategic outcomes.</t>
  </si>
  <si>
    <t xml:space="preserve">Tracks program tasks and logs cross-team dependencies under a manager's direction.</t>
  </si>
  <si>
    <t xml:space="preserve">Independently runs a defined program, managing routine dependencies and milestones with review.</t>
  </si>
  <si>
    <t xml:space="preserve">Autonomously orchestrates large enterprise programs, resolving tangled cross-program dependencies.</t>
  </si>
  <si>
    <t xml:space="preserve">Defines how enterprise programs are run here and untangles dependency knots others can't.</t>
  </si>
  <si>
    <t xml:space="preserve">Sets enterprise program-management strategy and anticipates systemic delivery constraints.</t>
  </si>
  <si>
    <t xml:space="preserve">Defines best-in-class enterprise program management and is externally recognized for it.</t>
  </si>
  <si>
    <t xml:space="preserve">PPM-05</t>
  </si>
  <si>
    <t xml:space="preserve">Project delivery methods &amp; standards</t>
  </si>
  <si>
    <t xml:space="preserve">Establish and steward delivery methodologies, standards, and practices across the enterprise.</t>
  </si>
  <si>
    <t xml:space="preserve">Applies prescribed delivery methods and templates to tasks under guidance.</t>
  </si>
  <si>
    <t xml:space="preserve">Independently delivers standard projects using established methods with normal review.</t>
  </si>
  <si>
    <t xml:space="preserve">Autonomously tailors delivery methods to ambiguous projects and sets the local standard.</t>
  </si>
  <si>
    <t xml:space="preserve">Defines the delivery methodology and standards others across teams adopt.</t>
  </si>
  <si>
    <t xml:space="preserve">Sets the organization's delivery-method strategy and anticipates where practice must evolve.</t>
  </si>
  <si>
    <t xml:space="preserve">Defines what good delivery practice means for the discipline and is externally credible.</t>
  </si>
  <si>
    <t xml:space="preserve">PPM-06</t>
  </si>
  <si>
    <t xml:space="preserve">Program risk, issue &amp; quality assurance</t>
  </si>
  <si>
    <t xml:space="preserve">Assure program quality and manage risks and issues across the delivery portfolio.</t>
  </si>
  <si>
    <t xml:space="preserve">Logs risks and issues and updates the register under guidance.</t>
  </si>
  <si>
    <t xml:space="preserve">Independently manages routine risks, issues, and QA reviews with normal oversight.</t>
  </si>
  <si>
    <t xml:space="preserve">Autonomously runs risk and assurance for complex programs, surfacing what others overlook.</t>
  </si>
  <si>
    <t xml:space="preserve">Defines the risk and quality-assurance approach others adopt and resolves systemic exposures.</t>
  </si>
  <si>
    <t xml:space="preserve">Sets enterprise program-assurance strategy and anticipates emerging delivery risks.</t>
  </si>
  <si>
    <t xml:space="preserve">Defines leading program-assurance practice for the field and is sought externally for it.</t>
  </si>
  <si>
    <t xml:space="preserve">PPM-07</t>
  </si>
  <si>
    <t xml:space="preserve">Resource &amp; Financial Control</t>
  </si>
  <si>
    <t xml:space="preserve">Resource &amp; capacity management (portfolio)</t>
  </si>
  <si>
    <t xml:space="preserve">Balance demand against people and capacity across the portfolio to optimize throughput.</t>
  </si>
  <si>
    <t xml:space="preserve">Updates resource allocations and availability data under direction.</t>
  </si>
  <si>
    <t xml:space="preserve">Independently manages routine resourcing and capacity plans across a few programs with review.</t>
  </si>
  <si>
    <t xml:space="preserve">Autonomously balances contended capacity across the portfolio, resolving conflicts and bottlenecks.</t>
  </si>
  <si>
    <t xml:space="preserve">Defines the capacity-planning approach others adopt and solves the hardest allocation trade-offs.</t>
  </si>
  <si>
    <t xml:space="preserve">Sets portfolio resource strategy and anticipates future capacity and skills constraints.</t>
  </si>
  <si>
    <t xml:space="preserve">Defines best-practice portfolio capacity management and is externally recognized for it.</t>
  </si>
  <si>
    <t xml:space="preserve">PPM-08</t>
  </si>
  <si>
    <t xml:space="preserve">Program financial management &amp; cost control</t>
  </si>
  <si>
    <t xml:space="preserve">Plan, track, and control program budgets, costs, and financial performance to baseline.</t>
  </si>
  <si>
    <t xml:space="preserve">Records program costs and updates budget trackers under supervision.</t>
  </si>
  <si>
    <t xml:space="preserve">Independently manages a program budget, tracking spend and routine variances with review.</t>
  </si>
  <si>
    <t xml:space="preserve">Autonomously controls complex program finances, forecasting and resolving ambiguous cost issues.</t>
  </si>
  <si>
    <t xml:space="preserve">Defines program financial-control practices others adopt and recovers troubled budgets others can't.</t>
  </si>
  <si>
    <t xml:space="preserve">Sets enterprise program-finance strategy and anticipates cost and funding pressures ahead.</t>
  </si>
  <si>
    <t xml:space="preserve">Defines leading program financial-management practice and is sought externally for it.</t>
  </si>
  <si>
    <t xml:space="preserve">SCM-01</t>
  </si>
  <si>
    <t xml:space="preserve">Operations &amp; Supply Chain</t>
  </si>
  <si>
    <t xml:space="preserve">Planning &amp; Demand</t>
  </si>
  <si>
    <t xml:space="preserve">Demand planning &amp; forecasting</t>
  </si>
  <si>
    <t xml:space="preserve">Predict demand using historical, market, and statistical signals to drive supply decisions.</t>
  </si>
  <si>
    <t xml:space="preserve">Maintains demand data and runs standard forecast updates under guidance.</t>
  </si>
  <si>
    <t xml:space="preserve">Independently produces routine demand forecasts and adjusts for known seasonality with review.</t>
  </si>
  <si>
    <t xml:space="preserve">Autonomously forecasts volatile, ambiguous demand and owns the forecasting process end-to-end.</t>
  </si>
  <si>
    <t xml:space="preserve">Defines the demand-planning methodology others adopt and forecasts what others can't model.</t>
  </si>
  <si>
    <t xml:space="preserve">Sets demand-planning strategy and anticipates shifts in market and demand signals.</t>
  </si>
  <si>
    <t xml:space="preserve">Defines best-in-class demand planning for the discipline and is externally recognized for it.</t>
  </si>
  <si>
    <t xml:space="preserve">SCM-02</t>
  </si>
  <si>
    <t xml:space="preserve">Supply &amp; capacity planning</t>
  </si>
  <si>
    <t xml:space="preserve">Balance supply, capacity, and constraints against demand to create executable plans.</t>
  </si>
  <si>
    <t xml:space="preserve">Updates supply and capacity plans from given inputs under supervision.</t>
  </si>
  <si>
    <t xml:space="preserve">Independently builds routine supply plans, balancing standard constraints with review.</t>
  </si>
  <si>
    <t xml:space="preserve">Autonomously plans supply under ambiguous constraints, resolving shortages and bottlenecks.</t>
  </si>
  <si>
    <t xml:space="preserve">Defines the supply-planning approach others adopt and solves constraint problems others can't.</t>
  </si>
  <si>
    <t xml:space="preserve">Sets supply and capacity strategy and anticipates structural capacity needs ahead.</t>
  </si>
  <si>
    <t xml:space="preserve">Defines leading supply-planning practice for the field and is sought externally for it.</t>
  </si>
  <si>
    <t xml:space="preserve">SCM-03</t>
  </si>
  <si>
    <t xml:space="preserve">Sales &amp; operations planning</t>
  </si>
  <si>
    <t xml:space="preserve">Align commercial, financial, and operational plans through cross-functional consensus.</t>
  </si>
  <si>
    <t xml:space="preserve">Prepares S&amp;OP inputs and meeting materials under direction.</t>
  </si>
  <si>
    <t xml:space="preserve">Independently runs routine S&amp;OP cycles, reconciling standard supply-demand gaps with review.</t>
  </si>
  <si>
    <t xml:space="preserve">Autonomously facilitates contentious S&amp;OP, balancing trade-offs across functions to consensus.</t>
  </si>
  <si>
    <t xml:space="preserve">Defines the S&amp;OP process others adopt and reconciles imbalances others cannot.</t>
  </si>
  <si>
    <t xml:space="preserve">Sets enterprise S&amp;OP strategy and anticipates the integrated-planning capabilities needed next.</t>
  </si>
  <si>
    <t xml:space="preserve">Defines best-practice sales and operations planning and is externally recognized for it.</t>
  </si>
  <si>
    <t xml:space="preserve">SCM-04</t>
  </si>
  <si>
    <t xml:space="preserve">Supply chain network design</t>
  </si>
  <si>
    <t xml:space="preserve">Model and optimize facility and route structure to balance cost, service, and risk.</t>
  </si>
  <si>
    <t xml:space="preserve">Gathers network data and runs predefined scenario models under guidance.</t>
  </si>
  <si>
    <t xml:space="preserve">Independently models standard network changes and evaluates routine trade-offs with review.</t>
  </si>
  <si>
    <t xml:space="preserve">Autonomously designs network configurations for ambiguous, multi-constraint problems end-to-end.</t>
  </si>
  <si>
    <t xml:space="preserve">Defines network-design methods others adopt and solves optimization problems others can't.</t>
  </si>
  <si>
    <t xml:space="preserve">Sets supply-chain network strategy and anticipates how the footprint must evolve.</t>
  </si>
  <si>
    <t xml:space="preserve">Defines leading network-design practice for the discipline and is externally credible on it.</t>
  </si>
  <si>
    <t xml:space="preserve">SCM-05</t>
  </si>
  <si>
    <t xml:space="preserve">Inventory &amp; Materials</t>
  </si>
  <si>
    <t xml:space="preserve">Inventory &amp; materials management</t>
  </si>
  <si>
    <t xml:space="preserve">Plan, position, and control stock and material flows to meet service targets at optimal cost.</t>
  </si>
  <si>
    <t xml:space="preserve">Records stock movements and performs counts under supervision.</t>
  </si>
  <si>
    <t xml:space="preserve">Independently manages routine inventory levels and replenishment with normal review.</t>
  </si>
  <si>
    <t xml:space="preserve">Autonomously optimizes inventory policy under ambiguous demand and supply variability.</t>
  </si>
  <si>
    <t xml:space="preserve">Defines inventory-management methods others adopt and resolves chronic stock problems others can't.</t>
  </si>
  <si>
    <t xml:space="preserve">Sets inventory strategy and anticipates how stocking and materials needs will shift.</t>
  </si>
  <si>
    <t xml:space="preserve">Defines best-practice inventory management for the field and is externally recognized for it.</t>
  </si>
  <si>
    <t xml:space="preserve">SCM-06</t>
  </si>
  <si>
    <t xml:space="preserve">Warehousing &amp; storage operations</t>
  </si>
  <si>
    <t xml:space="preserve">Manage receiving, storage, picking, and handling for accuracy, safety, and throughput.</t>
  </si>
  <si>
    <t xml:space="preserve">Performs defined put-away, picking, and storage tasks under supervision.</t>
  </si>
  <si>
    <t xml:space="preserve">Independently runs routine warehouse operations and standard slotting with review.</t>
  </si>
  <si>
    <t xml:space="preserve">Autonomously optimizes warehouse flow and layout under ambiguous, high-variability conditions.</t>
  </si>
  <si>
    <t xml:space="preserve">Defines warehousing methods and layouts others adopt and fixes operations others can't.</t>
  </si>
  <si>
    <t xml:space="preserve">Sets warehousing strategy and anticipates future storage and throughput requirements.</t>
  </si>
  <si>
    <t xml:space="preserve">Defines leading warehousing practice for the discipline and is sought externally for it.</t>
  </si>
  <si>
    <t xml:space="preserve">SCM-07</t>
  </si>
  <si>
    <t xml:space="preserve">Manufacturing &amp; Production</t>
  </si>
  <si>
    <t xml:space="preserve">Manufacturing &amp; production operations</t>
  </si>
  <si>
    <t xml:space="preserve">Convert inputs into finished goods through planned, controlled, efficient production.</t>
  </si>
  <si>
    <t xml:space="preserve">Performs defined production tasks and records output under supervision.</t>
  </si>
  <si>
    <t xml:space="preserve">Independently runs standard production lines, handling routine variation with review.</t>
  </si>
  <si>
    <t xml:space="preserve">Autonomously manages complex production with ambiguous disruptions, holding output and quality.</t>
  </si>
  <si>
    <t xml:space="preserve">Defines production-operations methods others adopt and resolves problems others can't.</t>
  </si>
  <si>
    <t xml:space="preserve">Sets manufacturing-operations strategy and anticipates how production capability must evolve.</t>
  </si>
  <si>
    <t xml:space="preserve">Defines best-in-class manufacturing operations and is externally recognized for it.</t>
  </si>
  <si>
    <t xml:space="preserve">SCM-08</t>
  </si>
  <si>
    <t xml:space="preserve">Production scheduling &amp; shop-floor control</t>
  </si>
  <si>
    <t xml:space="preserve">Sequence, schedule, and monitor production to optimize throughput and on-time output.</t>
  </si>
  <si>
    <t xml:space="preserve">Updates schedules and logs shop-floor status from given inputs under guidance.</t>
  </si>
  <si>
    <t xml:space="preserve">Independently builds routine production schedules and manages standard sequencing with review.</t>
  </si>
  <si>
    <t xml:space="preserve">Autonomously schedules under volatile constraints, rebalancing the floor to hold commitments.</t>
  </si>
  <si>
    <t xml:space="preserve">Defines scheduling and control methods others adopt and resolves the hardest sequencing problems.</t>
  </si>
  <si>
    <t xml:space="preserve">Sets shop-floor scheduling strategy and anticipates how control systems must evolve.</t>
  </si>
  <si>
    <t xml:space="preserve">Defines leading production-scheduling practice for the field and is sought externally for it.</t>
  </si>
  <si>
    <t xml:space="preserve">SCM-09</t>
  </si>
  <si>
    <t xml:space="preserve">Asset &amp; maintenance management</t>
  </si>
  <si>
    <t xml:space="preserve">Sustain reliability of physical assets through preventive and corrective maintenance.</t>
  </si>
  <si>
    <t xml:space="preserve">Records asset data and completes scheduled maintenance tasks under supervision.</t>
  </si>
  <si>
    <t xml:space="preserve">Independently runs routine preventive maintenance and work orders with review.</t>
  </si>
  <si>
    <t xml:space="preserve">Autonomously diagnoses ambiguous failures and optimizes maintenance strategy for critical assets.</t>
  </si>
  <si>
    <t xml:space="preserve">Defines maintenance and reliability methods others adopt and solves failures others can't.</t>
  </si>
  <si>
    <t xml:space="preserve">Sets asset-management strategy and anticipates lifecycle and reliability needs ahead.</t>
  </si>
  <si>
    <t xml:space="preserve">Defines best-practice asset and reliability management and is externally recognized for it.</t>
  </si>
  <si>
    <t xml:space="preserve">SCM-10</t>
  </si>
  <si>
    <t xml:space="preserve">Quality management &amp; control</t>
  </si>
  <si>
    <t xml:space="preserve">Define, inspect, and assure that products and processes meet quality standards.</t>
  </si>
  <si>
    <t xml:space="preserve">Performs defined inspections and records quality results under supervision.</t>
  </si>
  <si>
    <t xml:space="preserve">Independently runs routine quality controls and investigates standard defects with review.</t>
  </si>
  <si>
    <t xml:space="preserve">Autonomously diagnoses ambiguous quality issues and sets local control standards end-to-end.</t>
  </si>
  <si>
    <t xml:space="preserve">Defines the quality-management system others adopt and resolves root causes others can't.</t>
  </si>
  <si>
    <t xml:space="preserve">Sets enterprise quality strategy and anticipates emerging quality and compliance demands.</t>
  </si>
  <si>
    <t xml:space="preserve">Defines what good quality management means for the discipline and is externally credible.</t>
  </si>
  <si>
    <t xml:space="preserve">SCM-11</t>
  </si>
  <si>
    <t xml:space="preserve">Logistics &amp; Fulfillment</t>
  </si>
  <si>
    <t xml:space="preserve">Logistics &amp; distribution management</t>
  </si>
  <si>
    <t xml:space="preserve">Plan and execute movement and delivery of goods across transport modes and channels.</t>
  </si>
  <si>
    <t xml:space="preserve">Schedules routine shipments and tracks deliveries under guidance.</t>
  </si>
  <si>
    <t xml:space="preserve">Independently manages standard freight and distribution lanes with normal review.</t>
  </si>
  <si>
    <t xml:space="preserve">Autonomously optimizes complex distribution under ambiguous disruptions and cost pressures.</t>
  </si>
  <si>
    <t xml:space="preserve">Defines logistics methods and carrier strategy others adopt and resolves problems others can't.</t>
  </si>
  <si>
    <t xml:space="preserve">Sets distribution strategy and anticipates how logistics networks must evolve.</t>
  </si>
  <si>
    <t xml:space="preserve">Defines leading logistics practice for the discipline and is externally recognized for it.</t>
  </si>
  <si>
    <t xml:space="preserve">SCM-12</t>
  </si>
  <si>
    <t xml:space="preserve">Order management &amp; fulfillment</t>
  </si>
  <si>
    <t xml:space="preserve">Process, allocate, and fulfill orders accurately from capture through delivery and returns.</t>
  </si>
  <si>
    <t xml:space="preserve">Processes standard orders and resolves routine exceptions under supervision.</t>
  </si>
  <si>
    <t xml:space="preserve">Independently manages order flow and standard fulfillment issues with review.</t>
  </si>
  <si>
    <t xml:space="preserve">Autonomously orchestrates complex multi-source fulfillment and resolves ambiguous exceptions.</t>
  </si>
  <si>
    <t xml:space="preserve">Defines order-management practices others adopt and fixes fulfillment breakdowns others can't.</t>
  </si>
  <si>
    <t xml:space="preserve">Sets fulfillment strategy and anticipates how order orchestration must evolve.</t>
  </si>
  <si>
    <t xml:space="preserve">Defines best-practice order management and fulfillment and is sought externally for it.</t>
  </si>
  <si>
    <t xml:space="preserve">SCM-13</t>
  </si>
  <si>
    <t xml:space="preserve">Reverse logistics &amp; returns management</t>
  </si>
  <si>
    <t xml:space="preserve">Manage returns, repairs, recycling, and disposal flows to recover value and reduce waste.</t>
  </si>
  <si>
    <t xml:space="preserve">Processes standard returns and records dispositions under guidance.</t>
  </si>
  <si>
    <t xml:space="preserve">Independently manages routine returns flows and standard disposition rules with review.</t>
  </si>
  <si>
    <t xml:space="preserve">Autonomously designs returns and recovery processes for ambiguous, high-volume situations.</t>
  </si>
  <si>
    <t xml:space="preserve">Defines reverse-logistics methods others adopt and recovers value others can't.</t>
  </si>
  <si>
    <t xml:space="preserve">Sets returns and circularity strategy and anticipates evolving recovery demands.</t>
  </si>
  <si>
    <t xml:space="preserve">Defines leading reverse-logistics practice for the field and is externally recognized for it.</t>
  </si>
  <si>
    <t xml:space="preserve">SCM-14</t>
  </si>
  <si>
    <t xml:space="preserve">Service Operations</t>
  </si>
  <si>
    <t xml:space="preserve">Service delivery operations</t>
  </si>
  <si>
    <t xml:space="preserve">Plan, deliver, and control execution of services to meet scope, quality, and timeliness.</t>
  </si>
  <si>
    <t xml:space="preserve">Executes defined service tasks and logs outcomes under supervision.</t>
  </si>
  <si>
    <t xml:space="preserve">Independently runs standard service delivery, meeting routine SLAs with review.</t>
  </si>
  <si>
    <t xml:space="preserve">Autonomously manages complex service operations, holding performance under ambiguous demand.</t>
  </si>
  <si>
    <t xml:space="preserve">Defines service-delivery methods others adopt and resolves operational failures others can't.</t>
  </si>
  <si>
    <t xml:space="preserve">Sets service-operations strategy and anticipates how service capability must evolve.</t>
  </si>
  <si>
    <t xml:space="preserve">Defines best-in-class service delivery for the discipline and is externally credible on it.</t>
  </si>
  <si>
    <t xml:space="preserve">SCM-15</t>
  </si>
  <si>
    <t xml:space="preserve">Field operations &amp; dispatch coordination</t>
  </si>
  <si>
    <t xml:space="preserve">Coordinate dispatch, routing, and on-site service to meet commitments and customer needs.</t>
  </si>
  <si>
    <t xml:space="preserve">Assigns routine jobs and updates dispatch status under guidance.</t>
  </si>
  <si>
    <t xml:space="preserve">Independently coordinates standard field schedules and routing with normal review.</t>
  </si>
  <si>
    <t xml:space="preserve">Autonomously optimizes dispatch under volatile demand, resolving conflicts and emergencies.</t>
  </si>
  <si>
    <t xml:space="preserve">Defines field-coordination methods others adopt and solves dispatch problems others can't.</t>
  </si>
  <si>
    <t xml:space="preserve">Sets field-operations strategy and anticipates how dispatch and routing must evolve.</t>
  </si>
  <si>
    <t xml:space="preserve">Defines leading field-operations practice for the field and is sought externally for it.</t>
  </si>
  <si>
    <t xml:space="preserve">CIT-01</t>
  </si>
  <si>
    <t xml:space="preserve">Corporate IT &amp; Workplace Technology</t>
  </si>
  <si>
    <t xml:space="preserve">Service Management &amp; Support</t>
  </si>
  <si>
    <t xml:space="preserve">IT service management &amp; service desk</t>
  </si>
  <si>
    <t xml:space="preserve">Operate request, incident, and problem management to restore and sustain employee IT services.</t>
  </si>
  <si>
    <t xml:space="preserve">Logs and triages incoming tickets using set scripts, escalating anything beyond well-defined fixes.</t>
  </si>
  <si>
    <t xml:space="preserve">Resolves standard incidents and service requests independently within SLA, escalating only genuine edge cases.</t>
  </si>
  <si>
    <t xml:space="preserve">Owns ambiguous and high-impact incidents end-to-end, sets local triage and escalation conventions.</t>
  </si>
  <si>
    <t xml:space="preserve">Designs the ticket taxonomy, SLA tiers, and queue-routing model that other support staff adopt.</t>
  </si>
  <si>
    <t xml:space="preserve">Sets the service-management strategy and metrics framework across the organization's support function.</t>
  </si>
  <si>
    <t xml:space="preserve">Defines what good service management looks like for the discipline and shapes external practice.</t>
  </si>
  <si>
    <t xml:space="preserve">CIT-02</t>
  </si>
  <si>
    <t xml:space="preserve">Change &amp; release management</t>
  </si>
  <si>
    <t xml:space="preserve">Govern controlled introduction of changes to enterprise systems to minimize disruption.</t>
  </si>
  <si>
    <t xml:space="preserve">Prepares change records and gathers approvals for low-risk, pre-templated changes under review.</t>
  </si>
  <si>
    <t xml:space="preserve">Plans and executes standard changes independently, writing usable rollback steps and impact notes.</t>
  </si>
  <si>
    <t xml:space="preserve">Owns risky, multi-team changes, judges risk and ambiguity, and is the go-to change coordinator.</t>
  </si>
  <si>
    <t xml:space="preserve">Designs the change-control and release process, risk-tiering, and CAB model others follow.</t>
  </si>
  <si>
    <t xml:space="preserve">Sets release-governance strategy balancing change velocity and stability across the organization.</t>
  </si>
  <si>
    <t xml:space="preserve">Defines industry-credible release-management practice and influences how the discipline operates.</t>
  </si>
  <si>
    <t xml:space="preserve">CIT-03</t>
  </si>
  <si>
    <t xml:space="preserve">End-user support &amp; enablement</t>
  </si>
  <si>
    <t xml:space="preserve">Resolve user issues and build employee proficiency with workplace technology.</t>
  </si>
  <si>
    <t xml:space="preserve">Handles common how-to questions and walk-throughs at the desk, escalating unfamiliar issues.</t>
  </si>
  <si>
    <t xml:space="preserve">Resolves most end-user problems independently and produces clear self-help guidance for users.</t>
  </si>
  <si>
    <t xml:space="preserve">Tackles the hardest user-enablement cases and sets local standards for guidance and onboarding.</t>
  </si>
  <si>
    <t xml:space="preserve">Designs the enablement program, training curriculum, and support model others deliver against.</t>
  </si>
  <si>
    <t xml:space="preserve">Sets the organization's strategy for user adoption, digital literacy, and support experience.</t>
  </si>
  <si>
    <t xml:space="preserve">Defines best-practice end-user enablement for the field and shapes how others teach it.</t>
  </si>
  <si>
    <t xml:space="preserve">CIT-04</t>
  </si>
  <si>
    <t xml:space="preserve">Endpoint &amp; Workplace</t>
  </si>
  <si>
    <t xml:space="preserve">Endpoint &amp; device management</t>
  </si>
  <si>
    <t xml:space="preserve">Provision, configure, secure, and maintain employee devices across their lifecycle.</t>
  </si>
  <si>
    <t xml:space="preserve">Enrolls, images, and configures devices following documented build steps under supervision.</t>
  </si>
  <si>
    <t xml:space="preserve">Manages device fleets, policies, and patching independently for standard configurations.</t>
  </si>
  <si>
    <t xml:space="preserve">Resolves complex endpoint, compliance, and policy issues; sets local device-management standards.</t>
  </si>
  <si>
    <t xml:space="preserve">Designs the endpoint architecture, policy baseline, and lifecycle model others implement.</t>
  </si>
  <si>
    <t xml:space="preserve">Sets endpoint strategy across platforms, anticipating shifts in management and security posture.</t>
  </si>
  <si>
    <t xml:space="preserve">Defines authoritative endpoint-management practice and influences the discipline externally.</t>
  </si>
  <si>
    <t xml:space="preserve">CIT-05</t>
  </si>
  <si>
    <t xml:space="preserve">Collaboration &amp; productivity platform management</t>
  </si>
  <si>
    <t xml:space="preserve">Administer messaging, document, and collaboration environments for employees.</t>
  </si>
  <si>
    <t xml:space="preserve">Configures user accounts, groups, and shared spaces in the platform following set procedures.</t>
  </si>
  <si>
    <t xml:space="preserve">Administers collaboration services independently, handling routine config, permissions, and issues.</t>
  </si>
  <si>
    <t xml:space="preserve">Resolves complex platform, governance, and integration problems; sets local configuration standards.</t>
  </si>
  <si>
    <t xml:space="preserve">Designs the platform architecture, governance, and adoption model that administrators follow.</t>
  </si>
  <si>
    <t xml:space="preserve">Sets the organization's collaboration-platform strategy and roadmap across the workplace estate.</t>
  </si>
  <si>
    <t xml:space="preserve">Defines leading collaboration-platform practice and shapes how the discipline is run elsewhere.</t>
  </si>
  <si>
    <t xml:space="preserve">CIT-06</t>
  </si>
  <si>
    <t xml:space="preserve">Enterprise Applications</t>
  </si>
  <si>
    <t xml:space="preserve">Enterprise application administration</t>
  </si>
  <si>
    <t xml:space="preserve">Configure, maintain, and support shared business applications across corporate functions.</t>
  </si>
  <si>
    <t xml:space="preserve">Performs routine application config and user-provisioning tasks under guidance and review.</t>
  </si>
  <si>
    <t xml:space="preserve">Administers an enterprise application independently, handling standard config and support tasks.</t>
  </si>
  <si>
    <t xml:space="preserve">Resolves complex configuration, upgrade, and data issues; is the go-to admin for the application.</t>
  </si>
  <si>
    <t xml:space="preserve">Designs the application's configuration baseline, upgrade approach, and governance others adopt.</t>
  </si>
  <si>
    <t xml:space="preserve">Sets the administration strategy and standards across the enterprise application portfolio.</t>
  </si>
  <si>
    <t xml:space="preserve">Defines authoritative enterprise-application administration practice recognized beyond the organization.</t>
  </si>
  <si>
    <t xml:space="preserve">CIT-07</t>
  </si>
  <si>
    <t xml:space="preserve">Business systems integration &amp; automation</t>
  </si>
  <si>
    <t xml:space="preserve">Connect enterprise systems and automate workflows to streamline business processes.</t>
  </si>
  <si>
    <t xml:space="preserve">Builds simple, pre-specified integrations or automations from templates under review.</t>
  </si>
  <si>
    <t xml:space="preserve">Develops standard integrations and automated workflows independently with normal testing and review.</t>
  </si>
  <si>
    <t xml:space="preserve">Designs complex, multi-system integrations and resolves the hardest data and reliability problems.</t>
  </si>
  <si>
    <t xml:space="preserve">Defines the integration patterns, automation framework, and standards other builders adopt.</t>
  </si>
  <si>
    <t xml:space="preserve">Sets the organization's integration and automation strategy across business systems.</t>
  </si>
  <si>
    <t xml:space="preserve">Defines best-practice systems integration and automation and influences the broader discipline.</t>
  </si>
  <si>
    <t xml:space="preserve">CIT-08</t>
  </si>
  <si>
    <t xml:space="preserve">Identity &amp; Asset Governance</t>
  </si>
  <si>
    <t xml:space="preserve">Identity &amp; access administration (internal)</t>
  </si>
  <si>
    <t xml:space="preserve">Manage employee identities, accounts, and access rights across enterprise systems per policy.</t>
  </si>
  <si>
    <t xml:space="preserve">Provisions accounts and applies access requests following defined approval workflows under review.</t>
  </si>
  <si>
    <t xml:space="preserve">Manages identities, groups, and access independently, handling standard joiner-mover-leaver flows.</t>
  </si>
  <si>
    <t xml:space="preserve">Resolves complex access, entitlement, and recertification issues; sets local identity standards.</t>
  </si>
  <si>
    <t xml:space="preserve">Designs the access model, role structure, and provisioning approach others implement.</t>
  </si>
  <si>
    <t xml:space="preserve">Sets identity-and-access strategy, including governance and least-privilege posture, organization-wide.</t>
  </si>
  <si>
    <t xml:space="preserve">Defines authoritative internal identity-administration practice and shapes the discipline externally.</t>
  </si>
  <si>
    <t xml:space="preserve">CIT-09</t>
  </si>
  <si>
    <t xml:space="preserve">IT asset &amp; license management</t>
  </si>
  <si>
    <t xml:space="preserve">Track and optimize IT hardware, software, and license inventories across lifecycle and cost.</t>
  </si>
  <si>
    <t xml:space="preserve">Records assets and license entitlements in the register following documented procedures.</t>
  </si>
  <si>
    <t xml:space="preserve">Maintains asset and license data independently, tracking lifecycle and reconciling routine discrepancies.</t>
  </si>
  <si>
    <t xml:space="preserve">Resolves complex license-compliance and asset-optimization issues; sets local asset standards.</t>
  </si>
  <si>
    <t xml:space="preserve">Designs the asset-lifecycle and license-management model and controls others adopt.</t>
  </si>
  <si>
    <t xml:space="preserve">Sets asset-and-license strategy, optimizing cost and compliance across the organization.</t>
  </si>
  <si>
    <t xml:space="preserve">Defines best-practice asset and license management and influences how the discipline operates.</t>
  </si>
  <si>
    <t xml:space="preserve">CIT-10</t>
  </si>
  <si>
    <t xml:space="preserve">Infrastructure &amp; Operations</t>
  </si>
  <si>
    <t xml:space="preserve">Enterprise infrastructure operations</t>
  </si>
  <si>
    <t xml:space="preserve">Operate and maintain corporate compute, storage, and network for reliable internal services.</t>
  </si>
  <si>
    <t xml:space="preserve">Performs routine infrastructure monitoring and maintenance tasks following runbooks under supervision.</t>
  </si>
  <si>
    <t xml:space="preserve">Operates and maintains infrastructure services independently, handling standard incidents and changes.</t>
  </si>
  <si>
    <t xml:space="preserve">Resolves complex outages and capacity issues; sets local operational standards and is the go-to operator.</t>
  </si>
  <si>
    <t xml:space="preserve">Designs the operational architecture, resilience approach, and runbook standards others follow.</t>
  </si>
  <si>
    <t xml:space="preserve">Sets infrastructure-operations strategy, anticipating capacity, resilience, and platform shifts.</t>
  </si>
  <si>
    <t xml:space="preserve">Defines authoritative infrastructure-operations practice and shapes the discipline beyond the organization.</t>
  </si>
  <si>
    <t xml:space="preserve">Org Capability Map — proactive organizational design</t>
  </si>
  <si>
    <t xml:space="preserve">Split an org into domains, set the capabilities each must hold and the target proficiency, then mark each Covered or an explicit Accepted gap. Design the TARGET first; overlay current coverage to reveal gaps. Worked example below.</t>
  </si>
  <si>
    <t xml:space="preserve">ORGANIZATION</t>
  </si>
  <si>
    <t xml:space="preserve">Northwind — Platform &amp; Data Org (illustrative)</t>
  </si>
  <si>
    <t xml:space="preserve">REQUIRED</t>
  </si>
  <si>
    <t xml:space="preserve">COVERED</t>
  </si>
  <si>
    <t xml:space="preserve">ACCEPTED GAP</t>
  </si>
  <si>
    <t xml:space="preserve">OPEN GAP</t>
  </si>
  <si>
    <t xml:space="preserve">COVERAGE</t>
  </si>
  <si>
    <t xml:space="preserve">Capability ID</t>
  </si>
  <si>
    <t xml:space="preserve">Target P (1-6)</t>
  </si>
  <si>
    <t xml:space="preserve">Criticality</t>
  </si>
  <si>
    <t xml:space="preserve">Owner / team</t>
  </si>
  <si>
    <t xml:space="preserve">Coverage Status</t>
  </si>
  <si>
    <t xml:space="preserve">Covered by (role/person)</t>
  </si>
  <si>
    <t xml:space="preserve">Notes</t>
  </si>
  <si>
    <t xml:space="preserve">Critical</t>
  </si>
  <si>
    <t xml:space="preserve">Applied AI team</t>
  </si>
  <si>
    <t xml:space="preserve">Covered</t>
  </si>
  <si>
    <t xml:space="preserve">Staff AI Eng (1)</t>
  </si>
  <si>
    <t xml:space="preserve">Core to product</t>
  </si>
  <si>
    <t xml:space="preserve">Senior AI Eng (2)</t>
  </si>
  <si>
    <t xml:space="preserve">Partial</t>
  </si>
  <si>
    <t xml:space="preserve">1 eng, no owner</t>
  </si>
  <si>
    <t xml:space="preserve">Eval owner is a hiring priority</t>
  </si>
  <si>
    <t xml:space="preserve">High</t>
  </si>
  <si>
    <t xml:space="preserve">Open gap</t>
  </si>
  <si>
    <t xml:space="preserve">—</t>
  </si>
  <si>
    <t xml:space="preserve">No responsible-AI coverage yet</t>
  </si>
  <si>
    <t xml:space="preserve">Data Platform</t>
  </si>
  <si>
    <t xml:space="preserve">Senior Data Eng</t>
  </si>
  <si>
    <t xml:space="preserve">Pipelines healthy</t>
  </si>
  <si>
    <t xml:space="preserve">Data Eng (2)</t>
  </si>
  <si>
    <t xml:space="preserve">Medium</t>
  </si>
  <si>
    <t xml:space="preserve">Accepted gap</t>
  </si>
  <si>
    <t xml:space="preserve">Lineage deferred to next year — accepted</t>
  </si>
  <si>
    <t xml:space="preserve">SRE</t>
  </si>
  <si>
    <t xml:space="preserve">Staff SRE</t>
  </si>
  <si>
    <t xml:space="preserve">SLOs defined</t>
  </si>
  <si>
    <t xml:space="preserve">Platform</t>
  </si>
  <si>
    <t xml:space="preserve">Platform Eng</t>
  </si>
  <si>
    <t xml:space="preserve">IaC standardized</t>
  </si>
  <si>
    <t xml:space="preserve">Shared w/ SRE</t>
  </si>
  <si>
    <t xml:space="preserve">Orchestration knowledge thin</t>
  </si>
  <si>
    <t xml:space="preserve">Threat modeling unstaffed — top risk</t>
  </si>
  <si>
    <t xml:space="preserve">IAM outsourced to vendor — accepted</t>
  </si>
  <si>
    <t xml:space="preserve">Product</t>
  </si>
  <si>
    <t xml:space="preserve">Group PM</t>
  </si>
  <si>
    <t xml:space="preserve">Strategy owned</t>
  </si>
  <si>
    <t xml:space="preserve">PM (2)</t>
  </si>
  <si>
    <t xml:space="preserve">Analytics in place</t>
  </si>
  <si>
    <t xml:space="preserve">Proactive use: define the target capability architecture (Domain + Capability + Target P + Criticality) BEFORE assigning people. 'Accepted gap' = a deliberate decision not to cover something yet; 'Open gap' = an unmanaged risk. Coverage % and counts update automatically. This designs org architecture forward, instead of diagnosing dysfunction after the fact.</t>
  </si>
  <si>
    <t xml:space="preserve">Role Builder &amp; Audit — SOC 2-style control set</t>
  </si>
  <si>
    <t xml:space="preserve">A role = required capabilities @ minimum proficiency + a scope band. Assess a person; Meets? computes. Worked example: Senior AI Engineer (Scope S3 — domain owner).</t>
  </si>
  <si>
    <t xml:space="preserve">ROLE</t>
  </si>
  <si>
    <t xml:space="preserve">Senior AI Engineer</t>
  </si>
  <si>
    <t xml:space="preserve">CONTROLS</t>
  </si>
  <si>
    <t xml:space="preserve">SCOPE BAND</t>
  </si>
  <si>
    <t xml:space="preserve">S3 — Domain</t>
  </si>
  <si>
    <t xml:space="preserve">PASS</t>
  </si>
  <si>
    <t xml:space="preserve">CANDIDATE</t>
  </si>
  <si>
    <t xml:space="preserve">&lt;name being assessed&gt;</t>
  </si>
  <si>
    <t xml:space="preserve">GAP</t>
  </si>
  <si>
    <t xml:space="preserve">ASSESSED BY / DATE</t>
  </si>
  <si>
    <t xml:space="preserve">&lt;assessor&gt; / &lt;date&gt;</t>
  </si>
  <si>
    <t xml:space="preserve">READINESS</t>
  </si>
  <si>
    <t xml:space="preserve">Control ID</t>
  </si>
  <si>
    <t xml:space="preserve">Required P (1-6)</t>
  </si>
  <si>
    <t xml:space="preserve">Assessment method</t>
  </si>
  <si>
    <t xml:space="preserve">Evidence / notes</t>
  </si>
  <si>
    <t xml:space="preserve">Assessed P (1-6)</t>
  </si>
  <si>
    <t xml:space="preserve">Score</t>
  </si>
  <si>
    <t xml:space="preserve">Meets?</t>
  </si>
  <si>
    <t xml:space="preserve">Work sample + system design</t>
  </si>
  <si>
    <t xml:space="preserve">RAG+agent feature shipped; prompt library reviewed</t>
  </si>
  <si>
    <t xml:space="preserve">System design + portfolio</t>
  </si>
  <si>
    <t xml:space="preserve">Built permission-aware retrieval for support domain</t>
  </si>
  <si>
    <t xml:space="preserve">System design</t>
  </si>
  <si>
    <t xml:space="preserve">Designed multi-step agent w/ human-in-loop</t>
  </si>
  <si>
    <t xml:space="preserve">Work sample</t>
  </si>
  <si>
    <t xml:space="preserve">Owns eval harness gating releases</t>
  </si>
  <si>
    <t xml:space="preserve">Behavioral + work sample</t>
  </si>
  <si>
    <t xml:space="preserve">Layered guardrails on launched feature</t>
  </si>
  <si>
    <t xml:space="preserve">Code sample + review</t>
  </si>
  <si>
    <t xml:space="preserve">Reference-quality service code</t>
  </si>
  <si>
    <t xml:space="preserve">Owns architecture for the AI domain</t>
  </si>
  <si>
    <t xml:space="preserve">Replay tests from prod traces</t>
  </si>
  <si>
    <t xml:space="preserve">Behavioral (STAR)</t>
  </si>
  <si>
    <t xml:space="preserve">Defined SLOs incl. quality for the domain</t>
  </si>
  <si>
    <t xml:space="preserve">Least-privilege tool access in features</t>
  </si>
  <si>
    <t xml:space="preserve">Lands multi-week efforts predictably</t>
  </si>
  <si>
    <t xml:space="preserve">Sequences uncertain AI work prototype-first</t>
  </si>
  <si>
    <t xml:space="preserve">Writing sample</t>
  </si>
  <si>
    <t xml:space="preserve">Design docs that drove domain decisions</t>
  </si>
  <si>
    <t xml:space="preserve">Behavioral / 360</t>
  </si>
  <si>
    <t xml:space="preserve">Coaches 1-2 engineers up the AI curve</t>
  </si>
  <si>
    <t xml:space="preserve">Sets technical direction for the domain</t>
  </si>
  <si>
    <t xml:space="preserve">How the framework is built and what it consolidates.</t>
  </si>
  <si>
    <t xml:space="preserve">Design decisions</t>
  </si>
  <si>
    <t xml:space="preserve">Technology-agnostic capabilities</t>
  </si>
  <si>
    <t xml:space="preserve">Capabilities describe competence, not tools ('Relational data modeling', not 'PostgreSQL'). roadmap.sh's tech-heavy nodes were abstracted UP to knowledge areas. Mirrors ESCO (skills/knowledge separate from occupations) and Lightcast (skills typed separately from Software Tools).</t>
  </si>
  <si>
    <t xml:space="preserve">Two separated axes</t>
  </si>
  <si>
    <t xml:space="preserve">Proficiency P1-P6 (intrinsic to a capability, Dreyfus-derived, six used levels) vs Scope S1-S6 (a role's org blast radius). Industry-defining impact sits at P6 on the expertise axis, not a 7th scope band.</t>
  </si>
  <si>
    <t xml:space="preserve">Org -&gt; Domains -&gt; Capabilities spine</t>
  </si>
  <si>
    <t xml:space="preserve">The minimum model: an org is split into domains, each holding required capabilities at a target level. Roles (served by capabilities) and Technologies (serving capabilities) are additive layers, attached later.</t>
  </si>
  <si>
    <t xml:space="preserve">Universal rubric + anchored examples</t>
  </si>
  <si>
    <t xml:space="preserve">Every capability is leveled by the universal P1-P6 rubric. every capability also carries six observable behavioral profiles (one per level) used to assess and audit it (ESCO/Lightcast similarly don't hand-write per-skill level text).</t>
  </si>
  <si>
    <t xml:space="preserve">Consolidation method</t>
  </si>
  <si>
    <t xml:space="preserve">Technology/engineering domains distilled from roadmap.sh; business/corporate domains from the APQC Process Classification Framework + functional competency models (SHRM, PMI, APICS). Grouped into 3 segments across all domains. Cross-domain near-duplicates are intentional lenses and can be merged later.</t>
  </si>
  <si>
    <t xml:space="preserve">Built for org planning &amp; pay bands</t>
  </si>
  <si>
    <t xml:space="preserve">Org-Coverage and Role views are numeric capability/scope vectors — ready for proactive org design today and for regressing onto open compensation data later.</t>
  </si>
  <si>
    <t xml:space="preserve">Cross-domain lenses &amp; dedup</t>
  </si>
  <si>
    <t xml:space="preserve">A dedup pass confirmed few TRUE duplicates: most apparent overlaps (accessibility in build vs design vs test; quality in code vs data vs manufacturing; risk across eight functions) are the same concept owned by DIFFERENT functions, kept as separate assessable capabilities. A handful of near-identical pairs were renamed for clarity (supplier vs legal contracts; internal vs financial audit; product vs enterprise market analysis).</t>
  </si>
  <si>
    <t xml:space="preserve">Sources</t>
  </si>
  <si>
    <t xml:space="preserve">#</t>
  </si>
  <si>
    <t xml:space="preserve">Source</t>
  </si>
  <si>
    <t xml:space="preserve">Contribution</t>
  </si>
  <si>
    <t xml:space="preserve">Link</t>
  </si>
  <si>
    <t xml:space="preserve">APQC Process Classification Framework (PCF)</t>
  </si>
  <si>
    <t xml:space="preserve">Canonical enterprise process/capability map (13 categories) — source for all business &amp; corporate domains, abstracted into tech-agnostic capabilities.</t>
  </si>
  <si>
    <t xml:space="preserve">https://www.apqc.org/process-frameworks</t>
  </si>
  <si>
    <t xml:space="preserve">roadmap.sh (developer-roadmap, CC BY)</t>
  </si>
  <si>
    <t xml:space="preserve">Breadth source for engineering/technology domains — role + skill roadmaps abstracted into tech-agnostic capabilities.</t>
  </si>
  <si>
    <t xml:space="preserve">https://roadmap.sh/roadmaps</t>
  </si>
  <si>
    <t xml:space="preserve">ESCO (EU skills/competences/occupations)</t>
  </si>
  <si>
    <t xml:space="preserve">Precedent for separating tech-agnostic skills &amp; knowledge from occupations and tools.</t>
  </si>
  <si>
    <t xml:space="preserve">https://esco.ec.europa.eu/en/classification/skill_main</t>
  </si>
  <si>
    <t xml:space="preserve">Lightcast Open Skills (32k+ skills)</t>
  </si>
  <si>
    <t xml:space="preserve">Precedent for typing competencies separately from Software Tools; category/subcategory hierarchy.</t>
  </si>
  <si>
    <t xml:space="preserve">https://lightcast.io/open-skills</t>
  </si>
  <si>
    <t xml:space="preserve">SFIA 9</t>
  </si>
  <si>
    <t xml:space="preserve">7-level responsibility model; scope-axis calibration reference (referenced, not adopted).</t>
  </si>
  <si>
    <t xml:space="preserve">https://sfia-online.org/en/about-sfia/how-sfia-works</t>
  </si>
  <si>
    <t xml:space="preserve">Dreyfus model of skill acquisition</t>
  </si>
  <si>
    <t xml:space="preserve">Five-stage proficiency progression underlying P1-P6.</t>
  </si>
  <si>
    <t xml:space="preserve">https://en.wikipedia.org/wiki/Dreyfus_model_of_skill_acquisition</t>
  </si>
  <si>
    <t xml:space="preserve">levels.fyi Standard SWE Framework</t>
  </si>
  <si>
    <t xml:space="preserve">Scope/impact bands and market title mapping for S1-S6.</t>
  </si>
  <si>
    <t xml:space="preserve">https://www.levels.fyi/blog/swe-level-framework.html</t>
  </si>
  <si>
    <t xml:space="preserve">CircleCI Engineering Competency Matrix (CC BY 4.0)</t>
  </si>
  <si>
    <t xml:space="preserve">Three-tier Domain/Focus/Capability structure modeled here.</t>
  </si>
  <si>
    <t xml:space="preserve">https://circleci.com/blog/why-we-re-designing-our-engineering-competency-matrix/</t>
  </si>
  <si>
    <t xml:space="preserve">Uploaded ladders (AI / Platform / Leadership)</t>
  </si>
  <si>
    <t xml:space="preserve">Source of the 37 anchored core capabilities and their P1-P6 behavioral anchors.</t>
  </si>
  <si>
    <t xml:space="preserve">(user files)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</si>
</sst>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0"/>
      <color rgb="FF33404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i val="true"/>
      <sz val="9"/>
      <color rgb="FF33404D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7"/>
      <color rgb="FF33404D"/>
      <name val="Arial"/>
      <family val="0"/>
      <charset val="1"/>
    </font>
    <font>
      <b val="true"/>
      <sz val="8"/>
      <color rgb="FF1F3A5F"/>
      <name val="Arial"/>
      <family val="0"/>
      <charset val="1"/>
    </font>
    <font>
      <b val="true"/>
      <sz val="8"/>
      <color rgb="FF33404D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8"/>
      <color rgb="FF1F4E79"/>
      <name val="Arial"/>
      <family val="0"/>
      <charset val="1"/>
    </font>
    <font>
      <i val="true"/>
      <sz val="8"/>
      <color rgb="FF000000"/>
      <name val="Arial"/>
      <family val="0"/>
      <charset val="1"/>
    </font>
    <font>
      <sz val="8"/>
      <color rgb="FF7A3E00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1F3A5F"/>
      <name val="Arial"/>
      <family val="0"/>
      <charset val="1"/>
    </font>
    <font>
      <b val="true"/>
      <sz val="9"/>
      <color rgb="FF33404D"/>
      <name val="Arial"/>
      <family val="0"/>
      <charset val="1"/>
    </font>
    <font>
      <sz val="8"/>
      <color rgb="FF2E5E8C"/>
      <name val="Arial"/>
      <family val="0"/>
      <charset val="1"/>
    </font>
  </fonts>
  <fills count="61">
    <fill>
      <patternFill patternType="none"/>
    </fill>
    <fill>
      <patternFill patternType="gray125"/>
    </fill>
    <fill>
      <patternFill patternType="solid">
        <fgColor rgb="FF1F3A5F"/>
        <bgColor rgb="FF33404D"/>
      </patternFill>
    </fill>
    <fill>
      <patternFill patternType="solid">
        <fgColor rgb="FF2D606D"/>
        <bgColor rgb="FF33404D"/>
      </patternFill>
    </fill>
    <fill>
      <patternFill patternType="solid">
        <fgColor rgb="FFEEF4FA"/>
        <bgColor rgb="FFEFF5FA"/>
      </patternFill>
    </fill>
    <fill>
      <patternFill patternType="solid">
        <fgColor rgb="FFE1EDF6"/>
        <bgColor rgb="FFE3E8F4"/>
      </patternFill>
    </fill>
    <fill>
      <patternFill patternType="solid">
        <fgColor rgb="FFD3E3F1"/>
        <bgColor rgb="FFE3E8F4"/>
      </patternFill>
    </fill>
    <fill>
      <patternFill patternType="solid">
        <fgColor rgb="FFC0D5E8"/>
        <bgColor rgb="FFAEC8DF"/>
      </patternFill>
    </fill>
    <fill>
      <patternFill patternType="solid">
        <fgColor rgb="FFAEC8DF"/>
        <bgColor rgb="FFC0D5E8"/>
      </patternFill>
    </fill>
    <fill>
      <patternFill patternType="solid">
        <fgColor rgb="FF9BBAD6"/>
        <bgColor rgb="FFAEC8DF"/>
      </patternFill>
    </fill>
    <fill>
      <patternFill patternType="solid">
        <fgColor rgb="FFE8ECF3"/>
        <bgColor rgb="FFEAEFF6"/>
      </patternFill>
    </fill>
    <fill>
      <patternFill patternType="solid">
        <fgColor rgb="FFFFFFFF"/>
        <bgColor rgb="FFFCFCFC"/>
      </patternFill>
    </fill>
    <fill>
      <patternFill patternType="darkGray">
        <fgColor rgb="FFE3E8F4"/>
        <bgColor rgb="FFE1EDF6"/>
      </patternFill>
    </fill>
    <fill>
      <patternFill patternType="solid">
        <fgColor rgb="FFE1EDF6"/>
        <bgColor rgb="FFE3E8F4"/>
      </patternFill>
    </fill>
    <fill>
      <patternFill patternType="solid">
        <fgColor rgb="FFE8F0F8"/>
        <bgColor rgb="FFEAEFF6"/>
      </patternFill>
    </fill>
    <fill>
      <patternFill patternType="solid">
        <fgColor rgb="FFFCFCFC"/>
        <bgColor rgb="FFFFFFFF"/>
      </patternFill>
    </fill>
    <fill>
      <patternFill patternType="solid">
        <fgColor rgb="FFF6FAFC"/>
        <bgColor rgb="FFFCFCFC"/>
      </patternFill>
    </fill>
    <fill>
      <patternFill patternType="solid">
        <fgColor rgb="FFEFF5FA"/>
        <bgColor rgb="FFEEF4FA"/>
      </patternFill>
    </fill>
    <fill>
      <patternFill patternType="solid">
        <fgColor rgb="FFE8F0F8"/>
        <bgColor rgb="FFEAEFF6"/>
      </patternFill>
    </fill>
    <fill>
      <patternFill patternType="darkGray">
        <fgColor rgb="FFE1EDF6"/>
        <bgColor rgb="FFE3E8F4"/>
      </patternFill>
    </fill>
    <fill>
      <patternFill patternType="darkGray">
        <fgColor rgb="FFD3E3F1"/>
        <bgColor rgb="FFE3E8F4"/>
      </patternFill>
    </fill>
    <fill>
      <patternFill patternType="solid">
        <fgColor rgb="FFE1EDF6"/>
        <bgColor rgb="FFE8F0F8"/>
      </patternFill>
    </fill>
    <fill>
      <patternFill patternType="solid">
        <fgColor rgb="FFFBEEDD"/>
        <bgColor rgb="FFFBEFE0"/>
      </patternFill>
    </fill>
    <fill>
      <patternFill patternType="darkGray">
        <fgColor rgb="FFE8ECF3"/>
        <bgColor rgb="FFE1EDF6"/>
      </patternFill>
    </fill>
    <fill>
      <patternFill patternType="solid">
        <fgColor rgb="FFECEFF6"/>
        <bgColor rgb="FFEAEFF6"/>
      </patternFill>
    </fill>
    <fill>
      <patternFill patternType="lightGray">
        <fgColor rgb="FFEAEFF6"/>
        <bgColor rgb="FFE8F0F8"/>
      </patternFill>
    </fill>
    <fill>
      <patternFill patternType="solid">
        <fgColor rgb="FFFBF1E0"/>
        <bgColor rgb="FFFBEFE0"/>
      </patternFill>
    </fill>
    <fill>
      <patternFill patternType="solid">
        <fgColor rgb="FFF1E8F4"/>
        <bgColor rgb="FFF0EAF6"/>
      </patternFill>
    </fill>
    <fill>
      <patternFill patternType="solid">
        <fgColor rgb="FFE9F2E7"/>
        <bgColor rgb="FFE9F2EC"/>
      </patternFill>
    </fill>
    <fill>
      <patternFill patternType="solid">
        <fgColor rgb="FFF4E8E8"/>
        <bgColor rgb="FFF4EAEE"/>
      </patternFill>
    </fill>
    <fill>
      <patternFill patternType="solid">
        <fgColor rgb="FFE9F2EC"/>
        <bgColor rgb="FFE9F2E7"/>
      </patternFill>
    </fill>
    <fill>
      <patternFill patternType="solid">
        <fgColor rgb="FFF0EAF6"/>
        <bgColor rgb="FFEFEAF4"/>
      </patternFill>
    </fill>
    <fill>
      <patternFill patternType="solid">
        <fgColor rgb="FFFBF0E6"/>
        <bgColor rgb="FFFDEFE6"/>
      </patternFill>
    </fill>
    <fill>
      <patternFill patternType="darkGray">
        <fgColor rgb="FFE3E8F4"/>
        <bgColor rgb="FFF1E8F4"/>
      </patternFill>
    </fill>
    <fill>
      <patternFill patternType="solid">
        <fgColor rgb="FFFDEFF4"/>
        <bgColor rgb="FFFAECEC"/>
      </patternFill>
    </fill>
    <fill>
      <patternFill patternType="solid">
        <fgColor rgb="FFFBF4E0"/>
        <bgColor rgb="FFFBF1E0"/>
      </patternFill>
    </fill>
    <fill>
      <patternFill patternType="solid">
        <fgColor rgb="FFF4ECE6"/>
        <bgColor rgb="FFF1EEE6"/>
      </patternFill>
    </fill>
    <fill>
      <patternFill patternType="solid">
        <fgColor rgb="FFE6F2F2"/>
        <bgColor rgb="FFEAF1F4"/>
      </patternFill>
    </fill>
    <fill>
      <patternFill patternType="darkGray">
        <fgColor rgb="FFE6F2F2"/>
        <bgColor rgb="FFE8F0F8"/>
      </patternFill>
    </fill>
    <fill>
      <patternFill patternType="solid">
        <fgColor rgb="FFF3E8DC"/>
        <bgColor rgb="FFF4E8E8"/>
      </patternFill>
    </fill>
    <fill>
      <patternFill patternType="solid">
        <fgColor rgb="FFFDEFE6"/>
        <bgColor rgb="FFFBF0E6"/>
      </patternFill>
    </fill>
    <fill>
      <patternFill patternType="solid">
        <fgColor rgb="FFFBEFE0"/>
        <bgColor rgb="FFFBEEDD"/>
      </patternFill>
    </fill>
    <fill>
      <patternFill patternType="solid">
        <fgColor rgb="FFF7EEE2"/>
        <bgColor rgb="FFFBEFE0"/>
      </patternFill>
    </fill>
    <fill>
      <patternFill patternType="solid">
        <fgColor rgb="FFFBEAEA"/>
        <bgColor rgb="FFFAECEC"/>
      </patternFill>
    </fill>
    <fill>
      <patternFill patternType="solid">
        <fgColor rgb="FFFAECEC"/>
        <bgColor rgb="FFFBEAEA"/>
      </patternFill>
    </fill>
    <fill>
      <patternFill patternType="darkGray">
        <fgColor rgb="FFE9F2E7"/>
        <bgColor rgb="FFE9F2EC"/>
      </patternFill>
    </fill>
    <fill>
      <patternFill patternType="solid">
        <fgColor rgb="FFEDF2E6"/>
        <bgColor rgb="FFEFF0E8"/>
      </patternFill>
    </fill>
    <fill>
      <patternFill patternType="solid">
        <fgColor rgb="FFF3ECF6"/>
        <bgColor rgb="FFF0EAF6"/>
      </patternFill>
    </fill>
    <fill>
      <patternFill patternType="solid">
        <fgColor rgb="FFEEF0F4"/>
        <bgColor rgb="FFECEFF6"/>
      </patternFill>
    </fill>
    <fill>
      <patternFill patternType="solid">
        <fgColor rgb="FFEFEAF4"/>
        <bgColor rgb="FFF0EAF6"/>
      </patternFill>
    </fill>
    <fill>
      <patternFill patternType="solid">
        <fgColor rgb="FFF4EAEE"/>
        <bgColor rgb="FFF4E8E8"/>
      </patternFill>
    </fill>
    <fill>
      <patternFill patternType="solid">
        <fgColor rgb="FFEAEFF6"/>
        <bgColor rgb="FFECEFF6"/>
      </patternFill>
    </fill>
    <fill>
      <patternFill patternType="solid">
        <fgColor rgb="FFEAF1F4"/>
        <bgColor rgb="FFEAF0F2"/>
      </patternFill>
    </fill>
    <fill>
      <patternFill patternType="solid">
        <fgColor rgb="FFEFF0E8"/>
        <bgColor rgb="FFEDF2E6"/>
      </patternFill>
    </fill>
    <fill>
      <patternFill patternType="solid">
        <fgColor rgb="FFF1EEE6"/>
        <bgColor rgb="FFEFF0E8"/>
      </patternFill>
    </fill>
    <fill>
      <patternFill patternType="solid">
        <fgColor rgb="FFEAF0F2"/>
        <bgColor rgb="FFEAF1F4"/>
      </patternFill>
    </fill>
    <fill>
      <patternFill patternType="solid">
        <fgColor rgb="FFFFE699"/>
        <bgColor rgb="FFFCE5CD"/>
      </patternFill>
    </fill>
    <fill>
      <patternFill patternType="solid">
        <fgColor rgb="FFF2F2F2"/>
        <bgColor rgb="FFEEF0F4"/>
      </patternFill>
    </fill>
    <fill>
      <patternFill patternType="solid">
        <fgColor rgb="FFF4CCCC"/>
        <bgColor rgb="FFFCE5CD"/>
      </patternFill>
    </fill>
    <fill>
      <patternFill patternType="solid">
        <fgColor rgb="FFFCE5CD"/>
        <bgColor rgb="FFF3E8DC"/>
      </patternFill>
    </fill>
    <fill>
      <patternFill patternType="solid">
        <fgColor rgb="FFFFF2CC"/>
        <bgColor rgb="FFFBEED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1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1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1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1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1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2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2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2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2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2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2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2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2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3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3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3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3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3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3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3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3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3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4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4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4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4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4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4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4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4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4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5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5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5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5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5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5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5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5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5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5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5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5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8" fillId="5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8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6">
    <dxf>
      <fill>
        <patternFill patternType="solid">
          <fgColor rgb="FF1F3A5F"/>
          <bgColor rgb="FF000000"/>
        </patternFill>
      </fill>
    </dxf>
    <dxf>
      <fill>
        <patternFill patternType="solid">
          <fgColor rgb="FFDCE7F2"/>
          <bgColor rgb="FF000000"/>
        </patternFill>
      </fill>
    </dxf>
    <dxf>
      <fill>
        <patternFill patternType="solid">
          <fgColor rgb="FFE6E0F0"/>
          <bgColor rgb="FF000000"/>
        </patternFill>
      </fill>
    </dxf>
    <dxf>
      <fill>
        <patternFill patternType="solid">
          <fgColor rgb="FFF3E8DC"/>
          <bgColor rgb="FF000000"/>
        </patternFill>
      </fill>
    </dxf>
    <dxf>
      <fill>
        <patternFill patternType="solid">
          <fgColor rgb="FF33404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1EEF6"/>
          <bgColor rgb="FF000000"/>
        </patternFill>
      </fill>
    </dxf>
    <dxf>
      <fill>
        <patternFill patternType="solid">
          <fgColor rgb="FFE2ECF6"/>
          <bgColor rgb="FF000000"/>
        </patternFill>
      </fill>
    </dxf>
    <dxf>
      <fill>
        <patternFill patternType="solid">
          <fgColor rgb="FFE5F1F2"/>
          <bgColor rgb="FF000000"/>
        </patternFill>
      </fill>
    </dxf>
    <dxf>
      <fill>
        <patternFill patternType="solid">
          <fgColor rgb="FFE6ECF5"/>
          <bgColor rgb="FF000000"/>
        </patternFill>
      </fill>
    </dxf>
    <dxf>
      <fill>
        <patternFill patternType="solid">
          <fgColor rgb="FFE6F2F2"/>
          <bgColor rgb="FF000000"/>
        </patternFill>
      </fill>
    </dxf>
    <dxf>
      <fill>
        <patternFill patternType="solid">
          <fgColor rgb="FFE7F0E5"/>
          <bgColor rgb="FF000000"/>
        </patternFill>
      </fill>
    </dxf>
    <dxf>
      <fill>
        <patternFill patternType="solid">
          <fgColor rgb="FFE8EEF6"/>
          <bgColor rgb="FF000000"/>
        </patternFill>
      </fill>
    </dxf>
    <dxf>
      <fill>
        <patternFill patternType="solid">
          <fgColor rgb="FFE9F2EC"/>
          <bgColor rgb="FF000000"/>
        </patternFill>
      </fill>
    </dxf>
    <dxf>
      <fill>
        <patternFill patternType="solid">
          <fgColor rgb="FFEAEFF6"/>
          <bgColor rgb="FF000000"/>
        </patternFill>
      </fill>
    </dxf>
    <dxf>
      <fill>
        <patternFill patternType="solid">
          <fgColor rgb="FFEAF0F2"/>
          <bgColor rgb="FF000000"/>
        </patternFill>
      </fill>
    </dxf>
    <dxf>
      <fill>
        <patternFill patternType="solid">
          <fgColor rgb="FFEAF1F4"/>
          <bgColor rgb="FF000000"/>
        </patternFill>
      </fill>
    </dxf>
    <dxf>
      <fill>
        <patternFill patternType="solid">
          <fgColor rgb="FFEAF2E8"/>
          <bgColor rgb="FF000000"/>
        </patternFill>
      </fill>
    </dxf>
    <dxf>
      <fill>
        <patternFill patternType="solid">
          <fgColor rgb="FFECEFF6"/>
          <bgColor rgb="FF000000"/>
        </patternFill>
      </fill>
    </dxf>
    <dxf>
      <fill>
        <patternFill patternType="solid">
          <fgColor rgb="FFEDF2E6"/>
          <bgColor rgb="FF000000"/>
        </patternFill>
      </fill>
    </dxf>
    <dxf>
      <fill>
        <patternFill patternType="solid">
          <fgColor rgb="FFEEF0F4"/>
          <bgColor rgb="FF000000"/>
        </patternFill>
      </fill>
    </dxf>
    <dxf>
      <fill>
        <patternFill patternType="solid">
          <fgColor rgb="FFEFEAF4"/>
          <bgColor rgb="FF000000"/>
        </patternFill>
      </fill>
    </dxf>
    <dxf>
      <fill>
        <patternFill patternType="solid">
          <fgColor rgb="FFEFF0E8"/>
          <bgColor rgb="FF000000"/>
        </patternFill>
      </fill>
    </dxf>
    <dxf>
      <fill>
        <patternFill patternType="solid">
          <fgColor rgb="FFF0EAF6"/>
          <bgColor rgb="FF000000"/>
        </patternFill>
      </fill>
    </dxf>
    <dxf>
      <fill>
        <patternFill patternType="solid">
          <fgColor rgb="FFF1E8F4"/>
          <bgColor rgb="FF000000"/>
        </patternFill>
      </fill>
    </dxf>
    <dxf>
      <fill>
        <patternFill patternType="solid">
          <fgColor rgb="FFF1EEE6"/>
          <bgColor rgb="FF000000"/>
        </patternFill>
      </fill>
    </dxf>
    <dxf>
      <fill>
        <patternFill patternType="solid">
          <fgColor rgb="FFF3ECF6"/>
          <bgColor rgb="FF000000"/>
        </patternFill>
      </fill>
    </dxf>
    <dxf>
      <fill>
        <patternFill patternType="solid">
          <fgColor rgb="FFF4E8E8"/>
          <bgColor rgb="FF000000"/>
        </patternFill>
      </fill>
    </dxf>
    <dxf>
      <fill>
        <patternFill patternType="solid">
          <fgColor rgb="FFF4EAEE"/>
          <bgColor rgb="FF000000"/>
        </patternFill>
      </fill>
    </dxf>
    <dxf>
      <fill>
        <patternFill patternType="solid">
          <fgColor rgb="FFF4ECE6"/>
          <bgColor rgb="FF000000"/>
        </patternFill>
      </fill>
    </dxf>
    <dxf>
      <fill>
        <patternFill patternType="solid">
          <fgColor rgb="FFF7EEE2"/>
          <bgColor rgb="FF000000"/>
        </patternFill>
      </fill>
    </dxf>
    <dxf>
      <fill>
        <patternFill patternType="solid">
          <fgColor rgb="FFFAECEC"/>
          <bgColor rgb="FF000000"/>
        </patternFill>
      </fill>
    </dxf>
    <dxf>
      <fill>
        <patternFill patternType="solid">
          <fgColor rgb="FFFBEAEA"/>
          <bgColor rgb="FF000000"/>
        </patternFill>
      </fill>
    </dxf>
    <dxf>
      <fill>
        <patternFill patternType="solid">
          <fgColor rgb="FFFBEFE0"/>
          <bgColor rgb="FF000000"/>
        </patternFill>
      </fill>
    </dxf>
    <dxf>
      <fill>
        <patternFill patternType="solid">
          <fgColor rgb="FFFBF0E6"/>
          <bgColor rgb="FF000000"/>
        </patternFill>
      </fill>
    </dxf>
    <dxf>
      <fill>
        <patternFill patternType="solid">
          <fgColor rgb="FFFBF1E0"/>
          <bgColor rgb="FF000000"/>
        </patternFill>
      </fill>
    </dxf>
    <dxf>
      <fill>
        <patternFill patternType="solid">
          <fgColor rgb="FFFBF4E0"/>
          <bgColor rgb="FF000000"/>
        </patternFill>
      </fill>
    </dxf>
    <dxf>
      <fill>
        <patternFill patternType="solid">
          <fgColor rgb="FFFDEFE6"/>
          <bgColor rgb="FF000000"/>
        </patternFill>
      </fill>
    </dxf>
    <dxf>
      <fill>
        <patternFill patternType="solid">
          <fgColor rgb="FFFDEFF4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8"/>
          <bgColor rgb="FF000000"/>
        </patternFill>
      </fill>
    </dxf>
    <dxf>
      <fill>
        <patternFill patternType="solid">
          <fgColor rgb="FFFBEEDD"/>
          <bgColor rgb="FF000000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fgColor rgb="FF7A3E00"/>
          <bgColor rgb="FF000000"/>
        </patternFill>
      </fill>
    </dxf>
    <dxf>
      <fill>
        <patternFill patternType="solid">
          <fgColor rgb="FFFCFCFC"/>
          <bgColor rgb="FF000000"/>
        </patternFill>
      </fill>
    </dxf>
    <dxf>
      <fill>
        <patternFill patternType="solid">
          <fgColor rgb="FFF6FAFC"/>
          <bgColor rgb="FF000000"/>
        </patternFill>
      </fill>
    </dxf>
    <dxf>
      <fill>
        <patternFill patternType="solid">
          <fgColor rgb="FFEFF5FA"/>
          <bgColor rgb="FF000000"/>
        </patternFill>
      </fill>
    </dxf>
    <dxf>
      <fill>
        <patternFill patternType="solid">
          <fgColor rgb="FFE7F0F8"/>
          <bgColor rgb="FF000000"/>
        </patternFill>
      </fill>
    </dxf>
    <dxf>
      <fill>
        <patternFill patternType="solid">
          <fgColor rgb="FFDEEAF4"/>
          <bgColor rgb="FF000000"/>
        </patternFill>
      </fill>
    </dxf>
    <dxf>
      <fill>
        <patternFill patternType="solid">
          <fgColor rgb="FFD5E4F1"/>
          <bgColor rgb="FF000000"/>
        </patternFill>
      </fill>
    </dxf>
    <dxf>
      <font>
        <name val="Arial"/>
        <charset val="1"/>
        <family val="0"/>
        <b val="1"/>
        <color rgb="FF38761D"/>
        <sz val="9"/>
      </font>
      <fill>
        <patternFill>
          <bgColor rgb="FFC6E0B4"/>
        </patternFill>
      </fill>
    </dxf>
    <dxf>
      <font>
        <name val="Arial"/>
        <charset val="1"/>
        <family val="0"/>
        <b val="1"/>
        <color rgb="FF7F6000"/>
        <sz val="9"/>
      </font>
      <fill>
        <patternFill>
          <bgColor rgb="FFFFE699"/>
        </patternFill>
      </fill>
    </dxf>
    <dxf>
      <font>
        <name val="Arial"/>
        <charset val="1"/>
        <family val="0"/>
        <b val="1"/>
        <color rgb="FF990000"/>
        <sz val="9"/>
      </font>
      <fill>
        <patternFill>
          <bgColor rgb="FFF4CCCC"/>
        </patternFill>
      </fill>
    </dxf>
    <dxf>
      <font>
        <name val="Arial"/>
        <charset val="1"/>
        <family val="0"/>
        <b val="1"/>
        <color rgb="FF8A4B00"/>
        <sz val="9"/>
      </font>
      <fill>
        <patternFill>
          <bgColor rgb="FFFCE5CD"/>
        </patternFill>
      </fill>
    </dxf>
    <dxf>
      <font>
        <name val="Arial"/>
        <charset val="1"/>
        <family val="0"/>
        <color rgb="FF990000"/>
        <sz val="9"/>
      </font>
      <fill>
        <patternFill>
          <bgColor rgb="FFFCE4E4"/>
        </patternFill>
      </fill>
    </dxf>
  </dxfs>
  <colors>
    <indexedColors>
      <rgbColor rgb="FF000000"/>
      <rgbColor rgb="FFFFFFFF"/>
      <rgbColor rgb="FFFBEFE0"/>
      <rgbColor rgb="FFEDF2E6"/>
      <rgbColor rgb="FFEFF5FA"/>
      <rgbColor rgb="FFFBEEDD"/>
      <rgbColor rgb="FFFAECEC"/>
      <rgbColor rgb="FFE8F0F8"/>
      <rgbColor rgb="FF990000"/>
      <rgbColor rgb="FFF1EEE6"/>
      <rgbColor rgb="FFF6FAFC"/>
      <rgbColor rgb="FFF4ECE6"/>
      <rgbColor rgb="FFFDEFE6"/>
      <rgbColor rgb="FFEAF1F4"/>
      <rgbColor rgb="FFBFBFBF"/>
      <rgbColor rgb="FFF1E8F4"/>
      <rgbColor rgb="FF9BBAD6"/>
      <rgbColor rgb="FFF4EAEE"/>
      <rgbColor rgb="FFFFF2CC"/>
      <rgbColor rgb="FFE6F2F2"/>
      <rgbColor rgb="FFFBF1E0"/>
      <rgbColor rgb="FFF3E8DC"/>
      <rgbColor rgb="FFEEF0F4"/>
      <rgbColor rgb="FFC0D5E8"/>
      <rgbColor rgb="FFFCFCFC"/>
      <rgbColor rgb="FFF7EEE2"/>
      <rgbColor rgb="FFFBF4E0"/>
      <rgbColor rgb="FFE9F2EC"/>
      <rgbColor rgb="FFFBF0E6"/>
      <rgbColor rgb="FFF2F2F2"/>
      <rgbColor rgb="FFECEFF6"/>
      <rgbColor rgb="FFFDEFF4"/>
      <rgbColor rgb="FFEAEFF6"/>
      <rgbColor rgb="FFE1EDF6"/>
      <rgbColor rgb="FFE9F2E7"/>
      <rgbColor rgb="FFFFE699"/>
      <rgbColor rgb="FFAEC8DF"/>
      <rgbColor rgb="FFFCE4E4"/>
      <rgbColor rgb="FFD3E3F1"/>
      <rgbColor rgb="FFF4CCCC"/>
      <rgbColor rgb="FFEFEAF4"/>
      <rgbColor rgb="FFE8ECF3"/>
      <rgbColor rgb="FFE3E8F4"/>
      <rgbColor rgb="FFFCE5CD"/>
      <rgbColor rgb="FFF4E8E8"/>
      <rgbColor rgb="FFFBEAEA"/>
      <rgbColor rgb="FF2D606D"/>
      <rgbColor rgb="FFC6E0B4"/>
      <rgbColor rgb="FF1F3A5F"/>
      <rgbColor rgb="FFEAF0F2"/>
      <rgbColor rgb="FFEEF4FA"/>
      <rgbColor rgb="FFEFF0E8"/>
      <rgbColor rgb="FF814C00"/>
      <rgbColor rgb="FFF0EAF6"/>
      <rgbColor rgb="FFF3ECF6"/>
      <rgbColor rgb="FF3340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7"/>
    <col collapsed="false" customWidth="true" hidden="false" outlineLevel="0" max="5" min="3" style="0" width="30"/>
    <col collapsed="false" customWidth="true" hidden="false" outlineLevel="0" max="6" min="6" style="0" width="16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33.7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6" hidden="false" customHeight="true" outlineLevel="0" collapsed="false">
      <c r="B4" s="3"/>
      <c r="C4" s="3"/>
      <c r="D4" s="3"/>
      <c r="E4" s="3"/>
      <c r="F4" s="3"/>
    </row>
    <row r="5" customFormat="false" ht="19.5" hidden="false" customHeight="true" outlineLevel="0" collapsed="false">
      <c r="B5" s="4" t="s">
        <v>2</v>
      </c>
      <c r="C5" s="4"/>
      <c r="D5" s="4"/>
      <c r="E5" s="4"/>
      <c r="F5" s="4"/>
    </row>
    <row r="6" customFormat="false" ht="45.75" hidden="false" customHeight="true" outlineLevel="0" collapsed="false">
      <c r="B6" s="5" t="s">
        <v>3</v>
      </c>
      <c r="C6" s="5"/>
      <c r="D6" s="5"/>
      <c r="E6" s="5"/>
      <c r="F6" s="5"/>
    </row>
    <row r="7" customFormat="false" ht="19.5" hidden="false" customHeight="true" outlineLevel="0" collapsed="false">
      <c r="B7" s="4" t="s">
        <v>4</v>
      </c>
      <c r="C7" s="4"/>
      <c r="D7" s="4"/>
      <c r="E7" s="4"/>
      <c r="F7" s="4"/>
    </row>
    <row r="8" customFormat="false" ht="43.5" hidden="false" customHeight="true" outlineLevel="0" collapsed="false">
      <c r="B8" s="6" t="s">
        <v>5</v>
      </c>
      <c r="C8" s="3" t="s">
        <v>6</v>
      </c>
      <c r="D8" s="3"/>
      <c r="E8" s="3"/>
      <c r="F8" s="3"/>
    </row>
    <row r="9" customFormat="false" ht="43.5" hidden="false" customHeight="true" outlineLevel="0" collapsed="false">
      <c r="B9" s="6" t="s">
        <v>7</v>
      </c>
      <c r="C9" s="3" t="s">
        <v>8</v>
      </c>
      <c r="D9" s="3"/>
      <c r="E9" s="3"/>
      <c r="F9" s="3"/>
    </row>
    <row r="10" customFormat="false" ht="19.5" hidden="false" customHeight="true" outlineLevel="0" collapsed="false">
      <c r="B10" s="4" t="s">
        <v>9</v>
      </c>
      <c r="C10" s="4"/>
      <c r="D10" s="4"/>
      <c r="E10" s="4"/>
      <c r="F10" s="4"/>
    </row>
    <row r="11" customFormat="false" ht="45.75" hidden="false" customHeight="true" outlineLevel="0" collapsed="false">
      <c r="B11" s="5" t="s">
        <v>10</v>
      </c>
      <c r="C11" s="5"/>
      <c r="D11" s="5"/>
      <c r="E11" s="5"/>
      <c r="F11" s="5"/>
    </row>
    <row r="12" customFormat="false" ht="19.5" hidden="false" customHeight="true" outlineLevel="0" collapsed="false">
      <c r="B12" s="4" t="s">
        <v>11</v>
      </c>
      <c r="C12" s="4"/>
      <c r="D12" s="4"/>
      <c r="E12" s="4"/>
      <c r="F12" s="4"/>
    </row>
    <row r="13" customFormat="false" ht="43.5" hidden="false" customHeight="true" outlineLevel="0" collapsed="false">
      <c r="B13" s="6" t="s">
        <v>12</v>
      </c>
      <c r="C13" s="3" t="s">
        <v>13</v>
      </c>
      <c r="D13" s="3"/>
      <c r="E13" s="3"/>
      <c r="F13" s="3"/>
    </row>
    <row r="14" customFormat="false" ht="43.5" hidden="false" customHeight="true" outlineLevel="0" collapsed="false">
      <c r="B14" s="6" t="s">
        <v>14</v>
      </c>
      <c r="C14" s="3" t="s">
        <v>15</v>
      </c>
      <c r="D14" s="3"/>
      <c r="E14" s="3"/>
      <c r="F14" s="3"/>
    </row>
    <row r="15" customFormat="false" ht="43.5" hidden="false" customHeight="true" outlineLevel="0" collapsed="false">
      <c r="B15" s="6" t="s">
        <v>16</v>
      </c>
      <c r="C15" s="3" t="s">
        <v>17</v>
      </c>
      <c r="D15" s="3"/>
      <c r="E15" s="3"/>
      <c r="F15" s="3"/>
    </row>
    <row r="16" customFormat="false" ht="43.5" hidden="false" customHeight="true" outlineLevel="0" collapsed="false">
      <c r="B16" s="6" t="s">
        <v>18</v>
      </c>
      <c r="C16" s="3" t="s">
        <v>19</v>
      </c>
      <c r="D16" s="3"/>
      <c r="E16" s="3"/>
      <c r="F16" s="3"/>
    </row>
    <row r="17" customFormat="false" ht="43.5" hidden="false" customHeight="true" outlineLevel="0" collapsed="false">
      <c r="B17" s="6" t="s">
        <v>20</v>
      </c>
      <c r="C17" s="3" t="s">
        <v>21</v>
      </c>
      <c r="D17" s="3"/>
      <c r="E17" s="3"/>
      <c r="F17" s="3"/>
    </row>
    <row r="18" customFormat="false" ht="43.5" hidden="false" customHeight="true" outlineLevel="0" collapsed="false">
      <c r="B18" s="6" t="s">
        <v>22</v>
      </c>
      <c r="C18" s="3" t="s">
        <v>23</v>
      </c>
      <c r="D18" s="3"/>
      <c r="E18" s="3"/>
      <c r="F18" s="3"/>
    </row>
    <row r="19" customFormat="false" ht="19.5" hidden="false" customHeight="true" outlineLevel="0" collapsed="false">
      <c r="B19" s="4" t="s">
        <v>24</v>
      </c>
      <c r="C19" s="4"/>
      <c r="D19" s="4"/>
      <c r="E19" s="4"/>
      <c r="F19" s="4"/>
    </row>
    <row r="20" customFormat="false" ht="45.75" hidden="false" customHeight="true" outlineLevel="0" collapsed="false">
      <c r="B20" s="5" t="s">
        <v>25</v>
      </c>
      <c r="C20" s="5"/>
      <c r="D20" s="5"/>
      <c r="E20" s="5"/>
      <c r="F20" s="5"/>
    </row>
  </sheetData>
  <mergeCells count="19">
    <mergeCell ref="A1:F1"/>
    <mergeCell ref="A2:F2"/>
    <mergeCell ref="B4:F4"/>
    <mergeCell ref="B5:F5"/>
    <mergeCell ref="B6:F6"/>
    <mergeCell ref="B7:F7"/>
    <mergeCell ref="C8:F8"/>
    <mergeCell ref="C9:F9"/>
    <mergeCell ref="B10:F10"/>
    <mergeCell ref="B11:F11"/>
    <mergeCell ref="B12:F12"/>
    <mergeCell ref="C13:F13"/>
    <mergeCell ref="C14:F14"/>
    <mergeCell ref="C15:F15"/>
    <mergeCell ref="C16:F16"/>
    <mergeCell ref="C17:F17"/>
    <mergeCell ref="C18:F18"/>
    <mergeCell ref="B19:F19"/>
    <mergeCell ref="B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7" min="4" style="0" width="28"/>
  </cols>
  <sheetData>
    <row r="1" customFormat="false" ht="25.5" hidden="false" customHeight="true" outlineLevel="0" collapsed="false">
      <c r="A1" s="1" t="s">
        <v>26</v>
      </c>
      <c r="B1" s="1"/>
      <c r="C1" s="1"/>
      <c r="D1" s="1"/>
      <c r="E1" s="1"/>
      <c r="F1" s="1"/>
      <c r="G1" s="1"/>
    </row>
    <row r="2" customFormat="false" ht="33.75" hidden="false" customHeight="true" outlineLevel="0" collapsed="false">
      <c r="A2" s="2" t="s">
        <v>27</v>
      </c>
      <c r="B2" s="2"/>
      <c r="C2" s="2"/>
      <c r="D2" s="2"/>
      <c r="E2" s="2"/>
      <c r="F2" s="2"/>
      <c r="G2" s="2"/>
    </row>
    <row r="4" customFormat="false" ht="23.85" hidden="false" customHeight="false" outlineLevel="0" collapsed="false">
      <c r="A4" s="7" t="s">
        <v>28</v>
      </c>
      <c r="B4" s="7" t="s">
        <v>29</v>
      </c>
      <c r="C4" s="7" t="s">
        <v>30</v>
      </c>
      <c r="D4" s="7" t="s">
        <v>31</v>
      </c>
      <c r="E4" s="7" t="s">
        <v>32</v>
      </c>
      <c r="F4" s="7" t="s">
        <v>33</v>
      </c>
      <c r="G4" s="7" t="s">
        <v>34</v>
      </c>
    </row>
    <row r="5" customFormat="false" ht="63.75" hidden="false" customHeight="true" outlineLevel="0" collapsed="false">
      <c r="A5" s="8" t="s">
        <v>35</v>
      </c>
      <c r="B5" s="9" t="s">
        <v>36</v>
      </c>
      <c r="C5" s="10" t="s">
        <v>37</v>
      </c>
      <c r="D5" s="10" t="s">
        <v>38</v>
      </c>
      <c r="E5" s="10" t="s">
        <v>39</v>
      </c>
      <c r="F5" s="10" t="s">
        <v>40</v>
      </c>
      <c r="G5" s="10" t="s">
        <v>41</v>
      </c>
    </row>
    <row r="6" customFormat="false" ht="63.75" hidden="false" customHeight="true" outlineLevel="0" collapsed="false">
      <c r="A6" s="11" t="s">
        <v>42</v>
      </c>
      <c r="B6" s="12" t="s">
        <v>43</v>
      </c>
      <c r="C6" s="13" t="s">
        <v>44</v>
      </c>
      <c r="D6" s="13" t="s">
        <v>45</v>
      </c>
      <c r="E6" s="13" t="s">
        <v>46</v>
      </c>
      <c r="F6" s="13" t="s">
        <v>47</v>
      </c>
      <c r="G6" s="13" t="s">
        <v>48</v>
      </c>
    </row>
    <row r="7" customFormat="false" ht="63.75" hidden="false" customHeight="true" outlineLevel="0" collapsed="false">
      <c r="A7" s="14" t="s">
        <v>49</v>
      </c>
      <c r="B7" s="15" t="s">
        <v>50</v>
      </c>
      <c r="C7" s="16" t="s">
        <v>51</v>
      </c>
      <c r="D7" s="16" t="s">
        <v>52</v>
      </c>
      <c r="E7" s="16" t="s">
        <v>53</v>
      </c>
      <c r="F7" s="16" t="s">
        <v>54</v>
      </c>
      <c r="G7" s="16" t="s">
        <v>55</v>
      </c>
    </row>
    <row r="8" customFormat="false" ht="63.75" hidden="false" customHeight="true" outlineLevel="0" collapsed="false">
      <c r="A8" s="17" t="s">
        <v>56</v>
      </c>
      <c r="B8" s="18" t="s">
        <v>57</v>
      </c>
      <c r="C8" s="19" t="s">
        <v>50</v>
      </c>
      <c r="D8" s="19" t="s">
        <v>58</v>
      </c>
      <c r="E8" s="19" t="s">
        <v>59</v>
      </c>
      <c r="F8" s="19" t="s">
        <v>60</v>
      </c>
      <c r="G8" s="19" t="s">
        <v>61</v>
      </c>
    </row>
    <row r="9" customFormat="false" ht="63.75" hidden="false" customHeight="true" outlineLevel="0" collapsed="false">
      <c r="A9" s="20" t="s">
        <v>62</v>
      </c>
      <c r="B9" s="21" t="s">
        <v>63</v>
      </c>
      <c r="C9" s="22" t="s">
        <v>57</v>
      </c>
      <c r="D9" s="22" t="s">
        <v>64</v>
      </c>
      <c r="E9" s="22" t="s">
        <v>65</v>
      </c>
      <c r="F9" s="22" t="s">
        <v>66</v>
      </c>
      <c r="G9" s="22" t="s">
        <v>67</v>
      </c>
    </row>
    <row r="10" customFormat="false" ht="63.75" hidden="false" customHeight="true" outlineLevel="0" collapsed="false">
      <c r="A10" s="23" t="s">
        <v>68</v>
      </c>
      <c r="B10" s="24" t="s">
        <v>69</v>
      </c>
      <c r="C10" s="25" t="s">
        <v>70</v>
      </c>
      <c r="D10" s="25" t="s">
        <v>71</v>
      </c>
      <c r="E10" s="25" t="s">
        <v>72</v>
      </c>
      <c r="F10" s="25" t="s">
        <v>73</v>
      </c>
      <c r="G10" s="25" t="s">
        <v>74</v>
      </c>
    </row>
    <row r="12" customFormat="false" ht="24" hidden="false" customHeight="true" outlineLevel="0" collapsed="false">
      <c r="A12" s="26" t="s">
        <v>75</v>
      </c>
      <c r="B12" s="26"/>
      <c r="C12" s="26"/>
      <c r="D12" s="26"/>
      <c r="E12" s="26"/>
      <c r="F12" s="26"/>
      <c r="G12" s="26"/>
    </row>
  </sheetData>
  <mergeCells count="3">
    <mergeCell ref="A1:G1"/>
    <mergeCell ref="A2:G2"/>
    <mergeCell ref="A12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9"/>
    <col collapsed="false" customWidth="true" hidden="false" outlineLevel="0" max="5" min="4" style="0" width="20"/>
    <col collapsed="false" customWidth="true" hidden="false" outlineLevel="0" max="6" min="6" style="0" width="16"/>
    <col collapsed="false" customWidth="true" hidden="false" outlineLevel="0" max="7" min="7" style="0" width="34"/>
  </cols>
  <sheetData>
    <row r="1" customFormat="false" ht="25.5" hidden="false" customHeight="true" outlineLevel="0" collapsed="false">
      <c r="A1" s="1" t="s">
        <v>76</v>
      </c>
      <c r="B1" s="1"/>
      <c r="C1" s="1"/>
      <c r="D1" s="1"/>
      <c r="E1" s="1"/>
      <c r="F1" s="1"/>
      <c r="G1" s="1"/>
    </row>
    <row r="2" customFormat="false" ht="33.75" hidden="false" customHeight="true" outlineLevel="0" collapsed="false">
      <c r="A2" s="2" t="s">
        <v>77</v>
      </c>
      <c r="B2" s="2"/>
      <c r="C2" s="2"/>
      <c r="D2" s="2"/>
      <c r="E2" s="2"/>
      <c r="F2" s="2"/>
      <c r="G2" s="2"/>
    </row>
    <row r="4" customFormat="false" ht="23.85" hidden="false" customHeight="false" outlineLevel="0" collapsed="false">
      <c r="A4" s="7" t="s">
        <v>78</v>
      </c>
      <c r="B4" s="7" t="s">
        <v>79</v>
      </c>
      <c r="C4" s="7" t="s">
        <v>80</v>
      </c>
      <c r="D4" s="7" t="s">
        <v>81</v>
      </c>
      <c r="E4" s="7" t="s">
        <v>82</v>
      </c>
      <c r="F4" s="7" t="s">
        <v>83</v>
      </c>
      <c r="G4" s="7" t="s">
        <v>84</v>
      </c>
    </row>
    <row r="5" customFormat="false" ht="39.75" hidden="false" customHeight="true" outlineLevel="0" collapsed="false">
      <c r="A5" s="27" t="s">
        <v>85</v>
      </c>
      <c r="B5" s="28" t="s">
        <v>86</v>
      </c>
      <c r="C5" s="28" t="s">
        <v>87</v>
      </c>
      <c r="D5" s="28" t="s">
        <v>88</v>
      </c>
      <c r="E5" s="28" t="s">
        <v>89</v>
      </c>
      <c r="F5" s="28" t="s">
        <v>90</v>
      </c>
      <c r="G5" s="29" t="s">
        <v>91</v>
      </c>
    </row>
    <row r="6" customFormat="false" ht="39.75" hidden="false" customHeight="true" outlineLevel="0" collapsed="false">
      <c r="A6" s="30" t="s">
        <v>92</v>
      </c>
      <c r="B6" s="31" t="s">
        <v>93</v>
      </c>
      <c r="C6" s="31" t="s">
        <v>94</v>
      </c>
      <c r="D6" s="31" t="s">
        <v>95</v>
      </c>
      <c r="E6" s="31" t="s">
        <v>89</v>
      </c>
      <c r="F6" s="31" t="s">
        <v>96</v>
      </c>
      <c r="G6" s="32" t="s">
        <v>97</v>
      </c>
    </row>
    <row r="7" customFormat="false" ht="39.75" hidden="false" customHeight="true" outlineLevel="0" collapsed="false">
      <c r="A7" s="27" t="s">
        <v>98</v>
      </c>
      <c r="B7" s="28" t="s">
        <v>99</v>
      </c>
      <c r="C7" s="28" t="s">
        <v>100</v>
      </c>
      <c r="D7" s="28" t="s">
        <v>101</v>
      </c>
      <c r="E7" s="28" t="s">
        <v>102</v>
      </c>
      <c r="F7" s="28" t="s">
        <v>103</v>
      </c>
      <c r="G7" s="29" t="s">
        <v>104</v>
      </c>
    </row>
    <row r="8" customFormat="false" ht="39.75" hidden="false" customHeight="true" outlineLevel="0" collapsed="false">
      <c r="A8" s="30" t="s">
        <v>105</v>
      </c>
      <c r="B8" s="31" t="s">
        <v>106</v>
      </c>
      <c r="C8" s="31" t="s">
        <v>107</v>
      </c>
      <c r="D8" s="31" t="s">
        <v>108</v>
      </c>
      <c r="E8" s="31" t="s">
        <v>109</v>
      </c>
      <c r="F8" s="31" t="s">
        <v>110</v>
      </c>
      <c r="G8" s="32" t="s">
        <v>111</v>
      </c>
    </row>
    <row r="9" customFormat="false" ht="39.75" hidden="false" customHeight="true" outlineLevel="0" collapsed="false">
      <c r="A9" s="27" t="s">
        <v>112</v>
      </c>
      <c r="B9" s="28" t="s">
        <v>113</v>
      </c>
      <c r="C9" s="28" t="s">
        <v>114</v>
      </c>
      <c r="D9" s="28" t="s">
        <v>115</v>
      </c>
      <c r="E9" s="28" t="s">
        <v>116</v>
      </c>
      <c r="F9" s="28" t="s">
        <v>117</v>
      </c>
      <c r="G9" s="29" t="s">
        <v>118</v>
      </c>
    </row>
    <row r="10" customFormat="false" ht="39.75" hidden="false" customHeight="true" outlineLevel="0" collapsed="false">
      <c r="A10" s="30" t="s">
        <v>119</v>
      </c>
      <c r="B10" s="31" t="s">
        <v>120</v>
      </c>
      <c r="C10" s="31" t="s">
        <v>121</v>
      </c>
      <c r="D10" s="31" t="s">
        <v>122</v>
      </c>
      <c r="E10" s="31" t="s">
        <v>123</v>
      </c>
      <c r="F10" s="31" t="s">
        <v>124</v>
      </c>
      <c r="G10" s="32" t="s">
        <v>125</v>
      </c>
    </row>
    <row r="12" customFormat="false" ht="43.5" hidden="false" customHeight="true" outlineLevel="0" collapsed="false">
      <c r="A12" s="33" t="s">
        <v>126</v>
      </c>
      <c r="B12" s="33"/>
      <c r="C12" s="33"/>
      <c r="D12" s="33"/>
      <c r="E12" s="33"/>
      <c r="F12" s="33"/>
      <c r="G12" s="33"/>
    </row>
  </sheetData>
  <mergeCells count="3">
    <mergeCell ref="A1:G1"/>
    <mergeCell ref="A2:G2"/>
    <mergeCell ref="A12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"/>
    <col collapsed="false" customWidth="true" hidden="false" outlineLevel="0" max="3" min="3" style="0" width="22"/>
    <col collapsed="false" customWidth="true" hidden="false" outlineLevel="0" max="4" min="4" style="0" width="21"/>
    <col collapsed="false" customWidth="true" hidden="false" outlineLevel="0" max="5" min="5" style="0" width="27"/>
    <col collapsed="false" customWidth="true" hidden="false" outlineLevel="0" max="6" min="6" style="0" width="10"/>
    <col collapsed="false" customWidth="true" hidden="false" outlineLevel="0" max="7" min="7" style="0" width="33"/>
    <col collapsed="false" customWidth="true" hidden="false" outlineLevel="0" max="13" min="8" style="0" width="26"/>
  </cols>
  <sheetData>
    <row r="1" customFormat="false" ht="25.5" hidden="false" customHeight="true" outlineLevel="0" collapsed="false">
      <c r="A1" s="1" t="s">
        <v>127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33.75" hidden="false" customHeight="true" outlineLevel="0" collapsed="false">
      <c r="A2" s="2" t="s">
        <v>128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25.5" hidden="false" customHeight="true" outlineLevel="0" collapsed="false">
      <c r="A4" s="34" t="s">
        <v>129</v>
      </c>
      <c r="B4" s="34" t="s">
        <v>130</v>
      </c>
      <c r="C4" s="34" t="s">
        <v>99</v>
      </c>
      <c r="D4" s="34" t="s">
        <v>131</v>
      </c>
      <c r="E4" s="34" t="s">
        <v>132</v>
      </c>
      <c r="F4" s="34" t="s">
        <v>133</v>
      </c>
      <c r="G4" s="34" t="s">
        <v>134</v>
      </c>
      <c r="H4" s="34" t="s">
        <v>135</v>
      </c>
      <c r="I4" s="34" t="s">
        <v>136</v>
      </c>
      <c r="J4" s="34" t="s">
        <v>137</v>
      </c>
      <c r="K4" s="34" t="s">
        <v>138</v>
      </c>
      <c r="L4" s="34" t="s">
        <v>139</v>
      </c>
      <c r="M4" s="34" t="s">
        <v>140</v>
      </c>
    </row>
    <row r="5" customFormat="false" ht="57.75" hidden="false" customHeight="true" outlineLevel="0" collapsed="false">
      <c r="A5" s="35" t="s">
        <v>141</v>
      </c>
      <c r="B5" s="36" t="s">
        <v>142</v>
      </c>
      <c r="C5" s="37" t="s">
        <v>143</v>
      </c>
      <c r="D5" s="38" t="s">
        <v>144</v>
      </c>
      <c r="E5" s="39" t="s">
        <v>145</v>
      </c>
      <c r="F5" s="40" t="s">
        <v>146</v>
      </c>
      <c r="G5" s="41" t="s">
        <v>147</v>
      </c>
      <c r="H5" s="42" t="s">
        <v>148</v>
      </c>
      <c r="I5" s="43" t="s">
        <v>149</v>
      </c>
      <c r="J5" s="44" t="s">
        <v>150</v>
      </c>
      <c r="K5" s="45" t="s">
        <v>151</v>
      </c>
      <c r="L5" s="46" t="s">
        <v>152</v>
      </c>
      <c r="M5" s="47" t="s">
        <v>153</v>
      </c>
    </row>
    <row r="6" customFormat="false" ht="57.75" hidden="false" customHeight="true" outlineLevel="0" collapsed="false">
      <c r="A6" s="35" t="s">
        <v>141</v>
      </c>
      <c r="B6" s="36" t="s">
        <v>154</v>
      </c>
      <c r="C6" s="37" t="s">
        <v>143</v>
      </c>
      <c r="D6" s="38" t="s">
        <v>144</v>
      </c>
      <c r="E6" s="39" t="s">
        <v>155</v>
      </c>
      <c r="F6" s="40" t="s">
        <v>146</v>
      </c>
      <c r="G6" s="41" t="s">
        <v>156</v>
      </c>
      <c r="H6" s="42" t="s">
        <v>157</v>
      </c>
      <c r="I6" s="43" t="s">
        <v>158</v>
      </c>
      <c r="J6" s="44" t="s">
        <v>159</v>
      </c>
      <c r="K6" s="45" t="s">
        <v>160</v>
      </c>
      <c r="L6" s="46" t="s">
        <v>161</v>
      </c>
      <c r="M6" s="47" t="s">
        <v>162</v>
      </c>
    </row>
    <row r="7" customFormat="false" ht="57.75" hidden="false" customHeight="true" outlineLevel="0" collapsed="false">
      <c r="A7" s="35" t="s">
        <v>141</v>
      </c>
      <c r="B7" s="36" t="s">
        <v>163</v>
      </c>
      <c r="C7" s="37" t="s">
        <v>143</v>
      </c>
      <c r="D7" s="38" t="s">
        <v>144</v>
      </c>
      <c r="E7" s="39" t="s">
        <v>164</v>
      </c>
      <c r="F7" s="40" t="s">
        <v>146</v>
      </c>
      <c r="G7" s="41" t="s">
        <v>165</v>
      </c>
      <c r="H7" s="42" t="s">
        <v>166</v>
      </c>
      <c r="I7" s="43" t="s">
        <v>167</v>
      </c>
      <c r="J7" s="44" t="s">
        <v>168</v>
      </c>
      <c r="K7" s="45" t="s">
        <v>169</v>
      </c>
      <c r="L7" s="46" t="s">
        <v>170</v>
      </c>
      <c r="M7" s="47" t="s">
        <v>171</v>
      </c>
    </row>
    <row r="8" customFormat="false" ht="57.75" hidden="false" customHeight="true" outlineLevel="0" collapsed="false">
      <c r="A8" s="35" t="s">
        <v>141</v>
      </c>
      <c r="B8" s="36" t="s">
        <v>172</v>
      </c>
      <c r="C8" s="37" t="s">
        <v>143</v>
      </c>
      <c r="D8" s="38" t="s">
        <v>144</v>
      </c>
      <c r="E8" s="39" t="s">
        <v>173</v>
      </c>
      <c r="F8" s="40" t="s">
        <v>146</v>
      </c>
      <c r="G8" s="41" t="s">
        <v>174</v>
      </c>
      <c r="H8" s="42" t="s">
        <v>175</v>
      </c>
      <c r="I8" s="43" t="s">
        <v>176</v>
      </c>
      <c r="J8" s="44" t="s">
        <v>177</v>
      </c>
      <c r="K8" s="45" t="s">
        <v>178</v>
      </c>
      <c r="L8" s="46" t="s">
        <v>179</v>
      </c>
      <c r="M8" s="47" t="s">
        <v>180</v>
      </c>
    </row>
    <row r="9" customFormat="false" ht="57.75" hidden="false" customHeight="true" outlineLevel="0" collapsed="false">
      <c r="A9" s="35" t="s">
        <v>141</v>
      </c>
      <c r="B9" s="36" t="s">
        <v>181</v>
      </c>
      <c r="C9" s="37" t="s">
        <v>143</v>
      </c>
      <c r="D9" s="38" t="s">
        <v>182</v>
      </c>
      <c r="E9" s="39" t="s">
        <v>183</v>
      </c>
      <c r="F9" s="40" t="s">
        <v>146</v>
      </c>
      <c r="G9" s="41" t="s">
        <v>184</v>
      </c>
      <c r="H9" s="42" t="s">
        <v>185</v>
      </c>
      <c r="I9" s="43" t="s">
        <v>186</v>
      </c>
      <c r="J9" s="44" t="s">
        <v>187</v>
      </c>
      <c r="K9" s="45" t="s">
        <v>188</v>
      </c>
      <c r="L9" s="46" t="s">
        <v>189</v>
      </c>
      <c r="M9" s="47" t="s">
        <v>190</v>
      </c>
    </row>
    <row r="10" customFormat="false" ht="57.75" hidden="false" customHeight="true" outlineLevel="0" collapsed="false">
      <c r="A10" s="35" t="s">
        <v>141</v>
      </c>
      <c r="B10" s="36" t="s">
        <v>191</v>
      </c>
      <c r="C10" s="37" t="s">
        <v>143</v>
      </c>
      <c r="D10" s="38" t="s">
        <v>182</v>
      </c>
      <c r="E10" s="39" t="s">
        <v>192</v>
      </c>
      <c r="F10" s="40" t="s">
        <v>146</v>
      </c>
      <c r="G10" s="41" t="s">
        <v>193</v>
      </c>
      <c r="H10" s="42" t="s">
        <v>194</v>
      </c>
      <c r="I10" s="43" t="s">
        <v>195</v>
      </c>
      <c r="J10" s="44" t="s">
        <v>196</v>
      </c>
      <c r="K10" s="45" t="s">
        <v>197</v>
      </c>
      <c r="L10" s="46" t="s">
        <v>198</v>
      </c>
      <c r="M10" s="47" t="s">
        <v>199</v>
      </c>
    </row>
    <row r="11" customFormat="false" ht="57.75" hidden="false" customHeight="true" outlineLevel="0" collapsed="false">
      <c r="A11" s="35" t="s">
        <v>141</v>
      </c>
      <c r="B11" s="36" t="s">
        <v>200</v>
      </c>
      <c r="C11" s="37" t="s">
        <v>143</v>
      </c>
      <c r="D11" s="38" t="s">
        <v>182</v>
      </c>
      <c r="E11" s="39" t="s">
        <v>201</v>
      </c>
      <c r="F11" s="40" t="s">
        <v>146</v>
      </c>
      <c r="G11" s="41" t="s">
        <v>202</v>
      </c>
      <c r="H11" s="42" t="s">
        <v>203</v>
      </c>
      <c r="I11" s="43" t="s">
        <v>204</v>
      </c>
      <c r="J11" s="44" t="s">
        <v>205</v>
      </c>
      <c r="K11" s="45" t="s">
        <v>206</v>
      </c>
      <c r="L11" s="46" t="s">
        <v>207</v>
      </c>
      <c r="M11" s="47" t="s">
        <v>208</v>
      </c>
    </row>
    <row r="12" customFormat="false" ht="57.75" hidden="false" customHeight="true" outlineLevel="0" collapsed="false">
      <c r="A12" s="35" t="s">
        <v>141</v>
      </c>
      <c r="B12" s="36" t="s">
        <v>209</v>
      </c>
      <c r="C12" s="48" t="s">
        <v>210</v>
      </c>
      <c r="D12" s="38" t="s">
        <v>211</v>
      </c>
      <c r="E12" s="39" t="s">
        <v>212</v>
      </c>
      <c r="F12" s="40" t="s">
        <v>146</v>
      </c>
      <c r="G12" s="41" t="s">
        <v>213</v>
      </c>
      <c r="H12" s="42" t="s">
        <v>214</v>
      </c>
      <c r="I12" s="43" t="s">
        <v>215</v>
      </c>
      <c r="J12" s="44" t="s">
        <v>216</v>
      </c>
      <c r="K12" s="45" t="s">
        <v>217</v>
      </c>
      <c r="L12" s="46" t="s">
        <v>218</v>
      </c>
      <c r="M12" s="47" t="s">
        <v>219</v>
      </c>
    </row>
    <row r="13" customFormat="false" ht="57.75" hidden="false" customHeight="true" outlineLevel="0" collapsed="false">
      <c r="A13" s="35" t="s">
        <v>141</v>
      </c>
      <c r="B13" s="36" t="s">
        <v>220</v>
      </c>
      <c r="C13" s="48" t="s">
        <v>210</v>
      </c>
      <c r="D13" s="38" t="s">
        <v>211</v>
      </c>
      <c r="E13" s="39" t="s">
        <v>221</v>
      </c>
      <c r="F13" s="40" t="s">
        <v>146</v>
      </c>
      <c r="G13" s="41" t="s">
        <v>222</v>
      </c>
      <c r="H13" s="42" t="s">
        <v>223</v>
      </c>
      <c r="I13" s="43" t="s">
        <v>224</v>
      </c>
      <c r="J13" s="44" t="s">
        <v>225</v>
      </c>
      <c r="K13" s="45" t="s">
        <v>226</v>
      </c>
      <c r="L13" s="46" t="s">
        <v>227</v>
      </c>
      <c r="M13" s="47" t="s">
        <v>228</v>
      </c>
    </row>
    <row r="14" customFormat="false" ht="57.75" hidden="false" customHeight="true" outlineLevel="0" collapsed="false">
      <c r="A14" s="35" t="s">
        <v>141</v>
      </c>
      <c r="B14" s="36" t="s">
        <v>229</v>
      </c>
      <c r="C14" s="48" t="s">
        <v>210</v>
      </c>
      <c r="D14" s="38" t="s">
        <v>211</v>
      </c>
      <c r="E14" s="39" t="s">
        <v>230</v>
      </c>
      <c r="F14" s="40" t="s">
        <v>146</v>
      </c>
      <c r="G14" s="41" t="s">
        <v>231</v>
      </c>
      <c r="H14" s="42" t="s">
        <v>232</v>
      </c>
      <c r="I14" s="43" t="s">
        <v>233</v>
      </c>
      <c r="J14" s="44" t="s">
        <v>234</v>
      </c>
      <c r="K14" s="45" t="s">
        <v>235</v>
      </c>
      <c r="L14" s="46" t="s">
        <v>236</v>
      </c>
      <c r="M14" s="47" t="s">
        <v>237</v>
      </c>
    </row>
    <row r="15" customFormat="false" ht="57.75" hidden="false" customHeight="true" outlineLevel="0" collapsed="false">
      <c r="A15" s="35" t="s">
        <v>141</v>
      </c>
      <c r="B15" s="36" t="s">
        <v>238</v>
      </c>
      <c r="C15" s="48" t="s">
        <v>210</v>
      </c>
      <c r="D15" s="38" t="s">
        <v>211</v>
      </c>
      <c r="E15" s="39" t="s">
        <v>239</v>
      </c>
      <c r="F15" s="40" t="s">
        <v>146</v>
      </c>
      <c r="G15" s="41" t="s">
        <v>240</v>
      </c>
      <c r="H15" s="42" t="s">
        <v>241</v>
      </c>
      <c r="I15" s="43" t="s">
        <v>242</v>
      </c>
      <c r="J15" s="44" t="s">
        <v>243</v>
      </c>
      <c r="K15" s="45" t="s">
        <v>244</v>
      </c>
      <c r="L15" s="46" t="s">
        <v>245</v>
      </c>
      <c r="M15" s="47" t="s">
        <v>246</v>
      </c>
    </row>
    <row r="16" customFormat="false" ht="57.75" hidden="false" customHeight="true" outlineLevel="0" collapsed="false">
      <c r="A16" s="35" t="s">
        <v>141</v>
      </c>
      <c r="B16" s="36" t="s">
        <v>247</v>
      </c>
      <c r="C16" s="48" t="s">
        <v>210</v>
      </c>
      <c r="D16" s="38" t="s">
        <v>248</v>
      </c>
      <c r="E16" s="39" t="s">
        <v>249</v>
      </c>
      <c r="F16" s="40" t="s">
        <v>146</v>
      </c>
      <c r="G16" s="41" t="s">
        <v>250</v>
      </c>
      <c r="H16" s="42" t="s">
        <v>251</v>
      </c>
      <c r="I16" s="43" t="s">
        <v>252</v>
      </c>
      <c r="J16" s="44" t="s">
        <v>253</v>
      </c>
      <c r="K16" s="45" t="s">
        <v>254</v>
      </c>
      <c r="L16" s="46" t="s">
        <v>255</v>
      </c>
      <c r="M16" s="47" t="s">
        <v>256</v>
      </c>
    </row>
    <row r="17" customFormat="false" ht="57.75" hidden="false" customHeight="true" outlineLevel="0" collapsed="false">
      <c r="A17" s="35" t="s">
        <v>141</v>
      </c>
      <c r="B17" s="36" t="s">
        <v>257</v>
      </c>
      <c r="C17" s="48" t="s">
        <v>210</v>
      </c>
      <c r="D17" s="38" t="s">
        <v>248</v>
      </c>
      <c r="E17" s="39" t="s">
        <v>258</v>
      </c>
      <c r="F17" s="40" t="s">
        <v>146</v>
      </c>
      <c r="G17" s="41" t="s">
        <v>259</v>
      </c>
      <c r="H17" s="42" t="s">
        <v>260</v>
      </c>
      <c r="I17" s="43" t="s">
        <v>261</v>
      </c>
      <c r="J17" s="44" t="s">
        <v>262</v>
      </c>
      <c r="K17" s="45" t="s">
        <v>263</v>
      </c>
      <c r="L17" s="46" t="s">
        <v>264</v>
      </c>
      <c r="M17" s="47" t="s">
        <v>265</v>
      </c>
    </row>
    <row r="18" customFormat="false" ht="57.75" hidden="false" customHeight="true" outlineLevel="0" collapsed="false">
      <c r="A18" s="35" t="s">
        <v>141</v>
      </c>
      <c r="B18" s="36" t="s">
        <v>266</v>
      </c>
      <c r="C18" s="48" t="s">
        <v>210</v>
      </c>
      <c r="D18" s="38" t="s">
        <v>248</v>
      </c>
      <c r="E18" s="39" t="s">
        <v>267</v>
      </c>
      <c r="F18" s="40" t="s">
        <v>146</v>
      </c>
      <c r="G18" s="41" t="s">
        <v>268</v>
      </c>
      <c r="H18" s="42" t="s">
        <v>269</v>
      </c>
      <c r="I18" s="43" t="s">
        <v>270</v>
      </c>
      <c r="J18" s="44" t="s">
        <v>271</v>
      </c>
      <c r="K18" s="45" t="s">
        <v>272</v>
      </c>
      <c r="L18" s="46" t="s">
        <v>273</v>
      </c>
      <c r="M18" s="47" t="s">
        <v>274</v>
      </c>
    </row>
    <row r="19" customFormat="false" ht="57.75" hidden="false" customHeight="true" outlineLevel="0" collapsed="false">
      <c r="A19" s="35" t="s">
        <v>141</v>
      </c>
      <c r="B19" s="36" t="s">
        <v>275</v>
      </c>
      <c r="C19" s="48" t="s">
        <v>210</v>
      </c>
      <c r="D19" s="38" t="s">
        <v>276</v>
      </c>
      <c r="E19" s="39" t="s">
        <v>277</v>
      </c>
      <c r="F19" s="40" t="s">
        <v>146</v>
      </c>
      <c r="G19" s="41" t="s">
        <v>278</v>
      </c>
      <c r="H19" s="42" t="s">
        <v>279</v>
      </c>
      <c r="I19" s="43" t="s">
        <v>280</v>
      </c>
      <c r="J19" s="44" t="s">
        <v>281</v>
      </c>
      <c r="K19" s="45" t="s">
        <v>282</v>
      </c>
      <c r="L19" s="46" t="s">
        <v>283</v>
      </c>
      <c r="M19" s="47" t="s">
        <v>284</v>
      </c>
    </row>
    <row r="20" customFormat="false" ht="57.75" hidden="false" customHeight="true" outlineLevel="0" collapsed="false">
      <c r="A20" s="35" t="s">
        <v>141</v>
      </c>
      <c r="B20" s="36" t="s">
        <v>285</v>
      </c>
      <c r="C20" s="48" t="s">
        <v>210</v>
      </c>
      <c r="D20" s="38" t="s">
        <v>276</v>
      </c>
      <c r="E20" s="39" t="s">
        <v>286</v>
      </c>
      <c r="F20" s="40" t="s">
        <v>146</v>
      </c>
      <c r="G20" s="41" t="s">
        <v>287</v>
      </c>
      <c r="H20" s="42" t="s">
        <v>288</v>
      </c>
      <c r="I20" s="43" t="s">
        <v>289</v>
      </c>
      <c r="J20" s="44" t="s">
        <v>290</v>
      </c>
      <c r="K20" s="45" t="s">
        <v>291</v>
      </c>
      <c r="L20" s="46" t="s">
        <v>292</v>
      </c>
      <c r="M20" s="47" t="s">
        <v>293</v>
      </c>
    </row>
    <row r="21" customFormat="false" ht="57.75" hidden="false" customHeight="true" outlineLevel="0" collapsed="false">
      <c r="A21" s="35" t="s">
        <v>141</v>
      </c>
      <c r="B21" s="36" t="s">
        <v>294</v>
      </c>
      <c r="C21" s="48" t="s">
        <v>210</v>
      </c>
      <c r="D21" s="38" t="s">
        <v>276</v>
      </c>
      <c r="E21" s="39" t="s">
        <v>295</v>
      </c>
      <c r="F21" s="40" t="s">
        <v>146</v>
      </c>
      <c r="G21" s="41" t="s">
        <v>296</v>
      </c>
      <c r="H21" s="42" t="s">
        <v>297</v>
      </c>
      <c r="I21" s="43" t="s">
        <v>298</v>
      </c>
      <c r="J21" s="44" t="s">
        <v>299</v>
      </c>
      <c r="K21" s="45" t="s">
        <v>300</v>
      </c>
      <c r="L21" s="46" t="s">
        <v>301</v>
      </c>
      <c r="M21" s="47" t="s">
        <v>302</v>
      </c>
    </row>
    <row r="22" customFormat="false" ht="57.75" hidden="false" customHeight="true" outlineLevel="0" collapsed="false">
      <c r="A22" s="35" t="s">
        <v>141</v>
      </c>
      <c r="B22" s="36" t="s">
        <v>303</v>
      </c>
      <c r="C22" s="48" t="s">
        <v>210</v>
      </c>
      <c r="D22" s="38" t="s">
        <v>276</v>
      </c>
      <c r="E22" s="39" t="s">
        <v>304</v>
      </c>
      <c r="F22" s="40" t="s">
        <v>146</v>
      </c>
      <c r="G22" s="41" t="s">
        <v>305</v>
      </c>
      <c r="H22" s="42" t="s">
        <v>306</v>
      </c>
      <c r="I22" s="43" t="s">
        <v>307</v>
      </c>
      <c r="J22" s="44" t="s">
        <v>308</v>
      </c>
      <c r="K22" s="45" t="s">
        <v>309</v>
      </c>
      <c r="L22" s="46" t="s">
        <v>310</v>
      </c>
      <c r="M22" s="47" t="s">
        <v>311</v>
      </c>
    </row>
    <row r="23" customFormat="false" ht="57.75" hidden="false" customHeight="true" outlineLevel="0" collapsed="false">
      <c r="A23" s="35" t="s">
        <v>141</v>
      </c>
      <c r="B23" s="36" t="s">
        <v>312</v>
      </c>
      <c r="C23" s="48" t="s">
        <v>210</v>
      </c>
      <c r="D23" s="38" t="s">
        <v>313</v>
      </c>
      <c r="E23" s="39" t="s">
        <v>314</v>
      </c>
      <c r="F23" s="40" t="s">
        <v>146</v>
      </c>
      <c r="G23" s="41" t="s">
        <v>315</v>
      </c>
      <c r="H23" s="42" t="s">
        <v>316</v>
      </c>
      <c r="I23" s="43" t="s">
        <v>317</v>
      </c>
      <c r="J23" s="44" t="s">
        <v>318</v>
      </c>
      <c r="K23" s="45" t="s">
        <v>319</v>
      </c>
      <c r="L23" s="46" t="s">
        <v>320</v>
      </c>
      <c r="M23" s="47" t="s">
        <v>321</v>
      </c>
    </row>
    <row r="24" customFormat="false" ht="57.75" hidden="false" customHeight="true" outlineLevel="0" collapsed="false">
      <c r="A24" s="35" t="s">
        <v>141</v>
      </c>
      <c r="B24" s="36" t="s">
        <v>322</v>
      </c>
      <c r="C24" s="48" t="s">
        <v>210</v>
      </c>
      <c r="D24" s="38" t="s">
        <v>313</v>
      </c>
      <c r="E24" s="39" t="s">
        <v>323</v>
      </c>
      <c r="F24" s="40" t="s">
        <v>146</v>
      </c>
      <c r="G24" s="41" t="s">
        <v>324</v>
      </c>
      <c r="H24" s="42" t="s">
        <v>325</v>
      </c>
      <c r="I24" s="43" t="s">
        <v>326</v>
      </c>
      <c r="J24" s="44" t="s">
        <v>327</v>
      </c>
      <c r="K24" s="45" t="s">
        <v>328</v>
      </c>
      <c r="L24" s="46" t="s">
        <v>329</v>
      </c>
      <c r="M24" s="47" t="s">
        <v>330</v>
      </c>
    </row>
    <row r="25" customFormat="false" ht="57.75" hidden="false" customHeight="true" outlineLevel="0" collapsed="false">
      <c r="A25" s="35" t="s">
        <v>141</v>
      </c>
      <c r="B25" s="36" t="s">
        <v>331</v>
      </c>
      <c r="C25" s="48" t="s">
        <v>210</v>
      </c>
      <c r="D25" s="38" t="s">
        <v>313</v>
      </c>
      <c r="E25" s="39" t="s">
        <v>332</v>
      </c>
      <c r="F25" s="40" t="s">
        <v>146</v>
      </c>
      <c r="G25" s="41" t="s">
        <v>333</v>
      </c>
      <c r="H25" s="42" t="s">
        <v>334</v>
      </c>
      <c r="I25" s="43" t="s">
        <v>335</v>
      </c>
      <c r="J25" s="44" t="s">
        <v>336</v>
      </c>
      <c r="K25" s="45" t="s">
        <v>337</v>
      </c>
      <c r="L25" s="46" t="s">
        <v>338</v>
      </c>
      <c r="M25" s="47" t="s">
        <v>339</v>
      </c>
    </row>
    <row r="26" customFormat="false" ht="57.75" hidden="false" customHeight="true" outlineLevel="0" collapsed="false">
      <c r="A26" s="35" t="s">
        <v>141</v>
      </c>
      <c r="B26" s="36" t="s">
        <v>340</v>
      </c>
      <c r="C26" s="48" t="s">
        <v>210</v>
      </c>
      <c r="D26" s="38" t="s">
        <v>313</v>
      </c>
      <c r="E26" s="39" t="s">
        <v>341</v>
      </c>
      <c r="F26" s="40" t="s">
        <v>146</v>
      </c>
      <c r="G26" s="41" t="s">
        <v>342</v>
      </c>
      <c r="H26" s="42" t="s">
        <v>343</v>
      </c>
      <c r="I26" s="43" t="s">
        <v>344</v>
      </c>
      <c r="J26" s="44" t="s">
        <v>345</v>
      </c>
      <c r="K26" s="45" t="s">
        <v>346</v>
      </c>
      <c r="L26" s="46" t="s">
        <v>347</v>
      </c>
      <c r="M26" s="47" t="s">
        <v>348</v>
      </c>
    </row>
    <row r="27" customFormat="false" ht="57.75" hidden="false" customHeight="true" outlineLevel="0" collapsed="false">
      <c r="A27" s="35" t="s">
        <v>141</v>
      </c>
      <c r="B27" s="36" t="s">
        <v>349</v>
      </c>
      <c r="C27" s="48" t="s">
        <v>210</v>
      </c>
      <c r="D27" s="38" t="s">
        <v>350</v>
      </c>
      <c r="E27" s="39" t="s">
        <v>351</v>
      </c>
      <c r="F27" s="40" t="s">
        <v>146</v>
      </c>
      <c r="G27" s="41" t="s">
        <v>352</v>
      </c>
      <c r="H27" s="42" t="s">
        <v>353</v>
      </c>
      <c r="I27" s="43" t="s">
        <v>354</v>
      </c>
      <c r="J27" s="44" t="s">
        <v>355</v>
      </c>
      <c r="K27" s="45" t="s">
        <v>356</v>
      </c>
      <c r="L27" s="46" t="s">
        <v>357</v>
      </c>
      <c r="M27" s="47" t="s">
        <v>358</v>
      </c>
    </row>
    <row r="28" customFormat="false" ht="57.75" hidden="false" customHeight="true" outlineLevel="0" collapsed="false">
      <c r="A28" s="35" t="s">
        <v>141</v>
      </c>
      <c r="B28" s="36" t="s">
        <v>359</v>
      </c>
      <c r="C28" s="48" t="s">
        <v>210</v>
      </c>
      <c r="D28" s="38" t="s">
        <v>350</v>
      </c>
      <c r="E28" s="39" t="s">
        <v>360</v>
      </c>
      <c r="F28" s="40" t="s">
        <v>146</v>
      </c>
      <c r="G28" s="41" t="s">
        <v>361</v>
      </c>
      <c r="H28" s="42" t="s">
        <v>362</v>
      </c>
      <c r="I28" s="43" t="s">
        <v>363</v>
      </c>
      <c r="J28" s="44" t="s">
        <v>364</v>
      </c>
      <c r="K28" s="45" t="s">
        <v>365</v>
      </c>
      <c r="L28" s="46" t="s">
        <v>366</v>
      </c>
      <c r="M28" s="47" t="s">
        <v>367</v>
      </c>
    </row>
    <row r="29" customFormat="false" ht="57.75" hidden="false" customHeight="true" outlineLevel="0" collapsed="false">
      <c r="A29" s="35" t="s">
        <v>141</v>
      </c>
      <c r="B29" s="36" t="s">
        <v>368</v>
      </c>
      <c r="C29" s="37" t="s">
        <v>369</v>
      </c>
      <c r="D29" s="38" t="s">
        <v>370</v>
      </c>
      <c r="E29" s="39" t="s">
        <v>371</v>
      </c>
      <c r="F29" s="40" t="s">
        <v>146</v>
      </c>
      <c r="G29" s="41" t="s">
        <v>372</v>
      </c>
      <c r="H29" s="42" t="s">
        <v>373</v>
      </c>
      <c r="I29" s="43" t="s">
        <v>374</v>
      </c>
      <c r="J29" s="44" t="s">
        <v>375</v>
      </c>
      <c r="K29" s="45" t="s">
        <v>376</v>
      </c>
      <c r="L29" s="46" t="s">
        <v>377</v>
      </c>
      <c r="M29" s="47" t="s">
        <v>378</v>
      </c>
    </row>
    <row r="30" customFormat="false" ht="57.75" hidden="false" customHeight="true" outlineLevel="0" collapsed="false">
      <c r="A30" s="35" t="s">
        <v>141</v>
      </c>
      <c r="B30" s="36" t="s">
        <v>379</v>
      </c>
      <c r="C30" s="37" t="s">
        <v>369</v>
      </c>
      <c r="D30" s="38" t="s">
        <v>370</v>
      </c>
      <c r="E30" s="39" t="s">
        <v>380</v>
      </c>
      <c r="F30" s="40" t="s">
        <v>146</v>
      </c>
      <c r="G30" s="41" t="s">
        <v>381</v>
      </c>
      <c r="H30" s="42" t="s">
        <v>382</v>
      </c>
      <c r="I30" s="43" t="s">
        <v>383</v>
      </c>
      <c r="J30" s="44" t="s">
        <v>384</v>
      </c>
      <c r="K30" s="45" t="s">
        <v>385</v>
      </c>
      <c r="L30" s="46" t="s">
        <v>386</v>
      </c>
      <c r="M30" s="47" t="s">
        <v>387</v>
      </c>
    </row>
    <row r="31" customFormat="false" ht="57.75" hidden="false" customHeight="true" outlineLevel="0" collapsed="false">
      <c r="A31" s="35" t="s">
        <v>141</v>
      </c>
      <c r="B31" s="36" t="s">
        <v>388</v>
      </c>
      <c r="C31" s="37" t="s">
        <v>369</v>
      </c>
      <c r="D31" s="38" t="s">
        <v>370</v>
      </c>
      <c r="E31" s="39" t="s">
        <v>389</v>
      </c>
      <c r="F31" s="40" t="s">
        <v>146</v>
      </c>
      <c r="G31" s="41" t="s">
        <v>390</v>
      </c>
      <c r="H31" s="42" t="s">
        <v>391</v>
      </c>
      <c r="I31" s="43" t="s">
        <v>392</v>
      </c>
      <c r="J31" s="44" t="s">
        <v>393</v>
      </c>
      <c r="K31" s="45" t="s">
        <v>394</v>
      </c>
      <c r="L31" s="46" t="s">
        <v>395</v>
      </c>
      <c r="M31" s="47" t="s">
        <v>396</v>
      </c>
    </row>
    <row r="32" customFormat="false" ht="57.75" hidden="false" customHeight="true" outlineLevel="0" collapsed="false">
      <c r="A32" s="35" t="s">
        <v>141</v>
      </c>
      <c r="B32" s="36" t="s">
        <v>397</v>
      </c>
      <c r="C32" s="37" t="s">
        <v>369</v>
      </c>
      <c r="D32" s="38" t="s">
        <v>370</v>
      </c>
      <c r="E32" s="39" t="s">
        <v>398</v>
      </c>
      <c r="F32" s="40" t="s">
        <v>146</v>
      </c>
      <c r="G32" s="41" t="s">
        <v>399</v>
      </c>
      <c r="H32" s="42" t="s">
        <v>400</v>
      </c>
      <c r="I32" s="43" t="s">
        <v>401</v>
      </c>
      <c r="J32" s="44" t="s">
        <v>402</v>
      </c>
      <c r="K32" s="45" t="s">
        <v>403</v>
      </c>
      <c r="L32" s="46" t="s">
        <v>404</v>
      </c>
      <c r="M32" s="47" t="s">
        <v>405</v>
      </c>
    </row>
    <row r="33" customFormat="false" ht="57.75" hidden="false" customHeight="true" outlineLevel="0" collapsed="false">
      <c r="A33" s="35" t="s">
        <v>141</v>
      </c>
      <c r="B33" s="36" t="s">
        <v>406</v>
      </c>
      <c r="C33" s="37" t="s">
        <v>369</v>
      </c>
      <c r="D33" s="38" t="s">
        <v>370</v>
      </c>
      <c r="E33" s="39" t="s">
        <v>407</v>
      </c>
      <c r="F33" s="40" t="s">
        <v>146</v>
      </c>
      <c r="G33" s="41" t="s">
        <v>408</v>
      </c>
      <c r="H33" s="42" t="s">
        <v>409</v>
      </c>
      <c r="I33" s="43" t="s">
        <v>410</v>
      </c>
      <c r="J33" s="44" t="s">
        <v>411</v>
      </c>
      <c r="K33" s="45" t="s">
        <v>412</v>
      </c>
      <c r="L33" s="46" t="s">
        <v>413</v>
      </c>
      <c r="M33" s="47" t="s">
        <v>414</v>
      </c>
    </row>
    <row r="34" customFormat="false" ht="57.75" hidden="false" customHeight="true" outlineLevel="0" collapsed="false">
      <c r="A34" s="35" t="s">
        <v>141</v>
      </c>
      <c r="B34" s="36" t="s">
        <v>415</v>
      </c>
      <c r="C34" s="37" t="s">
        <v>369</v>
      </c>
      <c r="D34" s="38" t="s">
        <v>416</v>
      </c>
      <c r="E34" s="39" t="s">
        <v>417</v>
      </c>
      <c r="F34" s="40" t="s">
        <v>146</v>
      </c>
      <c r="G34" s="41" t="s">
        <v>418</v>
      </c>
      <c r="H34" s="42" t="s">
        <v>419</v>
      </c>
      <c r="I34" s="43" t="s">
        <v>420</v>
      </c>
      <c r="J34" s="44" t="s">
        <v>421</v>
      </c>
      <c r="K34" s="45" t="s">
        <v>422</v>
      </c>
      <c r="L34" s="46" t="s">
        <v>423</v>
      </c>
      <c r="M34" s="47" t="s">
        <v>424</v>
      </c>
    </row>
    <row r="35" customFormat="false" ht="57.75" hidden="false" customHeight="true" outlineLevel="0" collapsed="false">
      <c r="A35" s="35" t="s">
        <v>141</v>
      </c>
      <c r="B35" s="36" t="s">
        <v>425</v>
      </c>
      <c r="C35" s="37" t="s">
        <v>369</v>
      </c>
      <c r="D35" s="38" t="s">
        <v>416</v>
      </c>
      <c r="E35" s="39" t="s">
        <v>426</v>
      </c>
      <c r="F35" s="40" t="s">
        <v>146</v>
      </c>
      <c r="G35" s="41" t="s">
        <v>427</v>
      </c>
      <c r="H35" s="42" t="s">
        <v>428</v>
      </c>
      <c r="I35" s="43" t="s">
        <v>429</v>
      </c>
      <c r="J35" s="44" t="s">
        <v>430</v>
      </c>
      <c r="K35" s="45" t="s">
        <v>431</v>
      </c>
      <c r="L35" s="46" t="s">
        <v>432</v>
      </c>
      <c r="M35" s="47" t="s">
        <v>433</v>
      </c>
    </row>
    <row r="36" customFormat="false" ht="57.75" hidden="false" customHeight="true" outlineLevel="0" collapsed="false">
      <c r="A36" s="35" t="s">
        <v>141</v>
      </c>
      <c r="B36" s="36" t="s">
        <v>434</v>
      </c>
      <c r="C36" s="37" t="s">
        <v>369</v>
      </c>
      <c r="D36" s="38" t="s">
        <v>416</v>
      </c>
      <c r="E36" s="39" t="s">
        <v>435</v>
      </c>
      <c r="F36" s="40" t="s">
        <v>146</v>
      </c>
      <c r="G36" s="41" t="s">
        <v>436</v>
      </c>
      <c r="H36" s="42" t="s">
        <v>437</v>
      </c>
      <c r="I36" s="43" t="s">
        <v>438</v>
      </c>
      <c r="J36" s="44" t="s">
        <v>439</v>
      </c>
      <c r="K36" s="45" t="s">
        <v>440</v>
      </c>
      <c r="L36" s="46" t="s">
        <v>441</v>
      </c>
      <c r="M36" s="47" t="s">
        <v>442</v>
      </c>
    </row>
    <row r="37" customFormat="false" ht="57.75" hidden="false" customHeight="true" outlineLevel="0" collapsed="false">
      <c r="A37" s="35" t="s">
        <v>141</v>
      </c>
      <c r="B37" s="36" t="s">
        <v>443</v>
      </c>
      <c r="C37" s="37" t="s">
        <v>369</v>
      </c>
      <c r="D37" s="38" t="s">
        <v>444</v>
      </c>
      <c r="E37" s="39" t="s">
        <v>445</v>
      </c>
      <c r="F37" s="40" t="s">
        <v>146</v>
      </c>
      <c r="G37" s="41" t="s">
        <v>446</v>
      </c>
      <c r="H37" s="42" t="s">
        <v>447</v>
      </c>
      <c r="I37" s="43" t="s">
        <v>448</v>
      </c>
      <c r="J37" s="44" t="s">
        <v>449</v>
      </c>
      <c r="K37" s="45" t="s">
        <v>450</v>
      </c>
      <c r="L37" s="46" t="s">
        <v>451</v>
      </c>
      <c r="M37" s="47" t="s">
        <v>452</v>
      </c>
    </row>
    <row r="38" customFormat="false" ht="57.75" hidden="false" customHeight="true" outlineLevel="0" collapsed="false">
      <c r="A38" s="35" t="s">
        <v>141</v>
      </c>
      <c r="B38" s="36" t="s">
        <v>453</v>
      </c>
      <c r="C38" s="37" t="s">
        <v>369</v>
      </c>
      <c r="D38" s="38" t="s">
        <v>444</v>
      </c>
      <c r="E38" s="39" t="s">
        <v>454</v>
      </c>
      <c r="F38" s="40" t="s">
        <v>146</v>
      </c>
      <c r="G38" s="41" t="s">
        <v>455</v>
      </c>
      <c r="H38" s="42" t="s">
        <v>456</v>
      </c>
      <c r="I38" s="43" t="s">
        <v>457</v>
      </c>
      <c r="J38" s="44" t="s">
        <v>458</v>
      </c>
      <c r="K38" s="45" t="s">
        <v>459</v>
      </c>
      <c r="L38" s="46" t="s">
        <v>460</v>
      </c>
      <c r="M38" s="47" t="s">
        <v>461</v>
      </c>
    </row>
    <row r="39" customFormat="false" ht="57.75" hidden="false" customHeight="true" outlineLevel="0" collapsed="false">
      <c r="A39" s="35" t="s">
        <v>141</v>
      </c>
      <c r="B39" s="36" t="s">
        <v>462</v>
      </c>
      <c r="C39" s="37" t="s">
        <v>369</v>
      </c>
      <c r="D39" s="38" t="s">
        <v>444</v>
      </c>
      <c r="E39" s="39" t="s">
        <v>463</v>
      </c>
      <c r="F39" s="40" t="s">
        <v>146</v>
      </c>
      <c r="G39" s="41" t="s">
        <v>464</v>
      </c>
      <c r="H39" s="42" t="s">
        <v>465</v>
      </c>
      <c r="I39" s="43" t="s">
        <v>466</v>
      </c>
      <c r="J39" s="44" t="s">
        <v>467</v>
      </c>
      <c r="K39" s="45" t="s">
        <v>468</v>
      </c>
      <c r="L39" s="46" t="s">
        <v>469</v>
      </c>
      <c r="M39" s="47" t="s">
        <v>470</v>
      </c>
    </row>
    <row r="40" customFormat="false" ht="57.75" hidden="false" customHeight="true" outlineLevel="0" collapsed="false">
      <c r="A40" s="35" t="s">
        <v>141</v>
      </c>
      <c r="B40" s="36" t="s">
        <v>471</v>
      </c>
      <c r="C40" s="37" t="s">
        <v>369</v>
      </c>
      <c r="D40" s="38" t="s">
        <v>444</v>
      </c>
      <c r="E40" s="39" t="s">
        <v>472</v>
      </c>
      <c r="F40" s="40" t="s">
        <v>146</v>
      </c>
      <c r="G40" s="41" t="s">
        <v>473</v>
      </c>
      <c r="H40" s="42" t="s">
        <v>474</v>
      </c>
      <c r="I40" s="43" t="s">
        <v>475</v>
      </c>
      <c r="J40" s="44" t="s">
        <v>476</v>
      </c>
      <c r="K40" s="45" t="s">
        <v>477</v>
      </c>
      <c r="L40" s="46" t="s">
        <v>478</v>
      </c>
      <c r="M40" s="47" t="s">
        <v>479</v>
      </c>
    </row>
    <row r="41" customFormat="false" ht="57.75" hidden="false" customHeight="true" outlineLevel="0" collapsed="false">
      <c r="A41" s="35" t="s">
        <v>141</v>
      </c>
      <c r="B41" s="36" t="s">
        <v>480</v>
      </c>
      <c r="C41" s="37" t="s">
        <v>369</v>
      </c>
      <c r="D41" s="38" t="s">
        <v>481</v>
      </c>
      <c r="E41" s="39" t="s">
        <v>482</v>
      </c>
      <c r="F41" s="40" t="s">
        <v>146</v>
      </c>
      <c r="G41" s="41" t="s">
        <v>483</v>
      </c>
      <c r="H41" s="42" t="s">
        <v>484</v>
      </c>
      <c r="I41" s="43" t="s">
        <v>485</v>
      </c>
      <c r="J41" s="44" t="s">
        <v>486</v>
      </c>
      <c r="K41" s="45" t="s">
        <v>487</v>
      </c>
      <c r="L41" s="46" t="s">
        <v>488</v>
      </c>
      <c r="M41" s="47" t="s">
        <v>489</v>
      </c>
    </row>
    <row r="42" customFormat="false" ht="57.75" hidden="false" customHeight="true" outlineLevel="0" collapsed="false">
      <c r="A42" s="35" t="s">
        <v>141</v>
      </c>
      <c r="B42" s="36" t="s">
        <v>490</v>
      </c>
      <c r="C42" s="37" t="s">
        <v>369</v>
      </c>
      <c r="D42" s="38" t="s">
        <v>481</v>
      </c>
      <c r="E42" s="39" t="s">
        <v>491</v>
      </c>
      <c r="F42" s="40" t="s">
        <v>146</v>
      </c>
      <c r="G42" s="41" t="s">
        <v>492</v>
      </c>
      <c r="H42" s="42" t="s">
        <v>493</v>
      </c>
      <c r="I42" s="43" t="s">
        <v>494</v>
      </c>
      <c r="J42" s="44" t="s">
        <v>495</v>
      </c>
      <c r="K42" s="45" t="s">
        <v>496</v>
      </c>
      <c r="L42" s="46" t="s">
        <v>497</v>
      </c>
      <c r="M42" s="47" t="s">
        <v>498</v>
      </c>
    </row>
    <row r="43" customFormat="false" ht="57.75" hidden="false" customHeight="true" outlineLevel="0" collapsed="false">
      <c r="A43" s="35" t="s">
        <v>141</v>
      </c>
      <c r="B43" s="36" t="s">
        <v>499</v>
      </c>
      <c r="C43" s="37" t="s">
        <v>369</v>
      </c>
      <c r="D43" s="38" t="s">
        <v>481</v>
      </c>
      <c r="E43" s="39" t="s">
        <v>500</v>
      </c>
      <c r="F43" s="40" t="s">
        <v>146</v>
      </c>
      <c r="G43" s="41" t="s">
        <v>501</v>
      </c>
      <c r="H43" s="42" t="s">
        <v>502</v>
      </c>
      <c r="I43" s="43" t="s">
        <v>503</v>
      </c>
      <c r="J43" s="44" t="s">
        <v>504</v>
      </c>
      <c r="K43" s="45" t="s">
        <v>505</v>
      </c>
      <c r="L43" s="46" t="s">
        <v>506</v>
      </c>
      <c r="M43" s="47" t="s">
        <v>507</v>
      </c>
    </row>
    <row r="44" customFormat="false" ht="57.75" hidden="false" customHeight="true" outlineLevel="0" collapsed="false">
      <c r="A44" s="35" t="s">
        <v>141</v>
      </c>
      <c r="B44" s="36" t="s">
        <v>508</v>
      </c>
      <c r="C44" s="37" t="s">
        <v>369</v>
      </c>
      <c r="D44" s="38" t="s">
        <v>481</v>
      </c>
      <c r="E44" s="39" t="s">
        <v>509</v>
      </c>
      <c r="F44" s="40" t="s">
        <v>146</v>
      </c>
      <c r="G44" s="41" t="s">
        <v>510</v>
      </c>
      <c r="H44" s="42" t="s">
        <v>511</v>
      </c>
      <c r="I44" s="43" t="s">
        <v>512</v>
      </c>
      <c r="J44" s="44" t="s">
        <v>513</v>
      </c>
      <c r="K44" s="45" t="s">
        <v>514</v>
      </c>
      <c r="L44" s="46" t="s">
        <v>515</v>
      </c>
      <c r="M44" s="47" t="s">
        <v>516</v>
      </c>
    </row>
    <row r="45" customFormat="false" ht="57.75" hidden="false" customHeight="true" outlineLevel="0" collapsed="false">
      <c r="A45" s="35" t="s">
        <v>141</v>
      </c>
      <c r="B45" s="36" t="s">
        <v>517</v>
      </c>
      <c r="C45" s="37" t="s">
        <v>369</v>
      </c>
      <c r="D45" s="38" t="s">
        <v>518</v>
      </c>
      <c r="E45" s="39" t="s">
        <v>519</v>
      </c>
      <c r="F45" s="40" t="s">
        <v>146</v>
      </c>
      <c r="G45" s="41" t="s">
        <v>520</v>
      </c>
      <c r="H45" s="42" t="s">
        <v>521</v>
      </c>
      <c r="I45" s="43" t="s">
        <v>522</v>
      </c>
      <c r="J45" s="44" t="s">
        <v>523</v>
      </c>
      <c r="K45" s="45" t="s">
        <v>524</v>
      </c>
      <c r="L45" s="46" t="s">
        <v>525</v>
      </c>
      <c r="M45" s="47" t="s">
        <v>526</v>
      </c>
    </row>
    <row r="46" customFormat="false" ht="57.75" hidden="false" customHeight="true" outlineLevel="0" collapsed="false">
      <c r="A46" s="35" t="s">
        <v>141</v>
      </c>
      <c r="B46" s="36" t="s">
        <v>527</v>
      </c>
      <c r="C46" s="37" t="s">
        <v>369</v>
      </c>
      <c r="D46" s="38" t="s">
        <v>518</v>
      </c>
      <c r="E46" s="39" t="s">
        <v>528</v>
      </c>
      <c r="F46" s="40" t="s">
        <v>146</v>
      </c>
      <c r="G46" s="41" t="s">
        <v>529</v>
      </c>
      <c r="H46" s="42" t="s">
        <v>530</v>
      </c>
      <c r="I46" s="43" t="s">
        <v>531</v>
      </c>
      <c r="J46" s="44" t="s">
        <v>532</v>
      </c>
      <c r="K46" s="45" t="s">
        <v>533</v>
      </c>
      <c r="L46" s="46" t="s">
        <v>534</v>
      </c>
      <c r="M46" s="47" t="s">
        <v>535</v>
      </c>
    </row>
    <row r="47" customFormat="false" ht="57.75" hidden="false" customHeight="true" outlineLevel="0" collapsed="false">
      <c r="A47" s="35" t="s">
        <v>141</v>
      </c>
      <c r="B47" s="36" t="s">
        <v>536</v>
      </c>
      <c r="C47" s="37" t="s">
        <v>369</v>
      </c>
      <c r="D47" s="38" t="s">
        <v>518</v>
      </c>
      <c r="E47" s="39" t="s">
        <v>537</v>
      </c>
      <c r="F47" s="49" t="s">
        <v>538</v>
      </c>
      <c r="G47" s="41" t="s">
        <v>539</v>
      </c>
      <c r="H47" s="42" t="s">
        <v>540</v>
      </c>
      <c r="I47" s="43" t="s">
        <v>541</v>
      </c>
      <c r="J47" s="44" t="s">
        <v>542</v>
      </c>
      <c r="K47" s="45" t="s">
        <v>543</v>
      </c>
      <c r="L47" s="46" t="s">
        <v>544</v>
      </c>
      <c r="M47" s="47" t="s">
        <v>545</v>
      </c>
    </row>
    <row r="48" customFormat="false" ht="57.75" hidden="false" customHeight="true" outlineLevel="0" collapsed="false">
      <c r="A48" s="35" t="s">
        <v>141</v>
      </c>
      <c r="B48" s="36" t="s">
        <v>546</v>
      </c>
      <c r="C48" s="50" t="s">
        <v>547</v>
      </c>
      <c r="D48" s="38" t="s">
        <v>548</v>
      </c>
      <c r="E48" s="39" t="s">
        <v>549</v>
      </c>
      <c r="F48" s="40" t="s">
        <v>146</v>
      </c>
      <c r="G48" s="41" t="s">
        <v>550</v>
      </c>
      <c r="H48" s="42" t="s">
        <v>551</v>
      </c>
      <c r="I48" s="43" t="s">
        <v>552</v>
      </c>
      <c r="J48" s="44" t="s">
        <v>553</v>
      </c>
      <c r="K48" s="45" t="s">
        <v>554</v>
      </c>
      <c r="L48" s="46" t="s">
        <v>555</v>
      </c>
      <c r="M48" s="47" t="s">
        <v>556</v>
      </c>
    </row>
    <row r="49" customFormat="false" ht="57.75" hidden="false" customHeight="true" outlineLevel="0" collapsed="false">
      <c r="A49" s="35" t="s">
        <v>141</v>
      </c>
      <c r="B49" s="36" t="s">
        <v>557</v>
      </c>
      <c r="C49" s="50" t="s">
        <v>547</v>
      </c>
      <c r="D49" s="38" t="s">
        <v>548</v>
      </c>
      <c r="E49" s="39" t="s">
        <v>558</v>
      </c>
      <c r="F49" s="40" t="s">
        <v>146</v>
      </c>
      <c r="G49" s="41" t="s">
        <v>559</v>
      </c>
      <c r="H49" s="42" t="s">
        <v>560</v>
      </c>
      <c r="I49" s="43" t="s">
        <v>561</v>
      </c>
      <c r="J49" s="44" t="s">
        <v>562</v>
      </c>
      <c r="K49" s="45" t="s">
        <v>563</v>
      </c>
      <c r="L49" s="46" t="s">
        <v>564</v>
      </c>
      <c r="M49" s="47" t="s">
        <v>565</v>
      </c>
    </row>
    <row r="50" customFormat="false" ht="57.75" hidden="false" customHeight="true" outlineLevel="0" collapsed="false">
      <c r="A50" s="35" t="s">
        <v>141</v>
      </c>
      <c r="B50" s="36" t="s">
        <v>566</v>
      </c>
      <c r="C50" s="50" t="s">
        <v>547</v>
      </c>
      <c r="D50" s="38" t="s">
        <v>548</v>
      </c>
      <c r="E50" s="39" t="s">
        <v>567</v>
      </c>
      <c r="F50" s="40" t="s">
        <v>146</v>
      </c>
      <c r="G50" s="41" t="s">
        <v>568</v>
      </c>
      <c r="H50" s="42" t="s">
        <v>569</v>
      </c>
      <c r="I50" s="43" t="s">
        <v>570</v>
      </c>
      <c r="J50" s="44" t="s">
        <v>571</v>
      </c>
      <c r="K50" s="45" t="s">
        <v>572</v>
      </c>
      <c r="L50" s="46" t="s">
        <v>573</v>
      </c>
      <c r="M50" s="47" t="s">
        <v>574</v>
      </c>
    </row>
    <row r="51" customFormat="false" ht="57.75" hidden="false" customHeight="true" outlineLevel="0" collapsed="false">
      <c r="A51" s="35" t="s">
        <v>141</v>
      </c>
      <c r="B51" s="36" t="s">
        <v>575</v>
      </c>
      <c r="C51" s="50" t="s">
        <v>547</v>
      </c>
      <c r="D51" s="38" t="s">
        <v>548</v>
      </c>
      <c r="E51" s="39" t="s">
        <v>576</v>
      </c>
      <c r="F51" s="40" t="s">
        <v>146</v>
      </c>
      <c r="G51" s="41" t="s">
        <v>577</v>
      </c>
      <c r="H51" s="42" t="s">
        <v>578</v>
      </c>
      <c r="I51" s="43" t="s">
        <v>579</v>
      </c>
      <c r="J51" s="44" t="s">
        <v>580</v>
      </c>
      <c r="K51" s="45" t="s">
        <v>581</v>
      </c>
      <c r="L51" s="46" t="s">
        <v>582</v>
      </c>
      <c r="M51" s="47" t="s">
        <v>583</v>
      </c>
    </row>
    <row r="52" customFormat="false" ht="57.75" hidden="false" customHeight="true" outlineLevel="0" collapsed="false">
      <c r="A52" s="35" t="s">
        <v>141</v>
      </c>
      <c r="B52" s="36" t="s">
        <v>584</v>
      </c>
      <c r="C52" s="50" t="s">
        <v>547</v>
      </c>
      <c r="D52" s="38" t="s">
        <v>585</v>
      </c>
      <c r="E52" s="39" t="s">
        <v>586</v>
      </c>
      <c r="F52" s="40" t="s">
        <v>146</v>
      </c>
      <c r="G52" s="41" t="s">
        <v>587</v>
      </c>
      <c r="H52" s="42" t="s">
        <v>588</v>
      </c>
      <c r="I52" s="43" t="s">
        <v>589</v>
      </c>
      <c r="J52" s="44" t="s">
        <v>590</v>
      </c>
      <c r="K52" s="45" t="s">
        <v>591</v>
      </c>
      <c r="L52" s="46" t="s">
        <v>592</v>
      </c>
      <c r="M52" s="47" t="s">
        <v>593</v>
      </c>
    </row>
    <row r="53" customFormat="false" ht="57.75" hidden="false" customHeight="true" outlineLevel="0" collapsed="false">
      <c r="A53" s="35" t="s">
        <v>141</v>
      </c>
      <c r="B53" s="36" t="s">
        <v>594</v>
      </c>
      <c r="C53" s="50" t="s">
        <v>547</v>
      </c>
      <c r="D53" s="38" t="s">
        <v>585</v>
      </c>
      <c r="E53" s="39" t="s">
        <v>595</v>
      </c>
      <c r="F53" s="40" t="s">
        <v>146</v>
      </c>
      <c r="G53" s="41" t="s">
        <v>596</v>
      </c>
      <c r="H53" s="42" t="s">
        <v>597</v>
      </c>
      <c r="I53" s="43" t="s">
        <v>598</v>
      </c>
      <c r="J53" s="44" t="s">
        <v>599</v>
      </c>
      <c r="K53" s="45" t="s">
        <v>600</v>
      </c>
      <c r="L53" s="46" t="s">
        <v>601</v>
      </c>
      <c r="M53" s="47" t="s">
        <v>602</v>
      </c>
    </row>
    <row r="54" customFormat="false" ht="57.75" hidden="false" customHeight="true" outlineLevel="0" collapsed="false">
      <c r="A54" s="35" t="s">
        <v>141</v>
      </c>
      <c r="B54" s="36" t="s">
        <v>603</v>
      </c>
      <c r="C54" s="50" t="s">
        <v>547</v>
      </c>
      <c r="D54" s="38" t="s">
        <v>585</v>
      </c>
      <c r="E54" s="39" t="s">
        <v>604</v>
      </c>
      <c r="F54" s="40" t="s">
        <v>146</v>
      </c>
      <c r="G54" s="41" t="s">
        <v>605</v>
      </c>
      <c r="H54" s="42" t="s">
        <v>606</v>
      </c>
      <c r="I54" s="43" t="s">
        <v>607</v>
      </c>
      <c r="J54" s="44" t="s">
        <v>608</v>
      </c>
      <c r="K54" s="45" t="s">
        <v>609</v>
      </c>
      <c r="L54" s="46" t="s">
        <v>610</v>
      </c>
      <c r="M54" s="47" t="s">
        <v>611</v>
      </c>
    </row>
    <row r="55" customFormat="false" ht="57.75" hidden="false" customHeight="true" outlineLevel="0" collapsed="false">
      <c r="A55" s="35" t="s">
        <v>141</v>
      </c>
      <c r="B55" s="36" t="s">
        <v>612</v>
      </c>
      <c r="C55" s="50" t="s">
        <v>547</v>
      </c>
      <c r="D55" s="38" t="s">
        <v>613</v>
      </c>
      <c r="E55" s="39" t="s">
        <v>614</v>
      </c>
      <c r="F55" s="40" t="s">
        <v>146</v>
      </c>
      <c r="G55" s="41" t="s">
        <v>615</v>
      </c>
      <c r="H55" s="42" t="s">
        <v>616</v>
      </c>
      <c r="I55" s="43" t="s">
        <v>617</v>
      </c>
      <c r="J55" s="44" t="s">
        <v>618</v>
      </c>
      <c r="K55" s="45" t="s">
        <v>619</v>
      </c>
      <c r="L55" s="46" t="s">
        <v>620</v>
      </c>
      <c r="M55" s="47" t="s">
        <v>621</v>
      </c>
    </row>
    <row r="56" customFormat="false" ht="57.75" hidden="false" customHeight="true" outlineLevel="0" collapsed="false">
      <c r="A56" s="35" t="s">
        <v>141</v>
      </c>
      <c r="B56" s="36" t="s">
        <v>622</v>
      </c>
      <c r="C56" s="50" t="s">
        <v>547</v>
      </c>
      <c r="D56" s="38" t="s">
        <v>613</v>
      </c>
      <c r="E56" s="39" t="s">
        <v>623</v>
      </c>
      <c r="F56" s="40" t="s">
        <v>146</v>
      </c>
      <c r="G56" s="41" t="s">
        <v>624</v>
      </c>
      <c r="H56" s="42" t="s">
        <v>625</v>
      </c>
      <c r="I56" s="43" t="s">
        <v>626</v>
      </c>
      <c r="J56" s="44" t="s">
        <v>627</v>
      </c>
      <c r="K56" s="45" t="s">
        <v>628</v>
      </c>
      <c r="L56" s="46" t="s">
        <v>629</v>
      </c>
      <c r="M56" s="47" t="s">
        <v>630</v>
      </c>
    </row>
    <row r="57" customFormat="false" ht="57.75" hidden="false" customHeight="true" outlineLevel="0" collapsed="false">
      <c r="A57" s="35" t="s">
        <v>141</v>
      </c>
      <c r="B57" s="36" t="s">
        <v>631</v>
      </c>
      <c r="C57" s="50" t="s">
        <v>547</v>
      </c>
      <c r="D57" s="38" t="s">
        <v>613</v>
      </c>
      <c r="E57" s="39" t="s">
        <v>632</v>
      </c>
      <c r="F57" s="49" t="s">
        <v>538</v>
      </c>
      <c r="G57" s="41" t="s">
        <v>633</v>
      </c>
      <c r="H57" s="42" t="s">
        <v>634</v>
      </c>
      <c r="I57" s="43" t="s">
        <v>635</v>
      </c>
      <c r="J57" s="44" t="s">
        <v>636</v>
      </c>
      <c r="K57" s="45" t="s">
        <v>637</v>
      </c>
      <c r="L57" s="46" t="s">
        <v>638</v>
      </c>
      <c r="M57" s="47" t="s">
        <v>639</v>
      </c>
    </row>
    <row r="58" customFormat="false" ht="57.75" hidden="false" customHeight="true" outlineLevel="0" collapsed="false">
      <c r="A58" s="35" t="s">
        <v>141</v>
      </c>
      <c r="B58" s="36" t="s">
        <v>640</v>
      </c>
      <c r="C58" s="51" t="s">
        <v>641</v>
      </c>
      <c r="D58" s="38" t="s">
        <v>642</v>
      </c>
      <c r="E58" s="39" t="s">
        <v>643</v>
      </c>
      <c r="F58" s="40" t="s">
        <v>146</v>
      </c>
      <c r="G58" s="41" t="s">
        <v>644</v>
      </c>
      <c r="H58" s="42" t="s">
        <v>645</v>
      </c>
      <c r="I58" s="43" t="s">
        <v>646</v>
      </c>
      <c r="J58" s="44" t="s">
        <v>647</v>
      </c>
      <c r="K58" s="45" t="s">
        <v>648</v>
      </c>
      <c r="L58" s="46" t="s">
        <v>649</v>
      </c>
      <c r="M58" s="47" t="s">
        <v>650</v>
      </c>
    </row>
    <row r="59" customFormat="false" ht="57.75" hidden="false" customHeight="true" outlineLevel="0" collapsed="false">
      <c r="A59" s="35" t="s">
        <v>141</v>
      </c>
      <c r="B59" s="36" t="s">
        <v>651</v>
      </c>
      <c r="C59" s="51" t="s">
        <v>641</v>
      </c>
      <c r="D59" s="38" t="s">
        <v>642</v>
      </c>
      <c r="E59" s="39" t="s">
        <v>652</v>
      </c>
      <c r="F59" s="40" t="s">
        <v>146</v>
      </c>
      <c r="G59" s="41" t="s">
        <v>653</v>
      </c>
      <c r="H59" s="42" t="s">
        <v>654</v>
      </c>
      <c r="I59" s="43" t="s">
        <v>655</v>
      </c>
      <c r="J59" s="44" t="s">
        <v>656</v>
      </c>
      <c r="K59" s="45" t="s">
        <v>657</v>
      </c>
      <c r="L59" s="46" t="s">
        <v>658</v>
      </c>
      <c r="M59" s="47" t="s">
        <v>659</v>
      </c>
    </row>
    <row r="60" customFormat="false" ht="57.75" hidden="false" customHeight="true" outlineLevel="0" collapsed="false">
      <c r="A60" s="35" t="s">
        <v>141</v>
      </c>
      <c r="B60" s="36" t="s">
        <v>660</v>
      </c>
      <c r="C60" s="51" t="s">
        <v>641</v>
      </c>
      <c r="D60" s="38" t="s">
        <v>642</v>
      </c>
      <c r="E60" s="39" t="s">
        <v>661</v>
      </c>
      <c r="F60" s="40" t="s">
        <v>146</v>
      </c>
      <c r="G60" s="41" t="s">
        <v>662</v>
      </c>
      <c r="H60" s="42" t="s">
        <v>663</v>
      </c>
      <c r="I60" s="43" t="s">
        <v>664</v>
      </c>
      <c r="J60" s="44" t="s">
        <v>665</v>
      </c>
      <c r="K60" s="45" t="s">
        <v>666</v>
      </c>
      <c r="L60" s="46" t="s">
        <v>667</v>
      </c>
      <c r="M60" s="47" t="s">
        <v>668</v>
      </c>
    </row>
    <row r="61" customFormat="false" ht="57.75" hidden="false" customHeight="true" outlineLevel="0" collapsed="false">
      <c r="A61" s="35" t="s">
        <v>141</v>
      </c>
      <c r="B61" s="36" t="s">
        <v>669</v>
      </c>
      <c r="C61" s="51" t="s">
        <v>641</v>
      </c>
      <c r="D61" s="38" t="s">
        <v>670</v>
      </c>
      <c r="E61" s="39" t="s">
        <v>671</v>
      </c>
      <c r="F61" s="40" t="s">
        <v>146</v>
      </c>
      <c r="G61" s="41" t="s">
        <v>672</v>
      </c>
      <c r="H61" s="42" t="s">
        <v>673</v>
      </c>
      <c r="I61" s="43" t="s">
        <v>674</v>
      </c>
      <c r="J61" s="44" t="s">
        <v>675</v>
      </c>
      <c r="K61" s="45" t="s">
        <v>676</v>
      </c>
      <c r="L61" s="46" t="s">
        <v>677</v>
      </c>
      <c r="M61" s="47" t="s">
        <v>678</v>
      </c>
    </row>
    <row r="62" customFormat="false" ht="57.75" hidden="false" customHeight="true" outlineLevel="0" collapsed="false">
      <c r="A62" s="35" t="s">
        <v>141</v>
      </c>
      <c r="B62" s="36" t="s">
        <v>679</v>
      </c>
      <c r="C62" s="51" t="s">
        <v>641</v>
      </c>
      <c r="D62" s="38" t="s">
        <v>670</v>
      </c>
      <c r="E62" s="39" t="s">
        <v>680</v>
      </c>
      <c r="F62" s="40" t="s">
        <v>146</v>
      </c>
      <c r="G62" s="41" t="s">
        <v>681</v>
      </c>
      <c r="H62" s="42" t="s">
        <v>682</v>
      </c>
      <c r="I62" s="43" t="s">
        <v>683</v>
      </c>
      <c r="J62" s="44" t="s">
        <v>684</v>
      </c>
      <c r="K62" s="45" t="s">
        <v>685</v>
      </c>
      <c r="L62" s="46" t="s">
        <v>686</v>
      </c>
      <c r="M62" s="47" t="s">
        <v>687</v>
      </c>
    </row>
    <row r="63" customFormat="false" ht="57.75" hidden="false" customHeight="true" outlineLevel="0" collapsed="false">
      <c r="A63" s="35" t="s">
        <v>141</v>
      </c>
      <c r="B63" s="36" t="s">
        <v>688</v>
      </c>
      <c r="C63" s="51" t="s">
        <v>641</v>
      </c>
      <c r="D63" s="38" t="s">
        <v>670</v>
      </c>
      <c r="E63" s="39" t="s">
        <v>689</v>
      </c>
      <c r="F63" s="40" t="s">
        <v>146</v>
      </c>
      <c r="G63" s="41" t="s">
        <v>690</v>
      </c>
      <c r="H63" s="42" t="s">
        <v>691</v>
      </c>
      <c r="I63" s="43" t="s">
        <v>692</v>
      </c>
      <c r="J63" s="44" t="s">
        <v>693</v>
      </c>
      <c r="K63" s="45" t="s">
        <v>694</v>
      </c>
      <c r="L63" s="46" t="s">
        <v>695</v>
      </c>
      <c r="M63" s="47" t="s">
        <v>696</v>
      </c>
    </row>
    <row r="64" customFormat="false" ht="57.75" hidden="false" customHeight="true" outlineLevel="0" collapsed="false">
      <c r="A64" s="35" t="s">
        <v>141</v>
      </c>
      <c r="B64" s="36" t="s">
        <v>697</v>
      </c>
      <c r="C64" s="51" t="s">
        <v>641</v>
      </c>
      <c r="D64" s="38" t="s">
        <v>698</v>
      </c>
      <c r="E64" s="39" t="s">
        <v>699</v>
      </c>
      <c r="F64" s="40" t="s">
        <v>146</v>
      </c>
      <c r="G64" s="41" t="s">
        <v>700</v>
      </c>
      <c r="H64" s="42" t="s">
        <v>701</v>
      </c>
      <c r="I64" s="43" t="s">
        <v>702</v>
      </c>
      <c r="J64" s="44" t="s">
        <v>703</v>
      </c>
      <c r="K64" s="45" t="s">
        <v>704</v>
      </c>
      <c r="L64" s="46" t="s">
        <v>705</v>
      </c>
      <c r="M64" s="47" t="s">
        <v>706</v>
      </c>
    </row>
    <row r="65" customFormat="false" ht="57.75" hidden="false" customHeight="true" outlineLevel="0" collapsed="false">
      <c r="A65" s="35" t="s">
        <v>141</v>
      </c>
      <c r="B65" s="36" t="s">
        <v>707</v>
      </c>
      <c r="C65" s="51" t="s">
        <v>641</v>
      </c>
      <c r="D65" s="38" t="s">
        <v>698</v>
      </c>
      <c r="E65" s="39" t="s">
        <v>708</v>
      </c>
      <c r="F65" s="40" t="s">
        <v>146</v>
      </c>
      <c r="G65" s="41" t="s">
        <v>709</v>
      </c>
      <c r="H65" s="42" t="s">
        <v>710</v>
      </c>
      <c r="I65" s="43" t="s">
        <v>711</v>
      </c>
      <c r="J65" s="44" t="s">
        <v>712</v>
      </c>
      <c r="K65" s="45" t="s">
        <v>713</v>
      </c>
      <c r="L65" s="46" t="s">
        <v>714</v>
      </c>
      <c r="M65" s="47" t="s">
        <v>715</v>
      </c>
    </row>
    <row r="66" customFormat="false" ht="57.75" hidden="false" customHeight="true" outlineLevel="0" collapsed="false">
      <c r="A66" s="35" t="s">
        <v>141</v>
      </c>
      <c r="B66" s="36" t="s">
        <v>716</v>
      </c>
      <c r="C66" s="51" t="s">
        <v>641</v>
      </c>
      <c r="D66" s="38" t="s">
        <v>698</v>
      </c>
      <c r="E66" s="39" t="s">
        <v>717</v>
      </c>
      <c r="F66" s="40" t="s">
        <v>146</v>
      </c>
      <c r="G66" s="41" t="s">
        <v>718</v>
      </c>
      <c r="H66" s="42" t="s">
        <v>719</v>
      </c>
      <c r="I66" s="43" t="s">
        <v>720</v>
      </c>
      <c r="J66" s="44" t="s">
        <v>721</v>
      </c>
      <c r="K66" s="45" t="s">
        <v>722</v>
      </c>
      <c r="L66" s="46" t="s">
        <v>723</v>
      </c>
      <c r="M66" s="47" t="s">
        <v>724</v>
      </c>
    </row>
    <row r="67" customFormat="false" ht="57.75" hidden="false" customHeight="true" outlineLevel="0" collapsed="false">
      <c r="A67" s="35" t="s">
        <v>141</v>
      </c>
      <c r="B67" s="36" t="s">
        <v>725</v>
      </c>
      <c r="C67" s="52" t="s">
        <v>726</v>
      </c>
      <c r="D67" s="38" t="s">
        <v>727</v>
      </c>
      <c r="E67" s="39" t="s">
        <v>728</v>
      </c>
      <c r="F67" s="40" t="s">
        <v>146</v>
      </c>
      <c r="G67" s="41" t="s">
        <v>729</v>
      </c>
      <c r="H67" s="42" t="s">
        <v>730</v>
      </c>
      <c r="I67" s="43" t="s">
        <v>731</v>
      </c>
      <c r="J67" s="44" t="s">
        <v>732</v>
      </c>
      <c r="K67" s="45" t="s">
        <v>733</v>
      </c>
      <c r="L67" s="46" t="s">
        <v>734</v>
      </c>
      <c r="M67" s="47" t="s">
        <v>735</v>
      </c>
    </row>
    <row r="68" customFormat="false" ht="57.75" hidden="false" customHeight="true" outlineLevel="0" collapsed="false">
      <c r="A68" s="35" t="s">
        <v>141</v>
      </c>
      <c r="B68" s="36" t="s">
        <v>736</v>
      </c>
      <c r="C68" s="52" t="s">
        <v>726</v>
      </c>
      <c r="D68" s="38" t="s">
        <v>727</v>
      </c>
      <c r="E68" s="39" t="s">
        <v>737</v>
      </c>
      <c r="F68" s="40" t="s">
        <v>146</v>
      </c>
      <c r="G68" s="41" t="s">
        <v>738</v>
      </c>
      <c r="H68" s="42" t="s">
        <v>739</v>
      </c>
      <c r="I68" s="43" t="s">
        <v>740</v>
      </c>
      <c r="J68" s="44" t="s">
        <v>741</v>
      </c>
      <c r="K68" s="45" t="s">
        <v>742</v>
      </c>
      <c r="L68" s="46" t="s">
        <v>743</v>
      </c>
      <c r="M68" s="47" t="s">
        <v>744</v>
      </c>
    </row>
    <row r="69" customFormat="false" ht="57.75" hidden="false" customHeight="true" outlineLevel="0" collapsed="false">
      <c r="A69" s="35" t="s">
        <v>141</v>
      </c>
      <c r="B69" s="36" t="s">
        <v>745</v>
      </c>
      <c r="C69" s="52" t="s">
        <v>726</v>
      </c>
      <c r="D69" s="38" t="s">
        <v>727</v>
      </c>
      <c r="E69" s="39" t="s">
        <v>746</v>
      </c>
      <c r="F69" s="40" t="s">
        <v>146</v>
      </c>
      <c r="G69" s="41" t="s">
        <v>747</v>
      </c>
      <c r="H69" s="42" t="s">
        <v>748</v>
      </c>
      <c r="I69" s="43" t="s">
        <v>749</v>
      </c>
      <c r="J69" s="44" t="s">
        <v>750</v>
      </c>
      <c r="K69" s="45" t="s">
        <v>751</v>
      </c>
      <c r="L69" s="46" t="s">
        <v>752</v>
      </c>
      <c r="M69" s="47" t="s">
        <v>753</v>
      </c>
    </row>
    <row r="70" customFormat="false" ht="57.75" hidden="false" customHeight="true" outlineLevel="0" collapsed="false">
      <c r="A70" s="35" t="s">
        <v>141</v>
      </c>
      <c r="B70" s="36" t="s">
        <v>754</v>
      </c>
      <c r="C70" s="52" t="s">
        <v>726</v>
      </c>
      <c r="D70" s="38" t="s">
        <v>755</v>
      </c>
      <c r="E70" s="39" t="s">
        <v>756</v>
      </c>
      <c r="F70" s="40" t="s">
        <v>146</v>
      </c>
      <c r="G70" s="41" t="s">
        <v>757</v>
      </c>
      <c r="H70" s="42" t="s">
        <v>758</v>
      </c>
      <c r="I70" s="43" t="s">
        <v>759</v>
      </c>
      <c r="J70" s="44" t="s">
        <v>760</v>
      </c>
      <c r="K70" s="45" t="s">
        <v>761</v>
      </c>
      <c r="L70" s="46" t="s">
        <v>762</v>
      </c>
      <c r="M70" s="47" t="s">
        <v>763</v>
      </c>
    </row>
    <row r="71" customFormat="false" ht="57.75" hidden="false" customHeight="true" outlineLevel="0" collapsed="false">
      <c r="A71" s="35" t="s">
        <v>141</v>
      </c>
      <c r="B71" s="36" t="s">
        <v>764</v>
      </c>
      <c r="C71" s="52" t="s">
        <v>726</v>
      </c>
      <c r="D71" s="38" t="s">
        <v>755</v>
      </c>
      <c r="E71" s="39" t="s">
        <v>765</v>
      </c>
      <c r="F71" s="40" t="s">
        <v>146</v>
      </c>
      <c r="G71" s="41" t="s">
        <v>766</v>
      </c>
      <c r="H71" s="42" t="s">
        <v>767</v>
      </c>
      <c r="I71" s="43" t="s">
        <v>768</v>
      </c>
      <c r="J71" s="44" t="s">
        <v>769</v>
      </c>
      <c r="K71" s="45" t="s">
        <v>770</v>
      </c>
      <c r="L71" s="46" t="s">
        <v>771</v>
      </c>
      <c r="M71" s="47" t="s">
        <v>772</v>
      </c>
    </row>
    <row r="72" customFormat="false" ht="57.75" hidden="false" customHeight="true" outlineLevel="0" collapsed="false">
      <c r="A72" s="35" t="s">
        <v>141</v>
      </c>
      <c r="B72" s="36" t="s">
        <v>773</v>
      </c>
      <c r="C72" s="52" t="s">
        <v>726</v>
      </c>
      <c r="D72" s="38" t="s">
        <v>755</v>
      </c>
      <c r="E72" s="39" t="s">
        <v>774</v>
      </c>
      <c r="F72" s="40" t="s">
        <v>146</v>
      </c>
      <c r="G72" s="41" t="s">
        <v>775</v>
      </c>
      <c r="H72" s="42" t="s">
        <v>776</v>
      </c>
      <c r="I72" s="43" t="s">
        <v>777</v>
      </c>
      <c r="J72" s="44" t="s">
        <v>778</v>
      </c>
      <c r="K72" s="45" t="s">
        <v>779</v>
      </c>
      <c r="L72" s="46" t="s">
        <v>780</v>
      </c>
      <c r="M72" s="47" t="s">
        <v>781</v>
      </c>
    </row>
    <row r="73" customFormat="false" ht="57.75" hidden="false" customHeight="true" outlineLevel="0" collapsed="false">
      <c r="A73" s="35" t="s">
        <v>141</v>
      </c>
      <c r="B73" s="36" t="s">
        <v>782</v>
      </c>
      <c r="C73" s="52" t="s">
        <v>726</v>
      </c>
      <c r="D73" s="38" t="s">
        <v>783</v>
      </c>
      <c r="E73" s="39" t="s">
        <v>784</v>
      </c>
      <c r="F73" s="40" t="s">
        <v>146</v>
      </c>
      <c r="G73" s="41" t="s">
        <v>785</v>
      </c>
      <c r="H73" s="42" t="s">
        <v>786</v>
      </c>
      <c r="I73" s="43" t="s">
        <v>787</v>
      </c>
      <c r="J73" s="44" t="s">
        <v>788</v>
      </c>
      <c r="K73" s="45" t="s">
        <v>789</v>
      </c>
      <c r="L73" s="46" t="s">
        <v>790</v>
      </c>
      <c r="M73" s="47" t="s">
        <v>791</v>
      </c>
    </row>
    <row r="74" customFormat="false" ht="57.75" hidden="false" customHeight="true" outlineLevel="0" collapsed="false">
      <c r="A74" s="35" t="s">
        <v>141</v>
      </c>
      <c r="B74" s="36" t="s">
        <v>792</v>
      </c>
      <c r="C74" s="52" t="s">
        <v>726</v>
      </c>
      <c r="D74" s="38" t="s">
        <v>783</v>
      </c>
      <c r="E74" s="39" t="s">
        <v>793</v>
      </c>
      <c r="F74" s="40" t="s">
        <v>146</v>
      </c>
      <c r="G74" s="41" t="s">
        <v>794</v>
      </c>
      <c r="H74" s="42" t="s">
        <v>795</v>
      </c>
      <c r="I74" s="43" t="s">
        <v>796</v>
      </c>
      <c r="J74" s="44" t="s">
        <v>797</v>
      </c>
      <c r="K74" s="45" t="s">
        <v>798</v>
      </c>
      <c r="L74" s="46" t="s">
        <v>799</v>
      </c>
      <c r="M74" s="47" t="s">
        <v>800</v>
      </c>
    </row>
    <row r="75" customFormat="false" ht="57.75" hidden="false" customHeight="true" outlineLevel="0" collapsed="false">
      <c r="A75" s="35" t="s">
        <v>141</v>
      </c>
      <c r="B75" s="36" t="s">
        <v>801</v>
      </c>
      <c r="C75" s="52" t="s">
        <v>726</v>
      </c>
      <c r="D75" s="38" t="s">
        <v>783</v>
      </c>
      <c r="E75" s="39" t="s">
        <v>802</v>
      </c>
      <c r="F75" s="40" t="s">
        <v>146</v>
      </c>
      <c r="G75" s="41" t="s">
        <v>803</v>
      </c>
      <c r="H75" s="42" t="s">
        <v>804</v>
      </c>
      <c r="I75" s="43" t="s">
        <v>805</v>
      </c>
      <c r="J75" s="44" t="s">
        <v>806</v>
      </c>
      <c r="K75" s="45" t="s">
        <v>807</v>
      </c>
      <c r="L75" s="46" t="s">
        <v>808</v>
      </c>
      <c r="M75" s="47" t="s">
        <v>809</v>
      </c>
    </row>
    <row r="76" customFormat="false" ht="57.75" hidden="false" customHeight="true" outlineLevel="0" collapsed="false">
      <c r="A76" s="35" t="s">
        <v>141</v>
      </c>
      <c r="B76" s="36" t="s">
        <v>810</v>
      </c>
      <c r="C76" s="52" t="s">
        <v>726</v>
      </c>
      <c r="D76" s="38" t="s">
        <v>783</v>
      </c>
      <c r="E76" s="39" t="s">
        <v>811</v>
      </c>
      <c r="F76" s="40" t="s">
        <v>146</v>
      </c>
      <c r="G76" s="41" t="s">
        <v>812</v>
      </c>
      <c r="H76" s="42" t="s">
        <v>813</v>
      </c>
      <c r="I76" s="43" t="s">
        <v>814</v>
      </c>
      <c r="J76" s="44" t="s">
        <v>815</v>
      </c>
      <c r="K76" s="45" t="s">
        <v>816</v>
      </c>
      <c r="L76" s="46" t="s">
        <v>817</v>
      </c>
      <c r="M76" s="47" t="s">
        <v>818</v>
      </c>
    </row>
    <row r="77" customFormat="false" ht="57.75" hidden="false" customHeight="true" outlineLevel="0" collapsed="false">
      <c r="A77" s="35" t="s">
        <v>141</v>
      </c>
      <c r="B77" s="36" t="s">
        <v>819</v>
      </c>
      <c r="C77" s="52" t="s">
        <v>726</v>
      </c>
      <c r="D77" s="38" t="s">
        <v>820</v>
      </c>
      <c r="E77" s="39" t="s">
        <v>821</v>
      </c>
      <c r="F77" s="40" t="s">
        <v>146</v>
      </c>
      <c r="G77" s="41" t="s">
        <v>822</v>
      </c>
      <c r="H77" s="42" t="s">
        <v>823</v>
      </c>
      <c r="I77" s="43" t="s">
        <v>824</v>
      </c>
      <c r="J77" s="44" t="s">
        <v>825</v>
      </c>
      <c r="K77" s="45" t="s">
        <v>826</v>
      </c>
      <c r="L77" s="46" t="s">
        <v>827</v>
      </c>
      <c r="M77" s="47" t="s">
        <v>828</v>
      </c>
    </row>
    <row r="78" customFormat="false" ht="57.75" hidden="false" customHeight="true" outlineLevel="0" collapsed="false">
      <c r="A78" s="35" t="s">
        <v>141</v>
      </c>
      <c r="B78" s="36" t="s">
        <v>829</v>
      </c>
      <c r="C78" s="52" t="s">
        <v>726</v>
      </c>
      <c r="D78" s="38" t="s">
        <v>820</v>
      </c>
      <c r="E78" s="39" t="s">
        <v>830</v>
      </c>
      <c r="F78" s="40" t="s">
        <v>146</v>
      </c>
      <c r="G78" s="41" t="s">
        <v>831</v>
      </c>
      <c r="H78" s="42" t="s">
        <v>832</v>
      </c>
      <c r="I78" s="43" t="s">
        <v>833</v>
      </c>
      <c r="J78" s="44" t="s">
        <v>834</v>
      </c>
      <c r="K78" s="45" t="s">
        <v>835</v>
      </c>
      <c r="L78" s="46" t="s">
        <v>836</v>
      </c>
      <c r="M78" s="47" t="s">
        <v>837</v>
      </c>
    </row>
    <row r="79" customFormat="false" ht="57.75" hidden="false" customHeight="true" outlineLevel="0" collapsed="false">
      <c r="A79" s="35" t="s">
        <v>141</v>
      </c>
      <c r="B79" s="36" t="s">
        <v>838</v>
      </c>
      <c r="C79" s="53" t="s">
        <v>839</v>
      </c>
      <c r="D79" s="38" t="s">
        <v>840</v>
      </c>
      <c r="E79" s="39" t="s">
        <v>841</v>
      </c>
      <c r="F79" s="40" t="s">
        <v>146</v>
      </c>
      <c r="G79" s="41" t="s">
        <v>842</v>
      </c>
      <c r="H79" s="42" t="s">
        <v>843</v>
      </c>
      <c r="I79" s="43" t="s">
        <v>844</v>
      </c>
      <c r="J79" s="44" t="s">
        <v>845</v>
      </c>
      <c r="K79" s="45" t="s">
        <v>846</v>
      </c>
      <c r="L79" s="46" t="s">
        <v>847</v>
      </c>
      <c r="M79" s="47" t="s">
        <v>848</v>
      </c>
    </row>
    <row r="80" customFormat="false" ht="57.75" hidden="false" customHeight="true" outlineLevel="0" collapsed="false">
      <c r="A80" s="35" t="s">
        <v>141</v>
      </c>
      <c r="B80" s="36" t="s">
        <v>849</v>
      </c>
      <c r="C80" s="53" t="s">
        <v>839</v>
      </c>
      <c r="D80" s="38" t="s">
        <v>840</v>
      </c>
      <c r="E80" s="39" t="s">
        <v>850</v>
      </c>
      <c r="F80" s="40" t="s">
        <v>146</v>
      </c>
      <c r="G80" s="41" t="s">
        <v>851</v>
      </c>
      <c r="H80" s="42" t="s">
        <v>852</v>
      </c>
      <c r="I80" s="43" t="s">
        <v>853</v>
      </c>
      <c r="J80" s="44" t="s">
        <v>854</v>
      </c>
      <c r="K80" s="45" t="s">
        <v>855</v>
      </c>
      <c r="L80" s="46" t="s">
        <v>856</v>
      </c>
      <c r="M80" s="47" t="s">
        <v>857</v>
      </c>
    </row>
    <row r="81" customFormat="false" ht="57.75" hidden="false" customHeight="true" outlineLevel="0" collapsed="false">
      <c r="A81" s="35" t="s">
        <v>141</v>
      </c>
      <c r="B81" s="36" t="s">
        <v>858</v>
      </c>
      <c r="C81" s="53" t="s">
        <v>839</v>
      </c>
      <c r="D81" s="38" t="s">
        <v>840</v>
      </c>
      <c r="E81" s="39" t="s">
        <v>859</v>
      </c>
      <c r="F81" s="40" t="s">
        <v>146</v>
      </c>
      <c r="G81" s="41" t="s">
        <v>860</v>
      </c>
      <c r="H81" s="42" t="s">
        <v>861</v>
      </c>
      <c r="I81" s="43" t="s">
        <v>862</v>
      </c>
      <c r="J81" s="44" t="s">
        <v>863</v>
      </c>
      <c r="K81" s="45" t="s">
        <v>864</v>
      </c>
      <c r="L81" s="46" t="s">
        <v>865</v>
      </c>
      <c r="M81" s="47" t="s">
        <v>866</v>
      </c>
    </row>
    <row r="82" customFormat="false" ht="57.75" hidden="false" customHeight="true" outlineLevel="0" collapsed="false">
      <c r="A82" s="35" t="s">
        <v>141</v>
      </c>
      <c r="B82" s="36" t="s">
        <v>867</v>
      </c>
      <c r="C82" s="53" t="s">
        <v>839</v>
      </c>
      <c r="D82" s="38" t="s">
        <v>840</v>
      </c>
      <c r="E82" s="39" t="s">
        <v>868</v>
      </c>
      <c r="F82" s="40" t="s">
        <v>146</v>
      </c>
      <c r="G82" s="41" t="s">
        <v>869</v>
      </c>
      <c r="H82" s="42" t="s">
        <v>870</v>
      </c>
      <c r="I82" s="43" t="s">
        <v>871</v>
      </c>
      <c r="J82" s="44" t="s">
        <v>872</v>
      </c>
      <c r="K82" s="45" t="s">
        <v>873</v>
      </c>
      <c r="L82" s="46" t="s">
        <v>874</v>
      </c>
      <c r="M82" s="47" t="s">
        <v>875</v>
      </c>
    </row>
    <row r="83" customFormat="false" ht="57.75" hidden="false" customHeight="true" outlineLevel="0" collapsed="false">
      <c r="A83" s="35" t="s">
        <v>141</v>
      </c>
      <c r="B83" s="36" t="s">
        <v>876</v>
      </c>
      <c r="C83" s="53" t="s">
        <v>839</v>
      </c>
      <c r="D83" s="38" t="s">
        <v>877</v>
      </c>
      <c r="E83" s="39" t="s">
        <v>878</v>
      </c>
      <c r="F83" s="40" t="s">
        <v>146</v>
      </c>
      <c r="G83" s="41" t="s">
        <v>879</v>
      </c>
      <c r="H83" s="42" t="s">
        <v>880</v>
      </c>
      <c r="I83" s="43" t="s">
        <v>881</v>
      </c>
      <c r="J83" s="44" t="s">
        <v>882</v>
      </c>
      <c r="K83" s="45" t="s">
        <v>883</v>
      </c>
      <c r="L83" s="46" t="s">
        <v>884</v>
      </c>
      <c r="M83" s="47" t="s">
        <v>885</v>
      </c>
    </row>
    <row r="84" customFormat="false" ht="57.75" hidden="false" customHeight="true" outlineLevel="0" collapsed="false">
      <c r="A84" s="35" t="s">
        <v>141</v>
      </c>
      <c r="B84" s="36" t="s">
        <v>886</v>
      </c>
      <c r="C84" s="53" t="s">
        <v>839</v>
      </c>
      <c r="D84" s="38" t="s">
        <v>877</v>
      </c>
      <c r="E84" s="39" t="s">
        <v>887</v>
      </c>
      <c r="F84" s="40" t="s">
        <v>146</v>
      </c>
      <c r="G84" s="41" t="s">
        <v>888</v>
      </c>
      <c r="H84" s="42" t="s">
        <v>889</v>
      </c>
      <c r="I84" s="43" t="s">
        <v>890</v>
      </c>
      <c r="J84" s="44" t="s">
        <v>891</v>
      </c>
      <c r="K84" s="45" t="s">
        <v>892</v>
      </c>
      <c r="L84" s="46" t="s">
        <v>893</v>
      </c>
      <c r="M84" s="47" t="s">
        <v>894</v>
      </c>
    </row>
    <row r="85" customFormat="false" ht="57.75" hidden="false" customHeight="true" outlineLevel="0" collapsed="false">
      <c r="A85" s="35" t="s">
        <v>141</v>
      </c>
      <c r="B85" s="36" t="s">
        <v>895</v>
      </c>
      <c r="C85" s="53" t="s">
        <v>839</v>
      </c>
      <c r="D85" s="38" t="s">
        <v>877</v>
      </c>
      <c r="E85" s="39" t="s">
        <v>896</v>
      </c>
      <c r="F85" s="40" t="s">
        <v>146</v>
      </c>
      <c r="G85" s="41" t="s">
        <v>897</v>
      </c>
      <c r="H85" s="42" t="s">
        <v>898</v>
      </c>
      <c r="I85" s="43" t="s">
        <v>899</v>
      </c>
      <c r="J85" s="44" t="s">
        <v>900</v>
      </c>
      <c r="K85" s="45" t="s">
        <v>901</v>
      </c>
      <c r="L85" s="46" t="s">
        <v>902</v>
      </c>
      <c r="M85" s="47" t="s">
        <v>903</v>
      </c>
    </row>
    <row r="86" customFormat="false" ht="57.75" hidden="false" customHeight="true" outlineLevel="0" collapsed="false">
      <c r="A86" s="35" t="s">
        <v>141</v>
      </c>
      <c r="B86" s="36" t="s">
        <v>904</v>
      </c>
      <c r="C86" s="53" t="s">
        <v>839</v>
      </c>
      <c r="D86" s="38" t="s">
        <v>877</v>
      </c>
      <c r="E86" s="39" t="s">
        <v>905</v>
      </c>
      <c r="F86" s="40" t="s">
        <v>146</v>
      </c>
      <c r="G86" s="41" t="s">
        <v>906</v>
      </c>
      <c r="H86" s="42" t="s">
        <v>907</v>
      </c>
      <c r="I86" s="43" t="s">
        <v>908</v>
      </c>
      <c r="J86" s="44" t="s">
        <v>909</v>
      </c>
      <c r="K86" s="45" t="s">
        <v>910</v>
      </c>
      <c r="L86" s="46" t="s">
        <v>911</v>
      </c>
      <c r="M86" s="47" t="s">
        <v>912</v>
      </c>
    </row>
    <row r="87" customFormat="false" ht="57.75" hidden="false" customHeight="true" outlineLevel="0" collapsed="false">
      <c r="A87" s="35" t="s">
        <v>141</v>
      </c>
      <c r="B87" s="36" t="s">
        <v>913</v>
      </c>
      <c r="C87" s="53" t="s">
        <v>839</v>
      </c>
      <c r="D87" s="38" t="s">
        <v>914</v>
      </c>
      <c r="E87" s="39" t="s">
        <v>915</v>
      </c>
      <c r="F87" s="40" t="s">
        <v>146</v>
      </c>
      <c r="G87" s="41" t="s">
        <v>916</v>
      </c>
      <c r="H87" s="42" t="s">
        <v>917</v>
      </c>
      <c r="I87" s="43" t="s">
        <v>918</v>
      </c>
      <c r="J87" s="44" t="s">
        <v>919</v>
      </c>
      <c r="K87" s="45" t="s">
        <v>920</v>
      </c>
      <c r="L87" s="46" t="s">
        <v>921</v>
      </c>
      <c r="M87" s="47" t="s">
        <v>922</v>
      </c>
    </row>
    <row r="88" customFormat="false" ht="57.75" hidden="false" customHeight="true" outlineLevel="0" collapsed="false">
      <c r="A88" s="35" t="s">
        <v>141</v>
      </c>
      <c r="B88" s="36" t="s">
        <v>923</v>
      </c>
      <c r="C88" s="53" t="s">
        <v>839</v>
      </c>
      <c r="D88" s="38" t="s">
        <v>914</v>
      </c>
      <c r="E88" s="39" t="s">
        <v>924</v>
      </c>
      <c r="F88" s="40" t="s">
        <v>146</v>
      </c>
      <c r="G88" s="41" t="s">
        <v>925</v>
      </c>
      <c r="H88" s="42" t="s">
        <v>926</v>
      </c>
      <c r="I88" s="43" t="s">
        <v>927</v>
      </c>
      <c r="J88" s="44" t="s">
        <v>928</v>
      </c>
      <c r="K88" s="45" t="s">
        <v>929</v>
      </c>
      <c r="L88" s="46" t="s">
        <v>930</v>
      </c>
      <c r="M88" s="47" t="s">
        <v>931</v>
      </c>
    </row>
    <row r="89" customFormat="false" ht="57.75" hidden="false" customHeight="true" outlineLevel="0" collapsed="false">
      <c r="A89" s="35" t="s">
        <v>141</v>
      </c>
      <c r="B89" s="36" t="s">
        <v>932</v>
      </c>
      <c r="C89" s="53" t="s">
        <v>839</v>
      </c>
      <c r="D89" s="38" t="s">
        <v>914</v>
      </c>
      <c r="E89" s="39" t="s">
        <v>933</v>
      </c>
      <c r="F89" s="40" t="s">
        <v>146</v>
      </c>
      <c r="G89" s="41" t="s">
        <v>934</v>
      </c>
      <c r="H89" s="42" t="s">
        <v>935</v>
      </c>
      <c r="I89" s="43" t="s">
        <v>936</v>
      </c>
      <c r="J89" s="44" t="s">
        <v>937</v>
      </c>
      <c r="K89" s="45" t="s">
        <v>938</v>
      </c>
      <c r="L89" s="46" t="s">
        <v>939</v>
      </c>
      <c r="M89" s="47" t="s">
        <v>940</v>
      </c>
    </row>
    <row r="90" customFormat="false" ht="57.75" hidden="false" customHeight="true" outlineLevel="0" collapsed="false">
      <c r="A90" s="35" t="s">
        <v>141</v>
      </c>
      <c r="B90" s="36" t="s">
        <v>941</v>
      </c>
      <c r="C90" s="53" t="s">
        <v>839</v>
      </c>
      <c r="D90" s="38" t="s">
        <v>914</v>
      </c>
      <c r="E90" s="39" t="s">
        <v>942</v>
      </c>
      <c r="F90" s="49" t="s">
        <v>538</v>
      </c>
      <c r="G90" s="41" t="s">
        <v>943</v>
      </c>
      <c r="H90" s="42" t="s">
        <v>944</v>
      </c>
      <c r="I90" s="43" t="s">
        <v>945</v>
      </c>
      <c r="J90" s="44" t="s">
        <v>946</v>
      </c>
      <c r="K90" s="45" t="s">
        <v>947</v>
      </c>
      <c r="L90" s="46" t="s">
        <v>948</v>
      </c>
      <c r="M90" s="47" t="s">
        <v>949</v>
      </c>
    </row>
    <row r="91" customFormat="false" ht="57.75" hidden="false" customHeight="true" outlineLevel="0" collapsed="false">
      <c r="A91" s="35" t="s">
        <v>141</v>
      </c>
      <c r="B91" s="36" t="s">
        <v>950</v>
      </c>
      <c r="C91" s="53" t="s">
        <v>839</v>
      </c>
      <c r="D91" s="38" t="s">
        <v>951</v>
      </c>
      <c r="E91" s="39" t="s">
        <v>952</v>
      </c>
      <c r="F91" s="40" t="s">
        <v>146</v>
      </c>
      <c r="G91" s="41" t="s">
        <v>953</v>
      </c>
      <c r="H91" s="42" t="s">
        <v>954</v>
      </c>
      <c r="I91" s="43" t="s">
        <v>955</v>
      </c>
      <c r="J91" s="44" t="s">
        <v>956</v>
      </c>
      <c r="K91" s="45" t="s">
        <v>957</v>
      </c>
      <c r="L91" s="46" t="s">
        <v>958</v>
      </c>
      <c r="M91" s="47" t="s">
        <v>959</v>
      </c>
    </row>
    <row r="92" customFormat="false" ht="57.75" hidden="false" customHeight="true" outlineLevel="0" collapsed="false">
      <c r="A92" s="35" t="s">
        <v>141</v>
      </c>
      <c r="B92" s="36" t="s">
        <v>960</v>
      </c>
      <c r="C92" s="53" t="s">
        <v>839</v>
      </c>
      <c r="D92" s="38" t="s">
        <v>951</v>
      </c>
      <c r="E92" s="39" t="s">
        <v>961</v>
      </c>
      <c r="F92" s="40" t="s">
        <v>146</v>
      </c>
      <c r="G92" s="41" t="s">
        <v>962</v>
      </c>
      <c r="H92" s="42" t="s">
        <v>963</v>
      </c>
      <c r="I92" s="43" t="s">
        <v>964</v>
      </c>
      <c r="J92" s="44" t="s">
        <v>965</v>
      </c>
      <c r="K92" s="45" t="s">
        <v>966</v>
      </c>
      <c r="L92" s="46" t="s">
        <v>967</v>
      </c>
      <c r="M92" s="47" t="s">
        <v>968</v>
      </c>
    </row>
    <row r="93" customFormat="false" ht="57.75" hidden="false" customHeight="true" outlineLevel="0" collapsed="false">
      <c r="A93" s="35" t="s">
        <v>141</v>
      </c>
      <c r="B93" s="36" t="s">
        <v>969</v>
      </c>
      <c r="C93" s="53" t="s">
        <v>839</v>
      </c>
      <c r="D93" s="38" t="s">
        <v>951</v>
      </c>
      <c r="E93" s="39" t="s">
        <v>970</v>
      </c>
      <c r="F93" s="40" t="s">
        <v>146</v>
      </c>
      <c r="G93" s="41" t="s">
        <v>971</v>
      </c>
      <c r="H93" s="42" t="s">
        <v>972</v>
      </c>
      <c r="I93" s="43" t="s">
        <v>973</v>
      </c>
      <c r="J93" s="44" t="s">
        <v>974</v>
      </c>
      <c r="K93" s="45" t="s">
        <v>975</v>
      </c>
      <c r="L93" s="46" t="s">
        <v>976</v>
      </c>
      <c r="M93" s="47" t="s">
        <v>977</v>
      </c>
    </row>
    <row r="94" customFormat="false" ht="57.75" hidden="false" customHeight="true" outlineLevel="0" collapsed="false">
      <c r="A94" s="35" t="s">
        <v>141</v>
      </c>
      <c r="B94" s="36" t="s">
        <v>978</v>
      </c>
      <c r="C94" s="53" t="s">
        <v>839</v>
      </c>
      <c r="D94" s="38" t="s">
        <v>951</v>
      </c>
      <c r="E94" s="39" t="s">
        <v>979</v>
      </c>
      <c r="F94" s="40" t="s">
        <v>146</v>
      </c>
      <c r="G94" s="41" t="s">
        <v>980</v>
      </c>
      <c r="H94" s="42" t="s">
        <v>981</v>
      </c>
      <c r="I94" s="43" t="s">
        <v>982</v>
      </c>
      <c r="J94" s="44" t="s">
        <v>983</v>
      </c>
      <c r="K94" s="45" t="s">
        <v>984</v>
      </c>
      <c r="L94" s="46" t="s">
        <v>985</v>
      </c>
      <c r="M94" s="47" t="s">
        <v>986</v>
      </c>
    </row>
    <row r="95" customFormat="false" ht="57.75" hidden="false" customHeight="true" outlineLevel="0" collapsed="false">
      <c r="A95" s="35" t="s">
        <v>141</v>
      </c>
      <c r="B95" s="36" t="s">
        <v>987</v>
      </c>
      <c r="C95" s="53" t="s">
        <v>839</v>
      </c>
      <c r="D95" s="38" t="s">
        <v>988</v>
      </c>
      <c r="E95" s="39" t="s">
        <v>989</v>
      </c>
      <c r="F95" s="49" t="s">
        <v>538</v>
      </c>
      <c r="G95" s="41" t="s">
        <v>990</v>
      </c>
      <c r="H95" s="42" t="s">
        <v>991</v>
      </c>
      <c r="I95" s="43" t="s">
        <v>992</v>
      </c>
      <c r="J95" s="44" t="s">
        <v>993</v>
      </c>
      <c r="K95" s="45" t="s">
        <v>994</v>
      </c>
      <c r="L95" s="46" t="s">
        <v>995</v>
      </c>
      <c r="M95" s="47" t="s">
        <v>996</v>
      </c>
    </row>
    <row r="96" customFormat="false" ht="57.75" hidden="false" customHeight="true" outlineLevel="0" collapsed="false">
      <c r="A96" s="35" t="s">
        <v>141</v>
      </c>
      <c r="B96" s="36" t="s">
        <v>997</v>
      </c>
      <c r="C96" s="53" t="s">
        <v>839</v>
      </c>
      <c r="D96" s="38" t="s">
        <v>988</v>
      </c>
      <c r="E96" s="39" t="s">
        <v>998</v>
      </c>
      <c r="F96" s="40" t="s">
        <v>146</v>
      </c>
      <c r="G96" s="41" t="s">
        <v>999</v>
      </c>
      <c r="H96" s="42" t="s">
        <v>1000</v>
      </c>
      <c r="I96" s="43" t="s">
        <v>1001</v>
      </c>
      <c r="J96" s="44" t="s">
        <v>1002</v>
      </c>
      <c r="K96" s="45" t="s">
        <v>1003</v>
      </c>
      <c r="L96" s="46" t="s">
        <v>1004</v>
      </c>
      <c r="M96" s="47" t="s">
        <v>1005</v>
      </c>
    </row>
    <row r="97" customFormat="false" ht="57.75" hidden="false" customHeight="true" outlineLevel="0" collapsed="false">
      <c r="A97" s="35" t="s">
        <v>141</v>
      </c>
      <c r="B97" s="36" t="s">
        <v>1006</v>
      </c>
      <c r="C97" s="53" t="s">
        <v>839</v>
      </c>
      <c r="D97" s="38" t="s">
        <v>988</v>
      </c>
      <c r="E97" s="39" t="s">
        <v>1007</v>
      </c>
      <c r="F97" s="49" t="s">
        <v>538</v>
      </c>
      <c r="G97" s="41" t="s">
        <v>1008</v>
      </c>
      <c r="H97" s="42" t="s">
        <v>1009</v>
      </c>
      <c r="I97" s="43" t="s">
        <v>1010</v>
      </c>
      <c r="J97" s="44" t="s">
        <v>1011</v>
      </c>
      <c r="K97" s="45" t="s">
        <v>1012</v>
      </c>
      <c r="L97" s="46" t="s">
        <v>1013</v>
      </c>
      <c r="M97" s="47" t="s">
        <v>1014</v>
      </c>
    </row>
    <row r="98" customFormat="false" ht="57.75" hidden="false" customHeight="true" outlineLevel="0" collapsed="false">
      <c r="A98" s="35" t="s">
        <v>141</v>
      </c>
      <c r="B98" s="36" t="s">
        <v>1015</v>
      </c>
      <c r="C98" s="53" t="s">
        <v>839</v>
      </c>
      <c r="D98" s="38" t="s">
        <v>988</v>
      </c>
      <c r="E98" s="39" t="s">
        <v>1016</v>
      </c>
      <c r="F98" s="49" t="s">
        <v>538</v>
      </c>
      <c r="G98" s="41" t="s">
        <v>1017</v>
      </c>
      <c r="H98" s="42" t="s">
        <v>1018</v>
      </c>
      <c r="I98" s="43" t="s">
        <v>1019</v>
      </c>
      <c r="J98" s="44" t="s">
        <v>1020</v>
      </c>
      <c r="K98" s="45" t="s">
        <v>1021</v>
      </c>
      <c r="L98" s="46" t="s">
        <v>1022</v>
      </c>
      <c r="M98" s="47" t="s">
        <v>1023</v>
      </c>
    </row>
    <row r="99" customFormat="false" ht="57.75" hidden="false" customHeight="true" outlineLevel="0" collapsed="false">
      <c r="A99" s="35" t="s">
        <v>141</v>
      </c>
      <c r="B99" s="36" t="s">
        <v>1024</v>
      </c>
      <c r="C99" s="54" t="s">
        <v>1025</v>
      </c>
      <c r="D99" s="38" t="s">
        <v>1026</v>
      </c>
      <c r="E99" s="39" t="s">
        <v>1027</v>
      </c>
      <c r="F99" s="40" t="s">
        <v>146</v>
      </c>
      <c r="G99" s="41" t="s">
        <v>1028</v>
      </c>
      <c r="H99" s="42" t="s">
        <v>1029</v>
      </c>
      <c r="I99" s="43" t="s">
        <v>1030</v>
      </c>
      <c r="J99" s="44" t="s">
        <v>1031</v>
      </c>
      <c r="K99" s="45" t="s">
        <v>1032</v>
      </c>
      <c r="L99" s="46" t="s">
        <v>1033</v>
      </c>
      <c r="M99" s="47" t="s">
        <v>1034</v>
      </c>
    </row>
    <row r="100" customFormat="false" ht="57.75" hidden="false" customHeight="true" outlineLevel="0" collapsed="false">
      <c r="A100" s="35" t="s">
        <v>141</v>
      </c>
      <c r="B100" s="36" t="s">
        <v>1035</v>
      </c>
      <c r="C100" s="54" t="s">
        <v>1025</v>
      </c>
      <c r="D100" s="38" t="s">
        <v>1026</v>
      </c>
      <c r="E100" s="39" t="s">
        <v>1036</v>
      </c>
      <c r="F100" s="40" t="s">
        <v>146</v>
      </c>
      <c r="G100" s="41" t="s">
        <v>1037</v>
      </c>
      <c r="H100" s="42" t="s">
        <v>1038</v>
      </c>
      <c r="I100" s="43" t="s">
        <v>1039</v>
      </c>
      <c r="J100" s="44" t="s">
        <v>1040</v>
      </c>
      <c r="K100" s="45" t="s">
        <v>1041</v>
      </c>
      <c r="L100" s="46" t="s">
        <v>1042</v>
      </c>
      <c r="M100" s="47" t="s">
        <v>1043</v>
      </c>
    </row>
    <row r="101" customFormat="false" ht="57.75" hidden="false" customHeight="true" outlineLevel="0" collapsed="false">
      <c r="A101" s="35" t="s">
        <v>141</v>
      </c>
      <c r="B101" s="36" t="s">
        <v>1044</v>
      </c>
      <c r="C101" s="54" t="s">
        <v>1025</v>
      </c>
      <c r="D101" s="38" t="s">
        <v>1026</v>
      </c>
      <c r="E101" s="39" t="s">
        <v>1045</v>
      </c>
      <c r="F101" s="40" t="s">
        <v>146</v>
      </c>
      <c r="G101" s="41" t="s">
        <v>1046</v>
      </c>
      <c r="H101" s="42" t="s">
        <v>1047</v>
      </c>
      <c r="I101" s="43" t="s">
        <v>1048</v>
      </c>
      <c r="J101" s="44" t="s">
        <v>1049</v>
      </c>
      <c r="K101" s="45" t="s">
        <v>1050</v>
      </c>
      <c r="L101" s="46" t="s">
        <v>1051</v>
      </c>
      <c r="M101" s="47" t="s">
        <v>1052</v>
      </c>
    </row>
    <row r="102" customFormat="false" ht="57.75" hidden="false" customHeight="true" outlineLevel="0" collapsed="false">
      <c r="A102" s="35" t="s">
        <v>141</v>
      </c>
      <c r="B102" s="36" t="s">
        <v>1053</v>
      </c>
      <c r="C102" s="54" t="s">
        <v>1025</v>
      </c>
      <c r="D102" s="38" t="s">
        <v>1054</v>
      </c>
      <c r="E102" s="39" t="s">
        <v>1055</v>
      </c>
      <c r="F102" s="40" t="s">
        <v>146</v>
      </c>
      <c r="G102" s="41" t="s">
        <v>1056</v>
      </c>
      <c r="H102" s="42" t="s">
        <v>1057</v>
      </c>
      <c r="I102" s="43" t="s">
        <v>1058</v>
      </c>
      <c r="J102" s="44" t="s">
        <v>1059</v>
      </c>
      <c r="K102" s="45" t="s">
        <v>1060</v>
      </c>
      <c r="L102" s="46" t="s">
        <v>1061</v>
      </c>
      <c r="M102" s="47" t="s">
        <v>1062</v>
      </c>
    </row>
    <row r="103" customFormat="false" ht="57.75" hidden="false" customHeight="true" outlineLevel="0" collapsed="false">
      <c r="A103" s="35" t="s">
        <v>141</v>
      </c>
      <c r="B103" s="36" t="s">
        <v>1063</v>
      </c>
      <c r="C103" s="54" t="s">
        <v>1025</v>
      </c>
      <c r="D103" s="38" t="s">
        <v>1054</v>
      </c>
      <c r="E103" s="39" t="s">
        <v>1064</v>
      </c>
      <c r="F103" s="40" t="s">
        <v>146</v>
      </c>
      <c r="G103" s="41" t="s">
        <v>1065</v>
      </c>
      <c r="H103" s="42" t="s">
        <v>1066</v>
      </c>
      <c r="I103" s="43" t="s">
        <v>1067</v>
      </c>
      <c r="J103" s="44" t="s">
        <v>1068</v>
      </c>
      <c r="K103" s="45" t="s">
        <v>1069</v>
      </c>
      <c r="L103" s="46" t="s">
        <v>1070</v>
      </c>
      <c r="M103" s="47" t="s">
        <v>1071</v>
      </c>
    </row>
    <row r="104" customFormat="false" ht="57.75" hidden="false" customHeight="true" outlineLevel="0" collapsed="false">
      <c r="A104" s="35" t="s">
        <v>141</v>
      </c>
      <c r="B104" s="36" t="s">
        <v>1072</v>
      </c>
      <c r="C104" s="54" t="s">
        <v>1025</v>
      </c>
      <c r="D104" s="38" t="s">
        <v>1073</v>
      </c>
      <c r="E104" s="39" t="s">
        <v>1074</v>
      </c>
      <c r="F104" s="40" t="s">
        <v>146</v>
      </c>
      <c r="G104" s="41" t="s">
        <v>1075</v>
      </c>
      <c r="H104" s="42" t="s">
        <v>1076</v>
      </c>
      <c r="I104" s="43" t="s">
        <v>1077</v>
      </c>
      <c r="J104" s="44" t="s">
        <v>1078</v>
      </c>
      <c r="K104" s="45" t="s">
        <v>1079</v>
      </c>
      <c r="L104" s="46" t="s">
        <v>1080</v>
      </c>
      <c r="M104" s="47" t="s">
        <v>1081</v>
      </c>
    </row>
    <row r="105" customFormat="false" ht="57.75" hidden="false" customHeight="true" outlineLevel="0" collapsed="false">
      <c r="A105" s="35" t="s">
        <v>141</v>
      </c>
      <c r="B105" s="36" t="s">
        <v>1082</v>
      </c>
      <c r="C105" s="54" t="s">
        <v>1025</v>
      </c>
      <c r="D105" s="38" t="s">
        <v>1073</v>
      </c>
      <c r="E105" s="39" t="s">
        <v>1083</v>
      </c>
      <c r="F105" s="40" t="s">
        <v>146</v>
      </c>
      <c r="G105" s="41" t="s">
        <v>1084</v>
      </c>
      <c r="H105" s="42" t="s">
        <v>1085</v>
      </c>
      <c r="I105" s="43" t="s">
        <v>1086</v>
      </c>
      <c r="J105" s="44" t="s">
        <v>1087</v>
      </c>
      <c r="K105" s="45" t="s">
        <v>1088</v>
      </c>
      <c r="L105" s="46" t="s">
        <v>1089</v>
      </c>
      <c r="M105" s="47" t="s">
        <v>1090</v>
      </c>
    </row>
    <row r="106" customFormat="false" ht="57.75" hidden="false" customHeight="true" outlineLevel="0" collapsed="false">
      <c r="A106" s="35" t="s">
        <v>141</v>
      </c>
      <c r="B106" s="36" t="s">
        <v>1091</v>
      </c>
      <c r="C106" s="54" t="s">
        <v>1025</v>
      </c>
      <c r="D106" s="38" t="s">
        <v>1073</v>
      </c>
      <c r="E106" s="39" t="s">
        <v>1092</v>
      </c>
      <c r="F106" s="40" t="s">
        <v>146</v>
      </c>
      <c r="G106" s="41" t="s">
        <v>1093</v>
      </c>
      <c r="H106" s="42" t="s">
        <v>1094</v>
      </c>
      <c r="I106" s="43" t="s">
        <v>1095</v>
      </c>
      <c r="J106" s="44" t="s">
        <v>1096</v>
      </c>
      <c r="K106" s="45" t="s">
        <v>1097</v>
      </c>
      <c r="L106" s="46" t="s">
        <v>1098</v>
      </c>
      <c r="M106" s="47" t="s">
        <v>1099</v>
      </c>
    </row>
    <row r="107" customFormat="false" ht="57.75" hidden="false" customHeight="true" outlineLevel="0" collapsed="false">
      <c r="A107" s="35" t="s">
        <v>141</v>
      </c>
      <c r="B107" s="36" t="s">
        <v>1100</v>
      </c>
      <c r="C107" s="54" t="s">
        <v>1025</v>
      </c>
      <c r="D107" s="38" t="s">
        <v>1101</v>
      </c>
      <c r="E107" s="39" t="s">
        <v>1102</v>
      </c>
      <c r="F107" s="40" t="s">
        <v>146</v>
      </c>
      <c r="G107" s="41" t="s">
        <v>1103</v>
      </c>
      <c r="H107" s="42" t="s">
        <v>1104</v>
      </c>
      <c r="I107" s="43" t="s">
        <v>1105</v>
      </c>
      <c r="J107" s="44" t="s">
        <v>1106</v>
      </c>
      <c r="K107" s="45" t="s">
        <v>1107</v>
      </c>
      <c r="L107" s="46" t="s">
        <v>1108</v>
      </c>
      <c r="M107" s="47" t="s">
        <v>1109</v>
      </c>
    </row>
    <row r="108" customFormat="false" ht="57.75" hidden="false" customHeight="true" outlineLevel="0" collapsed="false">
      <c r="A108" s="35" t="s">
        <v>141</v>
      </c>
      <c r="B108" s="36" t="s">
        <v>1110</v>
      </c>
      <c r="C108" s="54" t="s">
        <v>1025</v>
      </c>
      <c r="D108" s="38" t="s">
        <v>1101</v>
      </c>
      <c r="E108" s="39" t="s">
        <v>1111</v>
      </c>
      <c r="F108" s="40" t="s">
        <v>146</v>
      </c>
      <c r="G108" s="41" t="s">
        <v>1112</v>
      </c>
      <c r="H108" s="42" t="s">
        <v>1113</v>
      </c>
      <c r="I108" s="43" t="s">
        <v>1114</v>
      </c>
      <c r="J108" s="44" t="s">
        <v>1115</v>
      </c>
      <c r="K108" s="45" t="s">
        <v>1116</v>
      </c>
      <c r="L108" s="46" t="s">
        <v>1117</v>
      </c>
      <c r="M108" s="47" t="s">
        <v>1118</v>
      </c>
    </row>
    <row r="109" customFormat="false" ht="57.75" hidden="false" customHeight="true" outlineLevel="0" collapsed="false">
      <c r="A109" s="35" t="s">
        <v>141</v>
      </c>
      <c r="B109" s="36" t="s">
        <v>1119</v>
      </c>
      <c r="C109" s="54" t="s">
        <v>1025</v>
      </c>
      <c r="D109" s="38" t="s">
        <v>1101</v>
      </c>
      <c r="E109" s="39" t="s">
        <v>1120</v>
      </c>
      <c r="F109" s="40" t="s">
        <v>146</v>
      </c>
      <c r="G109" s="41" t="s">
        <v>1121</v>
      </c>
      <c r="H109" s="42" t="s">
        <v>1122</v>
      </c>
      <c r="I109" s="43" t="s">
        <v>1123</v>
      </c>
      <c r="J109" s="44" t="s">
        <v>1124</v>
      </c>
      <c r="K109" s="45" t="s">
        <v>1125</v>
      </c>
      <c r="L109" s="46" t="s">
        <v>1126</v>
      </c>
      <c r="M109" s="47" t="s">
        <v>1127</v>
      </c>
    </row>
    <row r="110" customFormat="false" ht="57.75" hidden="false" customHeight="true" outlineLevel="0" collapsed="false">
      <c r="A110" s="35" t="s">
        <v>141</v>
      </c>
      <c r="B110" s="36" t="s">
        <v>1128</v>
      </c>
      <c r="C110" s="54" t="s">
        <v>1025</v>
      </c>
      <c r="D110" s="38" t="s">
        <v>1101</v>
      </c>
      <c r="E110" s="39" t="s">
        <v>1129</v>
      </c>
      <c r="F110" s="40" t="s">
        <v>146</v>
      </c>
      <c r="G110" s="41" t="s">
        <v>1130</v>
      </c>
      <c r="H110" s="42" t="s">
        <v>1131</v>
      </c>
      <c r="I110" s="43" t="s">
        <v>1132</v>
      </c>
      <c r="J110" s="44" t="s">
        <v>1133</v>
      </c>
      <c r="K110" s="45" t="s">
        <v>1134</v>
      </c>
      <c r="L110" s="46" t="s">
        <v>1135</v>
      </c>
      <c r="M110" s="47" t="s">
        <v>1136</v>
      </c>
    </row>
    <row r="111" customFormat="false" ht="57.75" hidden="false" customHeight="true" outlineLevel="0" collapsed="false">
      <c r="A111" s="35" t="s">
        <v>141</v>
      </c>
      <c r="B111" s="36" t="s">
        <v>1137</v>
      </c>
      <c r="C111" s="54" t="s">
        <v>1025</v>
      </c>
      <c r="D111" s="38" t="s">
        <v>1138</v>
      </c>
      <c r="E111" s="39" t="s">
        <v>1139</v>
      </c>
      <c r="F111" s="40" t="s">
        <v>146</v>
      </c>
      <c r="G111" s="41" t="s">
        <v>1140</v>
      </c>
      <c r="H111" s="42" t="s">
        <v>1141</v>
      </c>
      <c r="I111" s="43" t="s">
        <v>1142</v>
      </c>
      <c r="J111" s="44" t="s">
        <v>1143</v>
      </c>
      <c r="K111" s="45" t="s">
        <v>1144</v>
      </c>
      <c r="L111" s="46" t="s">
        <v>1145</v>
      </c>
      <c r="M111" s="47" t="s">
        <v>1146</v>
      </c>
    </row>
    <row r="112" customFormat="false" ht="57.75" hidden="false" customHeight="true" outlineLevel="0" collapsed="false">
      <c r="A112" s="35" t="s">
        <v>141</v>
      </c>
      <c r="B112" s="36" t="s">
        <v>1147</v>
      </c>
      <c r="C112" s="54" t="s">
        <v>1025</v>
      </c>
      <c r="D112" s="38" t="s">
        <v>1138</v>
      </c>
      <c r="E112" s="39" t="s">
        <v>1148</v>
      </c>
      <c r="F112" s="40" t="s">
        <v>146</v>
      </c>
      <c r="G112" s="41" t="s">
        <v>1149</v>
      </c>
      <c r="H112" s="42" t="s">
        <v>1150</v>
      </c>
      <c r="I112" s="43" t="s">
        <v>1151</v>
      </c>
      <c r="J112" s="44" t="s">
        <v>1152</v>
      </c>
      <c r="K112" s="45" t="s">
        <v>1153</v>
      </c>
      <c r="L112" s="46" t="s">
        <v>1154</v>
      </c>
      <c r="M112" s="47" t="s">
        <v>1155</v>
      </c>
    </row>
    <row r="113" customFormat="false" ht="57.75" hidden="false" customHeight="true" outlineLevel="0" collapsed="false">
      <c r="A113" s="35" t="s">
        <v>141</v>
      </c>
      <c r="B113" s="36" t="s">
        <v>1156</v>
      </c>
      <c r="C113" s="54" t="s">
        <v>1025</v>
      </c>
      <c r="D113" s="38" t="s">
        <v>1138</v>
      </c>
      <c r="E113" s="39" t="s">
        <v>1157</v>
      </c>
      <c r="F113" s="49" t="s">
        <v>538</v>
      </c>
      <c r="G113" s="41" t="s">
        <v>1158</v>
      </c>
      <c r="H113" s="42" t="s">
        <v>1159</v>
      </c>
      <c r="I113" s="43" t="s">
        <v>1160</v>
      </c>
      <c r="J113" s="44" t="s">
        <v>1161</v>
      </c>
      <c r="K113" s="45" t="s">
        <v>1162</v>
      </c>
      <c r="L113" s="46" t="s">
        <v>1163</v>
      </c>
      <c r="M113" s="47" t="s">
        <v>1164</v>
      </c>
    </row>
    <row r="114" customFormat="false" ht="57.75" hidden="false" customHeight="true" outlineLevel="0" collapsed="false">
      <c r="A114" s="35" t="s">
        <v>141</v>
      </c>
      <c r="B114" s="36" t="s">
        <v>1165</v>
      </c>
      <c r="C114" s="54" t="s">
        <v>1025</v>
      </c>
      <c r="D114" s="38" t="s">
        <v>1166</v>
      </c>
      <c r="E114" s="39" t="s">
        <v>1167</v>
      </c>
      <c r="F114" s="40" t="s">
        <v>146</v>
      </c>
      <c r="G114" s="41" t="s">
        <v>1168</v>
      </c>
      <c r="H114" s="42" t="s">
        <v>1169</v>
      </c>
      <c r="I114" s="43" t="s">
        <v>1170</v>
      </c>
      <c r="J114" s="44" t="s">
        <v>1171</v>
      </c>
      <c r="K114" s="45" t="s">
        <v>1172</v>
      </c>
      <c r="L114" s="46" t="s">
        <v>1173</v>
      </c>
      <c r="M114" s="47" t="s">
        <v>1174</v>
      </c>
    </row>
    <row r="115" customFormat="false" ht="57.75" hidden="false" customHeight="true" outlineLevel="0" collapsed="false">
      <c r="A115" s="35" t="s">
        <v>141</v>
      </c>
      <c r="B115" s="36" t="s">
        <v>1175</v>
      </c>
      <c r="C115" s="54" t="s">
        <v>1025</v>
      </c>
      <c r="D115" s="38" t="s">
        <v>1166</v>
      </c>
      <c r="E115" s="39" t="s">
        <v>1176</v>
      </c>
      <c r="F115" s="40" t="s">
        <v>146</v>
      </c>
      <c r="G115" s="41" t="s">
        <v>1177</v>
      </c>
      <c r="H115" s="42" t="s">
        <v>1178</v>
      </c>
      <c r="I115" s="43" t="s">
        <v>1179</v>
      </c>
      <c r="J115" s="44" t="s">
        <v>1180</v>
      </c>
      <c r="K115" s="45" t="s">
        <v>1181</v>
      </c>
      <c r="L115" s="46" t="s">
        <v>1182</v>
      </c>
      <c r="M115" s="47" t="s">
        <v>1183</v>
      </c>
    </row>
    <row r="116" customFormat="false" ht="57.75" hidden="false" customHeight="true" outlineLevel="0" collapsed="false">
      <c r="A116" s="35" t="s">
        <v>141</v>
      </c>
      <c r="B116" s="36" t="s">
        <v>1184</v>
      </c>
      <c r="C116" s="54" t="s">
        <v>1025</v>
      </c>
      <c r="D116" s="38" t="s">
        <v>1166</v>
      </c>
      <c r="E116" s="39" t="s">
        <v>1185</v>
      </c>
      <c r="F116" s="40" t="s">
        <v>146</v>
      </c>
      <c r="G116" s="41" t="s">
        <v>1186</v>
      </c>
      <c r="H116" s="42" t="s">
        <v>1187</v>
      </c>
      <c r="I116" s="43" t="s">
        <v>1188</v>
      </c>
      <c r="J116" s="44" t="s">
        <v>1189</v>
      </c>
      <c r="K116" s="45" t="s">
        <v>1190</v>
      </c>
      <c r="L116" s="46" t="s">
        <v>1191</v>
      </c>
      <c r="M116" s="47" t="s">
        <v>1192</v>
      </c>
    </row>
    <row r="117" customFormat="false" ht="57.75" hidden="false" customHeight="true" outlineLevel="0" collapsed="false">
      <c r="A117" s="35" t="s">
        <v>141</v>
      </c>
      <c r="B117" s="36" t="s">
        <v>1193</v>
      </c>
      <c r="C117" s="54" t="s">
        <v>1025</v>
      </c>
      <c r="D117" s="38" t="s">
        <v>1166</v>
      </c>
      <c r="E117" s="39" t="s">
        <v>1194</v>
      </c>
      <c r="F117" s="40" t="s">
        <v>146</v>
      </c>
      <c r="G117" s="41" t="s">
        <v>1195</v>
      </c>
      <c r="H117" s="42" t="s">
        <v>1196</v>
      </c>
      <c r="I117" s="43" t="s">
        <v>1197</v>
      </c>
      <c r="J117" s="44" t="s">
        <v>1198</v>
      </c>
      <c r="K117" s="45" t="s">
        <v>1199</v>
      </c>
      <c r="L117" s="46" t="s">
        <v>1200</v>
      </c>
      <c r="M117" s="47" t="s">
        <v>1201</v>
      </c>
    </row>
    <row r="118" customFormat="false" ht="57.75" hidden="false" customHeight="true" outlineLevel="0" collapsed="false">
      <c r="A118" s="35" t="s">
        <v>141</v>
      </c>
      <c r="B118" s="36" t="s">
        <v>1202</v>
      </c>
      <c r="C118" s="54" t="s">
        <v>1025</v>
      </c>
      <c r="D118" s="38" t="s">
        <v>1166</v>
      </c>
      <c r="E118" s="39" t="s">
        <v>1203</v>
      </c>
      <c r="F118" s="49" t="s">
        <v>538</v>
      </c>
      <c r="G118" s="41" t="s">
        <v>1204</v>
      </c>
      <c r="H118" s="42" t="s">
        <v>1205</v>
      </c>
      <c r="I118" s="43" t="s">
        <v>1206</v>
      </c>
      <c r="J118" s="44" t="s">
        <v>1207</v>
      </c>
      <c r="K118" s="45" t="s">
        <v>1208</v>
      </c>
      <c r="L118" s="46" t="s">
        <v>1209</v>
      </c>
      <c r="M118" s="47" t="s">
        <v>1210</v>
      </c>
    </row>
    <row r="119" customFormat="false" ht="57.75" hidden="false" customHeight="true" outlineLevel="0" collapsed="false">
      <c r="A119" s="35" t="s">
        <v>141</v>
      </c>
      <c r="B119" s="36" t="s">
        <v>1211</v>
      </c>
      <c r="C119" s="55" t="s">
        <v>1212</v>
      </c>
      <c r="D119" s="38" t="s">
        <v>1213</v>
      </c>
      <c r="E119" s="39" t="s">
        <v>1214</v>
      </c>
      <c r="F119" s="40" t="s">
        <v>146</v>
      </c>
      <c r="G119" s="41" t="s">
        <v>1215</v>
      </c>
      <c r="H119" s="42" t="s">
        <v>1216</v>
      </c>
      <c r="I119" s="43" t="s">
        <v>1217</v>
      </c>
      <c r="J119" s="44" t="s">
        <v>1218</v>
      </c>
      <c r="K119" s="45" t="s">
        <v>1219</v>
      </c>
      <c r="L119" s="46" t="s">
        <v>1220</v>
      </c>
      <c r="M119" s="47" t="s">
        <v>1221</v>
      </c>
    </row>
    <row r="120" customFormat="false" ht="57.75" hidden="false" customHeight="true" outlineLevel="0" collapsed="false">
      <c r="A120" s="35" t="s">
        <v>141</v>
      </c>
      <c r="B120" s="36" t="s">
        <v>1222</v>
      </c>
      <c r="C120" s="55" t="s">
        <v>1212</v>
      </c>
      <c r="D120" s="38" t="s">
        <v>1213</v>
      </c>
      <c r="E120" s="39" t="s">
        <v>1223</v>
      </c>
      <c r="F120" s="40" t="s">
        <v>146</v>
      </c>
      <c r="G120" s="41" t="s">
        <v>1224</v>
      </c>
      <c r="H120" s="42" t="s">
        <v>1225</v>
      </c>
      <c r="I120" s="43" t="s">
        <v>1226</v>
      </c>
      <c r="J120" s="44" t="s">
        <v>1227</v>
      </c>
      <c r="K120" s="45" t="s">
        <v>1228</v>
      </c>
      <c r="L120" s="46" t="s">
        <v>1229</v>
      </c>
      <c r="M120" s="47" t="s">
        <v>1230</v>
      </c>
    </row>
    <row r="121" customFormat="false" ht="57.75" hidden="false" customHeight="true" outlineLevel="0" collapsed="false">
      <c r="A121" s="35" t="s">
        <v>141</v>
      </c>
      <c r="B121" s="36" t="s">
        <v>1231</v>
      </c>
      <c r="C121" s="55" t="s">
        <v>1212</v>
      </c>
      <c r="D121" s="38" t="s">
        <v>1213</v>
      </c>
      <c r="E121" s="39" t="s">
        <v>1232</v>
      </c>
      <c r="F121" s="40" t="s">
        <v>146</v>
      </c>
      <c r="G121" s="41" t="s">
        <v>1233</v>
      </c>
      <c r="H121" s="42" t="s">
        <v>1234</v>
      </c>
      <c r="I121" s="43" t="s">
        <v>1235</v>
      </c>
      <c r="J121" s="44" t="s">
        <v>1236</v>
      </c>
      <c r="K121" s="45" t="s">
        <v>1237</v>
      </c>
      <c r="L121" s="46" t="s">
        <v>1238</v>
      </c>
      <c r="M121" s="47" t="s">
        <v>1239</v>
      </c>
    </row>
    <row r="122" customFormat="false" ht="57.75" hidden="false" customHeight="true" outlineLevel="0" collapsed="false">
      <c r="A122" s="35" t="s">
        <v>141</v>
      </c>
      <c r="B122" s="36" t="s">
        <v>1240</v>
      </c>
      <c r="C122" s="55" t="s">
        <v>1212</v>
      </c>
      <c r="D122" s="38" t="s">
        <v>1241</v>
      </c>
      <c r="E122" s="39" t="s">
        <v>1242</v>
      </c>
      <c r="F122" s="40" t="s">
        <v>146</v>
      </c>
      <c r="G122" s="41" t="s">
        <v>1243</v>
      </c>
      <c r="H122" s="42" t="s">
        <v>1244</v>
      </c>
      <c r="I122" s="43" t="s">
        <v>1245</v>
      </c>
      <c r="J122" s="44" t="s">
        <v>1246</v>
      </c>
      <c r="K122" s="45" t="s">
        <v>1247</v>
      </c>
      <c r="L122" s="46" t="s">
        <v>1248</v>
      </c>
      <c r="M122" s="47" t="s">
        <v>1249</v>
      </c>
    </row>
    <row r="123" customFormat="false" ht="57.75" hidden="false" customHeight="true" outlineLevel="0" collapsed="false">
      <c r="A123" s="35" t="s">
        <v>141</v>
      </c>
      <c r="B123" s="36" t="s">
        <v>1250</v>
      </c>
      <c r="C123" s="55" t="s">
        <v>1212</v>
      </c>
      <c r="D123" s="38" t="s">
        <v>1241</v>
      </c>
      <c r="E123" s="39" t="s">
        <v>1251</v>
      </c>
      <c r="F123" s="40" t="s">
        <v>146</v>
      </c>
      <c r="G123" s="41" t="s">
        <v>1252</v>
      </c>
      <c r="H123" s="42" t="s">
        <v>1253</v>
      </c>
      <c r="I123" s="43" t="s">
        <v>1254</v>
      </c>
      <c r="J123" s="44" t="s">
        <v>1255</v>
      </c>
      <c r="K123" s="45" t="s">
        <v>1256</v>
      </c>
      <c r="L123" s="46" t="s">
        <v>1257</v>
      </c>
      <c r="M123" s="47" t="s">
        <v>1258</v>
      </c>
    </row>
    <row r="124" customFormat="false" ht="57.75" hidden="false" customHeight="true" outlineLevel="0" collapsed="false">
      <c r="A124" s="35" t="s">
        <v>141</v>
      </c>
      <c r="B124" s="36" t="s">
        <v>1259</v>
      </c>
      <c r="C124" s="55" t="s">
        <v>1212</v>
      </c>
      <c r="D124" s="38" t="s">
        <v>1241</v>
      </c>
      <c r="E124" s="39" t="s">
        <v>1260</v>
      </c>
      <c r="F124" s="40" t="s">
        <v>146</v>
      </c>
      <c r="G124" s="41" t="s">
        <v>1261</v>
      </c>
      <c r="H124" s="42" t="s">
        <v>1262</v>
      </c>
      <c r="I124" s="43" t="s">
        <v>1263</v>
      </c>
      <c r="J124" s="44" t="s">
        <v>1264</v>
      </c>
      <c r="K124" s="45" t="s">
        <v>1265</v>
      </c>
      <c r="L124" s="46" t="s">
        <v>1266</v>
      </c>
      <c r="M124" s="47" t="s">
        <v>1267</v>
      </c>
    </row>
    <row r="125" customFormat="false" ht="57.75" hidden="false" customHeight="true" outlineLevel="0" collapsed="false">
      <c r="A125" s="35" t="s">
        <v>141</v>
      </c>
      <c r="B125" s="36" t="s">
        <v>1268</v>
      </c>
      <c r="C125" s="55" t="s">
        <v>1212</v>
      </c>
      <c r="D125" s="38" t="s">
        <v>1241</v>
      </c>
      <c r="E125" s="39" t="s">
        <v>1269</v>
      </c>
      <c r="F125" s="40" t="s">
        <v>146</v>
      </c>
      <c r="G125" s="41" t="s">
        <v>1270</v>
      </c>
      <c r="H125" s="42" t="s">
        <v>1271</v>
      </c>
      <c r="I125" s="43" t="s">
        <v>1272</v>
      </c>
      <c r="J125" s="44" t="s">
        <v>1273</v>
      </c>
      <c r="K125" s="45" t="s">
        <v>1274</v>
      </c>
      <c r="L125" s="46" t="s">
        <v>1275</v>
      </c>
      <c r="M125" s="47" t="s">
        <v>1276</v>
      </c>
    </row>
    <row r="126" customFormat="false" ht="57.75" hidden="false" customHeight="true" outlineLevel="0" collapsed="false">
      <c r="A126" s="35" t="s">
        <v>141</v>
      </c>
      <c r="B126" s="36" t="s">
        <v>1277</v>
      </c>
      <c r="C126" s="55" t="s">
        <v>1212</v>
      </c>
      <c r="D126" s="38" t="s">
        <v>1278</v>
      </c>
      <c r="E126" s="39" t="s">
        <v>1279</v>
      </c>
      <c r="F126" s="40" t="s">
        <v>146</v>
      </c>
      <c r="G126" s="41" t="s">
        <v>1280</v>
      </c>
      <c r="H126" s="42" t="s">
        <v>1281</v>
      </c>
      <c r="I126" s="43" t="s">
        <v>1282</v>
      </c>
      <c r="J126" s="44" t="s">
        <v>1283</v>
      </c>
      <c r="K126" s="45" t="s">
        <v>1284</v>
      </c>
      <c r="L126" s="46" t="s">
        <v>1285</v>
      </c>
      <c r="M126" s="47" t="s">
        <v>1286</v>
      </c>
    </row>
    <row r="127" customFormat="false" ht="57.75" hidden="false" customHeight="true" outlineLevel="0" collapsed="false">
      <c r="A127" s="35" t="s">
        <v>141</v>
      </c>
      <c r="B127" s="36" t="s">
        <v>1287</v>
      </c>
      <c r="C127" s="55" t="s">
        <v>1212</v>
      </c>
      <c r="D127" s="38" t="s">
        <v>1278</v>
      </c>
      <c r="E127" s="39" t="s">
        <v>1288</v>
      </c>
      <c r="F127" s="40" t="s">
        <v>146</v>
      </c>
      <c r="G127" s="41" t="s">
        <v>1289</v>
      </c>
      <c r="H127" s="42" t="s">
        <v>1290</v>
      </c>
      <c r="I127" s="43" t="s">
        <v>1291</v>
      </c>
      <c r="J127" s="44" t="s">
        <v>1292</v>
      </c>
      <c r="K127" s="45" t="s">
        <v>1293</v>
      </c>
      <c r="L127" s="46" t="s">
        <v>1294</v>
      </c>
      <c r="M127" s="47" t="s">
        <v>1295</v>
      </c>
    </row>
    <row r="128" customFormat="false" ht="57.75" hidden="false" customHeight="true" outlineLevel="0" collapsed="false">
      <c r="A128" s="35" t="s">
        <v>141</v>
      </c>
      <c r="B128" s="36" t="s">
        <v>1296</v>
      </c>
      <c r="C128" s="55" t="s">
        <v>1212</v>
      </c>
      <c r="D128" s="38" t="s">
        <v>1297</v>
      </c>
      <c r="E128" s="39" t="s">
        <v>1298</v>
      </c>
      <c r="F128" s="40" t="s">
        <v>146</v>
      </c>
      <c r="G128" s="41" t="s">
        <v>1299</v>
      </c>
      <c r="H128" s="42" t="s">
        <v>1300</v>
      </c>
      <c r="I128" s="43" t="s">
        <v>1301</v>
      </c>
      <c r="J128" s="44" t="s">
        <v>1302</v>
      </c>
      <c r="K128" s="45" t="s">
        <v>1303</v>
      </c>
      <c r="L128" s="46" t="s">
        <v>1304</v>
      </c>
      <c r="M128" s="47" t="s">
        <v>1305</v>
      </c>
    </row>
    <row r="129" customFormat="false" ht="57.75" hidden="false" customHeight="true" outlineLevel="0" collapsed="false">
      <c r="A129" s="35" t="s">
        <v>141</v>
      </c>
      <c r="B129" s="36" t="s">
        <v>1306</v>
      </c>
      <c r="C129" s="55" t="s">
        <v>1212</v>
      </c>
      <c r="D129" s="38" t="s">
        <v>1297</v>
      </c>
      <c r="E129" s="39" t="s">
        <v>1307</v>
      </c>
      <c r="F129" s="40" t="s">
        <v>146</v>
      </c>
      <c r="G129" s="41" t="s">
        <v>1308</v>
      </c>
      <c r="H129" s="42" t="s">
        <v>1309</v>
      </c>
      <c r="I129" s="43" t="s">
        <v>1310</v>
      </c>
      <c r="J129" s="44" t="s">
        <v>1311</v>
      </c>
      <c r="K129" s="45" t="s">
        <v>1312</v>
      </c>
      <c r="L129" s="46" t="s">
        <v>1313</v>
      </c>
      <c r="M129" s="47" t="s">
        <v>1314</v>
      </c>
    </row>
    <row r="130" customFormat="false" ht="57.75" hidden="false" customHeight="true" outlineLevel="0" collapsed="false">
      <c r="A130" s="35" t="s">
        <v>141</v>
      </c>
      <c r="B130" s="36" t="s">
        <v>1315</v>
      </c>
      <c r="C130" s="55" t="s">
        <v>1212</v>
      </c>
      <c r="D130" s="38" t="s">
        <v>1297</v>
      </c>
      <c r="E130" s="39" t="s">
        <v>1316</v>
      </c>
      <c r="F130" s="40" t="s">
        <v>146</v>
      </c>
      <c r="G130" s="41" t="s">
        <v>1317</v>
      </c>
      <c r="H130" s="42" t="s">
        <v>1318</v>
      </c>
      <c r="I130" s="43" t="s">
        <v>1319</v>
      </c>
      <c r="J130" s="44" t="s">
        <v>1320</v>
      </c>
      <c r="K130" s="45" t="s">
        <v>1321</v>
      </c>
      <c r="L130" s="46" t="s">
        <v>1322</v>
      </c>
      <c r="M130" s="47" t="s">
        <v>1323</v>
      </c>
    </row>
    <row r="131" customFormat="false" ht="57.75" hidden="false" customHeight="true" outlineLevel="0" collapsed="false">
      <c r="A131" s="35" t="s">
        <v>141</v>
      </c>
      <c r="B131" s="36" t="s">
        <v>1324</v>
      </c>
      <c r="C131" s="55" t="s">
        <v>1212</v>
      </c>
      <c r="D131" s="38" t="s">
        <v>1297</v>
      </c>
      <c r="E131" s="39" t="s">
        <v>1325</v>
      </c>
      <c r="F131" s="40" t="s">
        <v>146</v>
      </c>
      <c r="G131" s="41" t="s">
        <v>1326</v>
      </c>
      <c r="H131" s="42" t="s">
        <v>1327</v>
      </c>
      <c r="I131" s="43" t="s">
        <v>1328</v>
      </c>
      <c r="J131" s="44" t="s">
        <v>1329</v>
      </c>
      <c r="K131" s="45" t="s">
        <v>1330</v>
      </c>
      <c r="L131" s="46" t="s">
        <v>1331</v>
      </c>
      <c r="M131" s="47" t="s">
        <v>1332</v>
      </c>
    </row>
    <row r="132" customFormat="false" ht="57.75" hidden="false" customHeight="true" outlineLevel="0" collapsed="false">
      <c r="A132" s="35" t="s">
        <v>141</v>
      </c>
      <c r="B132" s="36" t="s">
        <v>1333</v>
      </c>
      <c r="C132" s="55" t="s">
        <v>1212</v>
      </c>
      <c r="D132" s="38" t="s">
        <v>1334</v>
      </c>
      <c r="E132" s="39" t="s">
        <v>1335</v>
      </c>
      <c r="F132" s="40" t="s">
        <v>146</v>
      </c>
      <c r="G132" s="41" t="s">
        <v>1336</v>
      </c>
      <c r="H132" s="42" t="s">
        <v>1337</v>
      </c>
      <c r="I132" s="43" t="s">
        <v>1338</v>
      </c>
      <c r="J132" s="44" t="s">
        <v>1339</v>
      </c>
      <c r="K132" s="45" t="s">
        <v>1340</v>
      </c>
      <c r="L132" s="46" t="s">
        <v>1341</v>
      </c>
      <c r="M132" s="47" t="s">
        <v>1342</v>
      </c>
    </row>
    <row r="133" customFormat="false" ht="57.75" hidden="false" customHeight="true" outlineLevel="0" collapsed="false">
      <c r="A133" s="35" t="s">
        <v>141</v>
      </c>
      <c r="B133" s="36" t="s">
        <v>1343</v>
      </c>
      <c r="C133" s="55" t="s">
        <v>1212</v>
      </c>
      <c r="D133" s="38" t="s">
        <v>1334</v>
      </c>
      <c r="E133" s="39" t="s">
        <v>1344</v>
      </c>
      <c r="F133" s="40" t="s">
        <v>146</v>
      </c>
      <c r="G133" s="41" t="s">
        <v>1345</v>
      </c>
      <c r="H133" s="42" t="s">
        <v>1346</v>
      </c>
      <c r="I133" s="43" t="s">
        <v>1347</v>
      </c>
      <c r="J133" s="44" t="s">
        <v>1348</v>
      </c>
      <c r="K133" s="45" t="s">
        <v>1349</v>
      </c>
      <c r="L133" s="46" t="s">
        <v>1350</v>
      </c>
      <c r="M133" s="47" t="s">
        <v>1351</v>
      </c>
    </row>
    <row r="134" customFormat="false" ht="57.75" hidden="false" customHeight="true" outlineLevel="0" collapsed="false">
      <c r="A134" s="35" t="s">
        <v>141</v>
      </c>
      <c r="B134" s="36" t="s">
        <v>1352</v>
      </c>
      <c r="C134" s="55" t="s">
        <v>1212</v>
      </c>
      <c r="D134" s="38" t="s">
        <v>1334</v>
      </c>
      <c r="E134" s="39" t="s">
        <v>1353</v>
      </c>
      <c r="F134" s="40" t="s">
        <v>146</v>
      </c>
      <c r="G134" s="41" t="s">
        <v>1354</v>
      </c>
      <c r="H134" s="42" t="s">
        <v>1355</v>
      </c>
      <c r="I134" s="43" t="s">
        <v>1356</v>
      </c>
      <c r="J134" s="44" t="s">
        <v>1357</v>
      </c>
      <c r="K134" s="45" t="s">
        <v>1358</v>
      </c>
      <c r="L134" s="46" t="s">
        <v>1359</v>
      </c>
      <c r="M134" s="47" t="s">
        <v>1360</v>
      </c>
    </row>
    <row r="135" customFormat="false" ht="57.75" hidden="false" customHeight="true" outlineLevel="0" collapsed="false">
      <c r="A135" s="35" t="s">
        <v>141</v>
      </c>
      <c r="B135" s="36" t="s">
        <v>1361</v>
      </c>
      <c r="C135" s="55" t="s">
        <v>1212</v>
      </c>
      <c r="D135" s="38" t="s">
        <v>1334</v>
      </c>
      <c r="E135" s="39" t="s">
        <v>1362</v>
      </c>
      <c r="F135" s="40" t="s">
        <v>146</v>
      </c>
      <c r="G135" s="41" t="s">
        <v>1363</v>
      </c>
      <c r="H135" s="42" t="s">
        <v>1364</v>
      </c>
      <c r="I135" s="43" t="s">
        <v>1365</v>
      </c>
      <c r="J135" s="44" t="s">
        <v>1366</v>
      </c>
      <c r="K135" s="45" t="s">
        <v>1367</v>
      </c>
      <c r="L135" s="46" t="s">
        <v>1368</v>
      </c>
      <c r="M135" s="47" t="s">
        <v>1369</v>
      </c>
    </row>
    <row r="136" customFormat="false" ht="57.75" hidden="false" customHeight="true" outlineLevel="0" collapsed="false">
      <c r="A136" s="35" t="s">
        <v>141</v>
      </c>
      <c r="B136" s="36" t="s">
        <v>1370</v>
      </c>
      <c r="C136" s="55" t="s">
        <v>1212</v>
      </c>
      <c r="D136" s="38" t="s">
        <v>1334</v>
      </c>
      <c r="E136" s="39" t="s">
        <v>1371</v>
      </c>
      <c r="F136" s="40" t="s">
        <v>146</v>
      </c>
      <c r="G136" s="41" t="s">
        <v>1372</v>
      </c>
      <c r="H136" s="42" t="s">
        <v>1373</v>
      </c>
      <c r="I136" s="43" t="s">
        <v>1374</v>
      </c>
      <c r="J136" s="44" t="s">
        <v>1375</v>
      </c>
      <c r="K136" s="45" t="s">
        <v>1376</v>
      </c>
      <c r="L136" s="46" t="s">
        <v>1377</v>
      </c>
      <c r="M136" s="47" t="s">
        <v>1378</v>
      </c>
    </row>
    <row r="137" customFormat="false" ht="57.75" hidden="false" customHeight="true" outlineLevel="0" collapsed="false">
      <c r="A137" s="35" t="s">
        <v>141</v>
      </c>
      <c r="B137" s="36" t="s">
        <v>1379</v>
      </c>
      <c r="C137" s="55" t="s">
        <v>1212</v>
      </c>
      <c r="D137" s="38" t="s">
        <v>1380</v>
      </c>
      <c r="E137" s="39" t="s">
        <v>1381</v>
      </c>
      <c r="F137" s="40" t="s">
        <v>146</v>
      </c>
      <c r="G137" s="41" t="s">
        <v>1382</v>
      </c>
      <c r="H137" s="42" t="s">
        <v>1383</v>
      </c>
      <c r="I137" s="43" t="s">
        <v>1384</v>
      </c>
      <c r="J137" s="44" t="s">
        <v>1385</v>
      </c>
      <c r="K137" s="45" t="s">
        <v>1386</v>
      </c>
      <c r="L137" s="46" t="s">
        <v>1387</v>
      </c>
      <c r="M137" s="47" t="s">
        <v>1388</v>
      </c>
    </row>
    <row r="138" customFormat="false" ht="57.75" hidden="false" customHeight="true" outlineLevel="0" collapsed="false">
      <c r="A138" s="35" t="s">
        <v>141</v>
      </c>
      <c r="B138" s="36" t="s">
        <v>1389</v>
      </c>
      <c r="C138" s="55" t="s">
        <v>1212</v>
      </c>
      <c r="D138" s="38" t="s">
        <v>1380</v>
      </c>
      <c r="E138" s="39" t="s">
        <v>1390</v>
      </c>
      <c r="F138" s="40" t="s">
        <v>146</v>
      </c>
      <c r="G138" s="41" t="s">
        <v>1391</v>
      </c>
      <c r="H138" s="42" t="s">
        <v>1392</v>
      </c>
      <c r="I138" s="43" t="s">
        <v>1393</v>
      </c>
      <c r="J138" s="44" t="s">
        <v>1394</v>
      </c>
      <c r="K138" s="45" t="s">
        <v>1395</v>
      </c>
      <c r="L138" s="46" t="s">
        <v>1396</v>
      </c>
      <c r="M138" s="47" t="s">
        <v>1397</v>
      </c>
    </row>
    <row r="139" customFormat="false" ht="57.75" hidden="false" customHeight="true" outlineLevel="0" collapsed="false">
      <c r="A139" s="35" t="s">
        <v>141</v>
      </c>
      <c r="B139" s="36" t="s">
        <v>1398</v>
      </c>
      <c r="C139" s="55" t="s">
        <v>1212</v>
      </c>
      <c r="D139" s="38" t="s">
        <v>1380</v>
      </c>
      <c r="E139" s="39" t="s">
        <v>1399</v>
      </c>
      <c r="F139" s="40" t="s">
        <v>146</v>
      </c>
      <c r="G139" s="41" t="s">
        <v>1400</v>
      </c>
      <c r="H139" s="42" t="s">
        <v>1401</v>
      </c>
      <c r="I139" s="43" t="s">
        <v>1402</v>
      </c>
      <c r="J139" s="44" t="s">
        <v>1403</v>
      </c>
      <c r="K139" s="45" t="s">
        <v>1404</v>
      </c>
      <c r="L139" s="46" t="s">
        <v>1405</v>
      </c>
      <c r="M139" s="47" t="s">
        <v>1406</v>
      </c>
    </row>
    <row r="140" customFormat="false" ht="57.75" hidden="false" customHeight="true" outlineLevel="0" collapsed="false">
      <c r="A140" s="35" t="s">
        <v>141</v>
      </c>
      <c r="B140" s="36" t="s">
        <v>1407</v>
      </c>
      <c r="C140" s="55" t="s">
        <v>1212</v>
      </c>
      <c r="D140" s="38" t="s">
        <v>1380</v>
      </c>
      <c r="E140" s="39" t="s">
        <v>1408</v>
      </c>
      <c r="F140" s="40" t="s">
        <v>146</v>
      </c>
      <c r="G140" s="41" t="s">
        <v>1409</v>
      </c>
      <c r="H140" s="42" t="s">
        <v>1410</v>
      </c>
      <c r="I140" s="43" t="s">
        <v>1411</v>
      </c>
      <c r="J140" s="44" t="s">
        <v>1412</v>
      </c>
      <c r="K140" s="45" t="s">
        <v>1413</v>
      </c>
      <c r="L140" s="46" t="s">
        <v>1414</v>
      </c>
      <c r="M140" s="47" t="s">
        <v>1415</v>
      </c>
    </row>
    <row r="141" customFormat="false" ht="57.75" hidden="false" customHeight="true" outlineLevel="0" collapsed="false">
      <c r="A141" s="35" t="s">
        <v>141</v>
      </c>
      <c r="B141" s="36" t="s">
        <v>1416</v>
      </c>
      <c r="C141" s="55" t="s">
        <v>1212</v>
      </c>
      <c r="D141" s="38" t="s">
        <v>1380</v>
      </c>
      <c r="E141" s="39" t="s">
        <v>1417</v>
      </c>
      <c r="F141" s="40" t="s">
        <v>146</v>
      </c>
      <c r="G141" s="41" t="s">
        <v>1418</v>
      </c>
      <c r="H141" s="42" t="s">
        <v>1419</v>
      </c>
      <c r="I141" s="43" t="s">
        <v>1420</v>
      </c>
      <c r="J141" s="44" t="s">
        <v>1421</v>
      </c>
      <c r="K141" s="45" t="s">
        <v>1422</v>
      </c>
      <c r="L141" s="46" t="s">
        <v>1423</v>
      </c>
      <c r="M141" s="47" t="s">
        <v>1424</v>
      </c>
    </row>
    <row r="142" customFormat="false" ht="57.75" hidden="false" customHeight="true" outlineLevel="0" collapsed="false">
      <c r="A142" s="35" t="s">
        <v>141</v>
      </c>
      <c r="B142" s="36" t="s">
        <v>1425</v>
      </c>
      <c r="C142" s="55" t="s">
        <v>1212</v>
      </c>
      <c r="D142" s="38" t="s">
        <v>1380</v>
      </c>
      <c r="E142" s="39" t="s">
        <v>1426</v>
      </c>
      <c r="F142" s="40" t="s">
        <v>146</v>
      </c>
      <c r="G142" s="41" t="s">
        <v>1427</v>
      </c>
      <c r="H142" s="42" t="s">
        <v>1428</v>
      </c>
      <c r="I142" s="43" t="s">
        <v>1429</v>
      </c>
      <c r="J142" s="44" t="s">
        <v>1430</v>
      </c>
      <c r="K142" s="45" t="s">
        <v>1431</v>
      </c>
      <c r="L142" s="46" t="s">
        <v>1432</v>
      </c>
      <c r="M142" s="47" t="s">
        <v>1433</v>
      </c>
    </row>
    <row r="143" customFormat="false" ht="57.75" hidden="false" customHeight="true" outlineLevel="0" collapsed="false">
      <c r="A143" s="35" t="s">
        <v>141</v>
      </c>
      <c r="B143" s="36" t="s">
        <v>1434</v>
      </c>
      <c r="C143" s="55" t="s">
        <v>1212</v>
      </c>
      <c r="D143" s="38" t="s">
        <v>1435</v>
      </c>
      <c r="E143" s="39" t="s">
        <v>1436</v>
      </c>
      <c r="F143" s="40" t="s">
        <v>146</v>
      </c>
      <c r="G143" s="41" t="s">
        <v>1437</v>
      </c>
      <c r="H143" s="42" t="s">
        <v>1438</v>
      </c>
      <c r="I143" s="43" t="s">
        <v>1439</v>
      </c>
      <c r="J143" s="44" t="s">
        <v>1440</v>
      </c>
      <c r="K143" s="45" t="s">
        <v>1441</v>
      </c>
      <c r="L143" s="46" t="s">
        <v>1442</v>
      </c>
      <c r="M143" s="47" t="s">
        <v>1443</v>
      </c>
    </row>
    <row r="144" customFormat="false" ht="57.75" hidden="false" customHeight="true" outlineLevel="0" collapsed="false">
      <c r="A144" s="35" t="s">
        <v>141</v>
      </c>
      <c r="B144" s="36" t="s">
        <v>1444</v>
      </c>
      <c r="C144" s="55" t="s">
        <v>1212</v>
      </c>
      <c r="D144" s="38" t="s">
        <v>1435</v>
      </c>
      <c r="E144" s="39" t="s">
        <v>1445</v>
      </c>
      <c r="F144" s="40" t="s">
        <v>146</v>
      </c>
      <c r="G144" s="41" t="s">
        <v>1446</v>
      </c>
      <c r="H144" s="42" t="s">
        <v>1447</v>
      </c>
      <c r="I144" s="43" t="s">
        <v>1448</v>
      </c>
      <c r="J144" s="44" t="s">
        <v>1449</v>
      </c>
      <c r="K144" s="45" t="s">
        <v>1450</v>
      </c>
      <c r="L144" s="46" t="s">
        <v>1451</v>
      </c>
      <c r="M144" s="47" t="s">
        <v>1452</v>
      </c>
    </row>
    <row r="145" customFormat="false" ht="57.75" hidden="false" customHeight="true" outlineLevel="0" collapsed="false">
      <c r="A145" s="35" t="s">
        <v>141</v>
      </c>
      <c r="B145" s="36" t="s">
        <v>1453</v>
      </c>
      <c r="C145" s="55" t="s">
        <v>1212</v>
      </c>
      <c r="D145" s="38" t="s">
        <v>1435</v>
      </c>
      <c r="E145" s="39" t="s">
        <v>1454</v>
      </c>
      <c r="F145" s="40" t="s">
        <v>146</v>
      </c>
      <c r="G145" s="41" t="s">
        <v>1455</v>
      </c>
      <c r="H145" s="42" t="s">
        <v>1456</v>
      </c>
      <c r="I145" s="43" t="s">
        <v>1457</v>
      </c>
      <c r="J145" s="44" t="s">
        <v>1458</v>
      </c>
      <c r="K145" s="45" t="s">
        <v>1459</v>
      </c>
      <c r="L145" s="46" t="s">
        <v>1460</v>
      </c>
      <c r="M145" s="47" t="s">
        <v>1461</v>
      </c>
    </row>
    <row r="146" customFormat="false" ht="57.75" hidden="false" customHeight="true" outlineLevel="0" collapsed="false">
      <c r="A146" s="35" t="s">
        <v>141</v>
      </c>
      <c r="B146" s="36" t="s">
        <v>1462</v>
      </c>
      <c r="C146" s="55" t="s">
        <v>1212</v>
      </c>
      <c r="D146" s="38" t="s">
        <v>1463</v>
      </c>
      <c r="E146" s="39" t="s">
        <v>1464</v>
      </c>
      <c r="F146" s="49" t="s">
        <v>538</v>
      </c>
      <c r="G146" s="41" t="s">
        <v>1465</v>
      </c>
      <c r="H146" s="42" t="s">
        <v>1466</v>
      </c>
      <c r="I146" s="43" t="s">
        <v>1467</v>
      </c>
      <c r="J146" s="44" t="s">
        <v>1468</v>
      </c>
      <c r="K146" s="45" t="s">
        <v>1469</v>
      </c>
      <c r="L146" s="46" t="s">
        <v>1470</v>
      </c>
      <c r="M146" s="47" t="s">
        <v>1471</v>
      </c>
    </row>
    <row r="147" customFormat="false" ht="57.75" hidden="false" customHeight="true" outlineLevel="0" collapsed="false">
      <c r="A147" s="35" t="s">
        <v>141</v>
      </c>
      <c r="B147" s="36" t="s">
        <v>1472</v>
      </c>
      <c r="C147" s="55" t="s">
        <v>1212</v>
      </c>
      <c r="D147" s="38" t="s">
        <v>1463</v>
      </c>
      <c r="E147" s="39" t="s">
        <v>1473</v>
      </c>
      <c r="F147" s="49" t="s">
        <v>538</v>
      </c>
      <c r="G147" s="41" t="s">
        <v>1474</v>
      </c>
      <c r="H147" s="42" t="s">
        <v>1475</v>
      </c>
      <c r="I147" s="43" t="s">
        <v>1476</v>
      </c>
      <c r="J147" s="44" t="s">
        <v>1477</v>
      </c>
      <c r="K147" s="45" t="s">
        <v>1478</v>
      </c>
      <c r="L147" s="46" t="s">
        <v>1479</v>
      </c>
      <c r="M147" s="47" t="s">
        <v>1480</v>
      </c>
    </row>
    <row r="148" customFormat="false" ht="57.75" hidden="false" customHeight="true" outlineLevel="0" collapsed="false">
      <c r="A148" s="35" t="s">
        <v>141</v>
      </c>
      <c r="B148" s="36" t="s">
        <v>1481</v>
      </c>
      <c r="C148" s="56" t="s">
        <v>1482</v>
      </c>
      <c r="D148" s="38" t="s">
        <v>1483</v>
      </c>
      <c r="E148" s="39" t="s">
        <v>1484</v>
      </c>
      <c r="F148" s="40" t="s">
        <v>146</v>
      </c>
      <c r="G148" s="41" t="s">
        <v>1485</v>
      </c>
      <c r="H148" s="42" t="s">
        <v>1486</v>
      </c>
      <c r="I148" s="43" t="s">
        <v>1487</v>
      </c>
      <c r="J148" s="44" t="s">
        <v>1488</v>
      </c>
      <c r="K148" s="45" t="s">
        <v>1489</v>
      </c>
      <c r="L148" s="46" t="s">
        <v>1490</v>
      </c>
      <c r="M148" s="47" t="s">
        <v>1491</v>
      </c>
    </row>
    <row r="149" customFormat="false" ht="57.75" hidden="false" customHeight="true" outlineLevel="0" collapsed="false">
      <c r="A149" s="35" t="s">
        <v>141</v>
      </c>
      <c r="B149" s="36" t="s">
        <v>1492</v>
      </c>
      <c r="C149" s="56" t="s">
        <v>1482</v>
      </c>
      <c r="D149" s="38" t="s">
        <v>1483</v>
      </c>
      <c r="E149" s="39" t="s">
        <v>1493</v>
      </c>
      <c r="F149" s="40" t="s">
        <v>146</v>
      </c>
      <c r="G149" s="41" t="s">
        <v>1494</v>
      </c>
      <c r="H149" s="42" t="s">
        <v>1495</v>
      </c>
      <c r="I149" s="43" t="s">
        <v>1496</v>
      </c>
      <c r="J149" s="44" t="s">
        <v>1497</v>
      </c>
      <c r="K149" s="45" t="s">
        <v>1498</v>
      </c>
      <c r="L149" s="46" t="s">
        <v>1499</v>
      </c>
      <c r="M149" s="47" t="s">
        <v>1500</v>
      </c>
    </row>
    <row r="150" customFormat="false" ht="57.75" hidden="false" customHeight="true" outlineLevel="0" collapsed="false">
      <c r="A150" s="35" t="s">
        <v>141</v>
      </c>
      <c r="B150" s="36" t="s">
        <v>1501</v>
      </c>
      <c r="C150" s="56" t="s">
        <v>1482</v>
      </c>
      <c r="D150" s="38" t="s">
        <v>1483</v>
      </c>
      <c r="E150" s="39" t="s">
        <v>1502</v>
      </c>
      <c r="F150" s="40" t="s">
        <v>146</v>
      </c>
      <c r="G150" s="41" t="s">
        <v>1503</v>
      </c>
      <c r="H150" s="42" t="s">
        <v>1504</v>
      </c>
      <c r="I150" s="43" t="s">
        <v>1505</v>
      </c>
      <c r="J150" s="44" t="s">
        <v>1506</v>
      </c>
      <c r="K150" s="45" t="s">
        <v>1507</v>
      </c>
      <c r="L150" s="46" t="s">
        <v>1508</v>
      </c>
      <c r="M150" s="47" t="s">
        <v>1509</v>
      </c>
    </row>
    <row r="151" customFormat="false" ht="57.75" hidden="false" customHeight="true" outlineLevel="0" collapsed="false">
      <c r="A151" s="35" t="s">
        <v>141</v>
      </c>
      <c r="B151" s="36" t="s">
        <v>1510</v>
      </c>
      <c r="C151" s="56" t="s">
        <v>1482</v>
      </c>
      <c r="D151" s="38" t="s">
        <v>1483</v>
      </c>
      <c r="E151" s="39" t="s">
        <v>1511</v>
      </c>
      <c r="F151" s="40" t="s">
        <v>146</v>
      </c>
      <c r="G151" s="41" t="s">
        <v>1512</v>
      </c>
      <c r="H151" s="42" t="s">
        <v>1513</v>
      </c>
      <c r="I151" s="43" t="s">
        <v>1514</v>
      </c>
      <c r="J151" s="44" t="s">
        <v>1515</v>
      </c>
      <c r="K151" s="45" t="s">
        <v>1516</v>
      </c>
      <c r="L151" s="46" t="s">
        <v>1517</v>
      </c>
      <c r="M151" s="47" t="s">
        <v>1518</v>
      </c>
    </row>
    <row r="152" customFormat="false" ht="57.75" hidden="false" customHeight="true" outlineLevel="0" collapsed="false">
      <c r="A152" s="35" t="s">
        <v>141</v>
      </c>
      <c r="B152" s="36" t="s">
        <v>1519</v>
      </c>
      <c r="C152" s="56" t="s">
        <v>1482</v>
      </c>
      <c r="D152" s="38" t="s">
        <v>1520</v>
      </c>
      <c r="E152" s="39" t="s">
        <v>1521</v>
      </c>
      <c r="F152" s="40" t="s">
        <v>146</v>
      </c>
      <c r="G152" s="41" t="s">
        <v>1522</v>
      </c>
      <c r="H152" s="42" t="s">
        <v>1523</v>
      </c>
      <c r="I152" s="43" t="s">
        <v>1524</v>
      </c>
      <c r="J152" s="44" t="s">
        <v>1525</v>
      </c>
      <c r="K152" s="45" t="s">
        <v>1526</v>
      </c>
      <c r="L152" s="46" t="s">
        <v>1527</v>
      </c>
      <c r="M152" s="47" t="s">
        <v>1528</v>
      </c>
    </row>
    <row r="153" customFormat="false" ht="57.75" hidden="false" customHeight="true" outlineLevel="0" collapsed="false">
      <c r="A153" s="35" t="s">
        <v>141</v>
      </c>
      <c r="B153" s="36" t="s">
        <v>1529</v>
      </c>
      <c r="C153" s="56" t="s">
        <v>1482</v>
      </c>
      <c r="D153" s="38" t="s">
        <v>1520</v>
      </c>
      <c r="E153" s="39" t="s">
        <v>1530</v>
      </c>
      <c r="F153" s="40" t="s">
        <v>146</v>
      </c>
      <c r="G153" s="41" t="s">
        <v>1531</v>
      </c>
      <c r="H153" s="42" t="s">
        <v>1532</v>
      </c>
      <c r="I153" s="43" t="s">
        <v>1533</v>
      </c>
      <c r="J153" s="44" t="s">
        <v>1534</v>
      </c>
      <c r="K153" s="45" t="s">
        <v>1535</v>
      </c>
      <c r="L153" s="46" t="s">
        <v>1536</v>
      </c>
      <c r="M153" s="47" t="s">
        <v>1537</v>
      </c>
    </row>
    <row r="154" customFormat="false" ht="57.75" hidden="false" customHeight="true" outlineLevel="0" collapsed="false">
      <c r="A154" s="35" t="s">
        <v>141</v>
      </c>
      <c r="B154" s="36" t="s">
        <v>1538</v>
      </c>
      <c r="C154" s="56" t="s">
        <v>1482</v>
      </c>
      <c r="D154" s="38" t="s">
        <v>1520</v>
      </c>
      <c r="E154" s="39" t="s">
        <v>1539</v>
      </c>
      <c r="F154" s="40" t="s">
        <v>146</v>
      </c>
      <c r="G154" s="41" t="s">
        <v>1540</v>
      </c>
      <c r="H154" s="42" t="s">
        <v>1541</v>
      </c>
      <c r="I154" s="43" t="s">
        <v>1542</v>
      </c>
      <c r="J154" s="44" t="s">
        <v>1543</v>
      </c>
      <c r="K154" s="45" t="s">
        <v>1544</v>
      </c>
      <c r="L154" s="46" t="s">
        <v>1545</v>
      </c>
      <c r="M154" s="47" t="s">
        <v>1546</v>
      </c>
    </row>
    <row r="155" customFormat="false" ht="57.75" hidden="false" customHeight="true" outlineLevel="0" collapsed="false">
      <c r="A155" s="35" t="s">
        <v>141</v>
      </c>
      <c r="B155" s="36" t="s">
        <v>1547</v>
      </c>
      <c r="C155" s="56" t="s">
        <v>1482</v>
      </c>
      <c r="D155" s="38" t="s">
        <v>1520</v>
      </c>
      <c r="E155" s="39" t="s">
        <v>1548</v>
      </c>
      <c r="F155" s="40" t="s">
        <v>146</v>
      </c>
      <c r="G155" s="41" t="s">
        <v>1549</v>
      </c>
      <c r="H155" s="42" t="s">
        <v>1550</v>
      </c>
      <c r="I155" s="43" t="s">
        <v>1551</v>
      </c>
      <c r="J155" s="44" t="s">
        <v>1552</v>
      </c>
      <c r="K155" s="45" t="s">
        <v>1553</v>
      </c>
      <c r="L155" s="46" t="s">
        <v>1554</v>
      </c>
      <c r="M155" s="47" t="s">
        <v>1555</v>
      </c>
    </row>
    <row r="156" customFormat="false" ht="57.75" hidden="false" customHeight="true" outlineLevel="0" collapsed="false">
      <c r="A156" s="35" t="s">
        <v>141</v>
      </c>
      <c r="B156" s="36" t="s">
        <v>1556</v>
      </c>
      <c r="C156" s="56" t="s">
        <v>1482</v>
      </c>
      <c r="D156" s="38" t="s">
        <v>1520</v>
      </c>
      <c r="E156" s="39" t="s">
        <v>1557</v>
      </c>
      <c r="F156" s="40" t="s">
        <v>146</v>
      </c>
      <c r="G156" s="41" t="s">
        <v>1558</v>
      </c>
      <c r="H156" s="42" t="s">
        <v>1559</v>
      </c>
      <c r="I156" s="43" t="s">
        <v>1560</v>
      </c>
      <c r="J156" s="44" t="s">
        <v>1561</v>
      </c>
      <c r="K156" s="45" t="s">
        <v>1562</v>
      </c>
      <c r="L156" s="46" t="s">
        <v>1563</v>
      </c>
      <c r="M156" s="47" t="s">
        <v>1564</v>
      </c>
    </row>
    <row r="157" customFormat="false" ht="57.75" hidden="false" customHeight="true" outlineLevel="0" collapsed="false">
      <c r="A157" s="35" t="s">
        <v>141</v>
      </c>
      <c r="B157" s="36" t="s">
        <v>1565</v>
      </c>
      <c r="C157" s="56" t="s">
        <v>1482</v>
      </c>
      <c r="D157" s="38" t="s">
        <v>1520</v>
      </c>
      <c r="E157" s="39" t="s">
        <v>1566</v>
      </c>
      <c r="F157" s="40" t="s">
        <v>146</v>
      </c>
      <c r="G157" s="41" t="s">
        <v>1567</v>
      </c>
      <c r="H157" s="42" t="s">
        <v>1568</v>
      </c>
      <c r="I157" s="43" t="s">
        <v>1569</v>
      </c>
      <c r="J157" s="44" t="s">
        <v>1570</v>
      </c>
      <c r="K157" s="45" t="s">
        <v>1571</v>
      </c>
      <c r="L157" s="46" t="s">
        <v>1572</v>
      </c>
      <c r="M157" s="47" t="s">
        <v>1573</v>
      </c>
    </row>
    <row r="158" customFormat="false" ht="57.75" hidden="false" customHeight="true" outlineLevel="0" collapsed="false">
      <c r="A158" s="35" t="s">
        <v>141</v>
      </c>
      <c r="B158" s="36" t="s">
        <v>1574</v>
      </c>
      <c r="C158" s="56" t="s">
        <v>1482</v>
      </c>
      <c r="D158" s="38" t="s">
        <v>1575</v>
      </c>
      <c r="E158" s="39" t="s">
        <v>1576</v>
      </c>
      <c r="F158" s="40" t="s">
        <v>146</v>
      </c>
      <c r="G158" s="41" t="s">
        <v>1577</v>
      </c>
      <c r="H158" s="42" t="s">
        <v>1578</v>
      </c>
      <c r="I158" s="43" t="s">
        <v>1579</v>
      </c>
      <c r="J158" s="44" t="s">
        <v>1580</v>
      </c>
      <c r="K158" s="45" t="s">
        <v>1581</v>
      </c>
      <c r="L158" s="46" t="s">
        <v>1582</v>
      </c>
      <c r="M158" s="47" t="s">
        <v>1583</v>
      </c>
    </row>
    <row r="159" customFormat="false" ht="57.75" hidden="false" customHeight="true" outlineLevel="0" collapsed="false">
      <c r="A159" s="35" t="s">
        <v>141</v>
      </c>
      <c r="B159" s="36" t="s">
        <v>1584</v>
      </c>
      <c r="C159" s="56" t="s">
        <v>1482</v>
      </c>
      <c r="D159" s="38" t="s">
        <v>1575</v>
      </c>
      <c r="E159" s="39" t="s">
        <v>1585</v>
      </c>
      <c r="F159" s="40" t="s">
        <v>146</v>
      </c>
      <c r="G159" s="41" t="s">
        <v>1586</v>
      </c>
      <c r="H159" s="42" t="s">
        <v>1587</v>
      </c>
      <c r="I159" s="43" t="s">
        <v>1588</v>
      </c>
      <c r="J159" s="44" t="s">
        <v>1589</v>
      </c>
      <c r="K159" s="45" t="s">
        <v>1590</v>
      </c>
      <c r="L159" s="46" t="s">
        <v>1591</v>
      </c>
      <c r="M159" s="47" t="s">
        <v>1592</v>
      </c>
    </row>
    <row r="160" customFormat="false" ht="57.75" hidden="false" customHeight="true" outlineLevel="0" collapsed="false">
      <c r="A160" s="35" t="s">
        <v>141</v>
      </c>
      <c r="B160" s="36" t="s">
        <v>1593</v>
      </c>
      <c r="C160" s="56" t="s">
        <v>1482</v>
      </c>
      <c r="D160" s="38" t="s">
        <v>1575</v>
      </c>
      <c r="E160" s="39" t="s">
        <v>1594</v>
      </c>
      <c r="F160" s="40" t="s">
        <v>146</v>
      </c>
      <c r="G160" s="41" t="s">
        <v>1595</v>
      </c>
      <c r="H160" s="42" t="s">
        <v>1596</v>
      </c>
      <c r="I160" s="43" t="s">
        <v>1597</v>
      </c>
      <c r="J160" s="44" t="s">
        <v>1598</v>
      </c>
      <c r="K160" s="45" t="s">
        <v>1599</v>
      </c>
      <c r="L160" s="46" t="s">
        <v>1600</v>
      </c>
      <c r="M160" s="47" t="s">
        <v>1601</v>
      </c>
    </row>
    <row r="161" customFormat="false" ht="57.75" hidden="false" customHeight="true" outlineLevel="0" collapsed="false">
      <c r="A161" s="35" t="s">
        <v>141</v>
      </c>
      <c r="B161" s="36" t="s">
        <v>1602</v>
      </c>
      <c r="C161" s="56" t="s">
        <v>1482</v>
      </c>
      <c r="D161" s="38" t="s">
        <v>1575</v>
      </c>
      <c r="E161" s="39" t="s">
        <v>1603</v>
      </c>
      <c r="F161" s="40" t="s">
        <v>146</v>
      </c>
      <c r="G161" s="41" t="s">
        <v>1604</v>
      </c>
      <c r="H161" s="42" t="s">
        <v>1605</v>
      </c>
      <c r="I161" s="43" t="s">
        <v>1606</v>
      </c>
      <c r="J161" s="44" t="s">
        <v>1607</v>
      </c>
      <c r="K161" s="45" t="s">
        <v>1608</v>
      </c>
      <c r="L161" s="46" t="s">
        <v>1609</v>
      </c>
      <c r="M161" s="47" t="s">
        <v>1610</v>
      </c>
    </row>
    <row r="162" customFormat="false" ht="57.75" hidden="false" customHeight="true" outlineLevel="0" collapsed="false">
      <c r="A162" s="35" t="s">
        <v>141</v>
      </c>
      <c r="B162" s="36" t="s">
        <v>1611</v>
      </c>
      <c r="C162" s="56" t="s">
        <v>1482</v>
      </c>
      <c r="D162" s="38" t="s">
        <v>1612</v>
      </c>
      <c r="E162" s="39" t="s">
        <v>1613</v>
      </c>
      <c r="F162" s="40" t="s">
        <v>146</v>
      </c>
      <c r="G162" s="41" t="s">
        <v>1614</v>
      </c>
      <c r="H162" s="42" t="s">
        <v>1615</v>
      </c>
      <c r="I162" s="43" t="s">
        <v>1616</v>
      </c>
      <c r="J162" s="44" t="s">
        <v>1617</v>
      </c>
      <c r="K162" s="45" t="s">
        <v>1618</v>
      </c>
      <c r="L162" s="46" t="s">
        <v>1619</v>
      </c>
      <c r="M162" s="47" t="s">
        <v>1620</v>
      </c>
    </row>
    <row r="163" customFormat="false" ht="57.75" hidden="false" customHeight="true" outlineLevel="0" collapsed="false">
      <c r="A163" s="35" t="s">
        <v>141</v>
      </c>
      <c r="B163" s="36" t="s">
        <v>1621</v>
      </c>
      <c r="C163" s="56" t="s">
        <v>1482</v>
      </c>
      <c r="D163" s="38" t="s">
        <v>1612</v>
      </c>
      <c r="E163" s="39" t="s">
        <v>1622</v>
      </c>
      <c r="F163" s="49" t="s">
        <v>538</v>
      </c>
      <c r="G163" s="41" t="s">
        <v>1623</v>
      </c>
      <c r="H163" s="42" t="s">
        <v>1624</v>
      </c>
      <c r="I163" s="43" t="s">
        <v>1625</v>
      </c>
      <c r="J163" s="44" t="s">
        <v>1626</v>
      </c>
      <c r="K163" s="45" t="s">
        <v>1627</v>
      </c>
      <c r="L163" s="46" t="s">
        <v>1628</v>
      </c>
      <c r="M163" s="47" t="s">
        <v>1629</v>
      </c>
    </row>
    <row r="164" customFormat="false" ht="57.75" hidden="false" customHeight="true" outlineLevel="0" collapsed="false">
      <c r="A164" s="35" t="s">
        <v>141</v>
      </c>
      <c r="B164" s="36" t="s">
        <v>1630</v>
      </c>
      <c r="C164" s="56" t="s">
        <v>1482</v>
      </c>
      <c r="D164" s="38" t="s">
        <v>1612</v>
      </c>
      <c r="E164" s="39" t="s">
        <v>1631</v>
      </c>
      <c r="F164" s="49" t="s">
        <v>538</v>
      </c>
      <c r="G164" s="41" t="s">
        <v>1632</v>
      </c>
      <c r="H164" s="42" t="s">
        <v>1633</v>
      </c>
      <c r="I164" s="43" t="s">
        <v>1634</v>
      </c>
      <c r="J164" s="44" t="s">
        <v>1635</v>
      </c>
      <c r="K164" s="45" t="s">
        <v>1636</v>
      </c>
      <c r="L164" s="46" t="s">
        <v>1637</v>
      </c>
      <c r="M164" s="47" t="s">
        <v>1638</v>
      </c>
    </row>
    <row r="165" customFormat="false" ht="57.75" hidden="false" customHeight="true" outlineLevel="0" collapsed="false">
      <c r="A165" s="35" t="s">
        <v>141</v>
      </c>
      <c r="B165" s="36" t="s">
        <v>1639</v>
      </c>
      <c r="C165" s="57" t="s">
        <v>1640</v>
      </c>
      <c r="D165" s="38" t="s">
        <v>1641</v>
      </c>
      <c r="E165" s="39" t="s">
        <v>1642</v>
      </c>
      <c r="F165" s="40" t="s">
        <v>146</v>
      </c>
      <c r="G165" s="41" t="s">
        <v>1643</v>
      </c>
      <c r="H165" s="42" t="s">
        <v>1644</v>
      </c>
      <c r="I165" s="43" t="s">
        <v>1645</v>
      </c>
      <c r="J165" s="44" t="s">
        <v>1646</v>
      </c>
      <c r="K165" s="45" t="s">
        <v>1647</v>
      </c>
      <c r="L165" s="46" t="s">
        <v>1648</v>
      </c>
      <c r="M165" s="47" t="s">
        <v>1649</v>
      </c>
    </row>
    <row r="166" customFormat="false" ht="57.75" hidden="false" customHeight="true" outlineLevel="0" collapsed="false">
      <c r="A166" s="35" t="s">
        <v>141</v>
      </c>
      <c r="B166" s="36" t="s">
        <v>1650</v>
      </c>
      <c r="C166" s="57" t="s">
        <v>1640</v>
      </c>
      <c r="D166" s="38" t="s">
        <v>1641</v>
      </c>
      <c r="E166" s="39" t="s">
        <v>1651</v>
      </c>
      <c r="F166" s="40" t="s">
        <v>146</v>
      </c>
      <c r="G166" s="41" t="s">
        <v>1652</v>
      </c>
      <c r="H166" s="42" t="s">
        <v>1653</v>
      </c>
      <c r="I166" s="43" t="s">
        <v>1654</v>
      </c>
      <c r="J166" s="44" t="s">
        <v>1655</v>
      </c>
      <c r="K166" s="45" t="s">
        <v>1656</v>
      </c>
      <c r="L166" s="46" t="s">
        <v>1657</v>
      </c>
      <c r="M166" s="47" t="s">
        <v>1658</v>
      </c>
    </row>
    <row r="167" customFormat="false" ht="57.75" hidden="false" customHeight="true" outlineLevel="0" collapsed="false">
      <c r="A167" s="35" t="s">
        <v>141</v>
      </c>
      <c r="B167" s="36" t="s">
        <v>1659</v>
      </c>
      <c r="C167" s="57" t="s">
        <v>1640</v>
      </c>
      <c r="D167" s="38" t="s">
        <v>1641</v>
      </c>
      <c r="E167" s="39" t="s">
        <v>1660</v>
      </c>
      <c r="F167" s="40" t="s">
        <v>146</v>
      </c>
      <c r="G167" s="41" t="s">
        <v>1661</v>
      </c>
      <c r="H167" s="42" t="s">
        <v>1662</v>
      </c>
      <c r="I167" s="43" t="s">
        <v>1663</v>
      </c>
      <c r="J167" s="44" t="s">
        <v>1664</v>
      </c>
      <c r="K167" s="45" t="s">
        <v>1665</v>
      </c>
      <c r="L167" s="46" t="s">
        <v>1666</v>
      </c>
      <c r="M167" s="47" t="s">
        <v>1667</v>
      </c>
    </row>
    <row r="168" customFormat="false" ht="57.75" hidden="false" customHeight="true" outlineLevel="0" collapsed="false">
      <c r="A168" s="35" t="s">
        <v>141</v>
      </c>
      <c r="B168" s="36" t="s">
        <v>1668</v>
      </c>
      <c r="C168" s="57" t="s">
        <v>1640</v>
      </c>
      <c r="D168" s="38" t="s">
        <v>1641</v>
      </c>
      <c r="E168" s="39" t="s">
        <v>1669</v>
      </c>
      <c r="F168" s="49" t="s">
        <v>538</v>
      </c>
      <c r="G168" s="41" t="s">
        <v>1670</v>
      </c>
      <c r="H168" s="42" t="s">
        <v>1671</v>
      </c>
      <c r="I168" s="43" t="s">
        <v>1672</v>
      </c>
      <c r="J168" s="44" t="s">
        <v>1673</v>
      </c>
      <c r="K168" s="45" t="s">
        <v>1674</v>
      </c>
      <c r="L168" s="46" t="s">
        <v>1675</v>
      </c>
      <c r="M168" s="47" t="s">
        <v>1676</v>
      </c>
    </row>
    <row r="169" customFormat="false" ht="57.75" hidden="false" customHeight="true" outlineLevel="0" collapsed="false">
      <c r="A169" s="35" t="s">
        <v>141</v>
      </c>
      <c r="B169" s="36" t="s">
        <v>1677</v>
      </c>
      <c r="C169" s="57" t="s">
        <v>1640</v>
      </c>
      <c r="D169" s="38" t="s">
        <v>1678</v>
      </c>
      <c r="E169" s="39" t="s">
        <v>1679</v>
      </c>
      <c r="F169" s="40" t="s">
        <v>146</v>
      </c>
      <c r="G169" s="41" t="s">
        <v>1680</v>
      </c>
      <c r="H169" s="42" t="s">
        <v>1681</v>
      </c>
      <c r="I169" s="43" t="s">
        <v>1682</v>
      </c>
      <c r="J169" s="44" t="s">
        <v>1683</v>
      </c>
      <c r="K169" s="45" t="s">
        <v>1684</v>
      </c>
      <c r="L169" s="46" t="s">
        <v>1685</v>
      </c>
      <c r="M169" s="47" t="s">
        <v>1686</v>
      </c>
    </row>
    <row r="170" customFormat="false" ht="57.75" hidden="false" customHeight="true" outlineLevel="0" collapsed="false">
      <c r="A170" s="35" t="s">
        <v>141</v>
      </c>
      <c r="B170" s="36" t="s">
        <v>1687</v>
      </c>
      <c r="C170" s="57" t="s">
        <v>1640</v>
      </c>
      <c r="D170" s="38" t="s">
        <v>1678</v>
      </c>
      <c r="E170" s="39" t="s">
        <v>1688</v>
      </c>
      <c r="F170" s="40" t="s">
        <v>146</v>
      </c>
      <c r="G170" s="41" t="s">
        <v>1689</v>
      </c>
      <c r="H170" s="42" t="s">
        <v>1690</v>
      </c>
      <c r="I170" s="43" t="s">
        <v>1691</v>
      </c>
      <c r="J170" s="44" t="s">
        <v>1692</v>
      </c>
      <c r="K170" s="45" t="s">
        <v>1693</v>
      </c>
      <c r="L170" s="46" t="s">
        <v>1694</v>
      </c>
      <c r="M170" s="47" t="s">
        <v>1695</v>
      </c>
    </row>
    <row r="171" customFormat="false" ht="57.75" hidden="false" customHeight="true" outlineLevel="0" collapsed="false">
      <c r="A171" s="35" t="s">
        <v>141</v>
      </c>
      <c r="B171" s="36" t="s">
        <v>1696</v>
      </c>
      <c r="C171" s="57" t="s">
        <v>1640</v>
      </c>
      <c r="D171" s="38" t="s">
        <v>1678</v>
      </c>
      <c r="E171" s="39" t="s">
        <v>1697</v>
      </c>
      <c r="F171" s="40" t="s">
        <v>146</v>
      </c>
      <c r="G171" s="41" t="s">
        <v>1698</v>
      </c>
      <c r="H171" s="42" t="s">
        <v>1699</v>
      </c>
      <c r="I171" s="43" t="s">
        <v>1700</v>
      </c>
      <c r="J171" s="44" t="s">
        <v>1701</v>
      </c>
      <c r="K171" s="45" t="s">
        <v>1702</v>
      </c>
      <c r="L171" s="46" t="s">
        <v>1703</v>
      </c>
      <c r="M171" s="47" t="s">
        <v>1704</v>
      </c>
    </row>
    <row r="172" customFormat="false" ht="57.75" hidden="false" customHeight="true" outlineLevel="0" collapsed="false">
      <c r="A172" s="35" t="s">
        <v>141</v>
      </c>
      <c r="B172" s="36" t="s">
        <v>1705</v>
      </c>
      <c r="C172" s="57" t="s">
        <v>1640</v>
      </c>
      <c r="D172" s="38" t="s">
        <v>1678</v>
      </c>
      <c r="E172" s="39" t="s">
        <v>1706</v>
      </c>
      <c r="F172" s="40" t="s">
        <v>146</v>
      </c>
      <c r="G172" s="41" t="s">
        <v>1707</v>
      </c>
      <c r="H172" s="42" t="s">
        <v>1708</v>
      </c>
      <c r="I172" s="43" t="s">
        <v>1709</v>
      </c>
      <c r="J172" s="44" t="s">
        <v>1710</v>
      </c>
      <c r="K172" s="45" t="s">
        <v>1711</v>
      </c>
      <c r="L172" s="46" t="s">
        <v>1712</v>
      </c>
      <c r="M172" s="47" t="s">
        <v>1713</v>
      </c>
    </row>
    <row r="173" customFormat="false" ht="57.75" hidden="false" customHeight="true" outlineLevel="0" collapsed="false">
      <c r="A173" s="35" t="s">
        <v>141</v>
      </c>
      <c r="B173" s="36" t="s">
        <v>1714</v>
      </c>
      <c r="C173" s="57" t="s">
        <v>1640</v>
      </c>
      <c r="D173" s="38" t="s">
        <v>1715</v>
      </c>
      <c r="E173" s="39" t="s">
        <v>1716</v>
      </c>
      <c r="F173" s="40" t="s">
        <v>146</v>
      </c>
      <c r="G173" s="41" t="s">
        <v>1717</v>
      </c>
      <c r="H173" s="42" t="s">
        <v>1718</v>
      </c>
      <c r="I173" s="43" t="s">
        <v>1719</v>
      </c>
      <c r="J173" s="44" t="s">
        <v>1720</v>
      </c>
      <c r="K173" s="45" t="s">
        <v>1721</v>
      </c>
      <c r="L173" s="46" t="s">
        <v>1722</v>
      </c>
      <c r="M173" s="47" t="s">
        <v>1723</v>
      </c>
    </row>
    <row r="174" customFormat="false" ht="57.75" hidden="false" customHeight="true" outlineLevel="0" collapsed="false">
      <c r="A174" s="35" t="s">
        <v>141</v>
      </c>
      <c r="B174" s="36" t="s">
        <v>1724</v>
      </c>
      <c r="C174" s="57" t="s">
        <v>1640</v>
      </c>
      <c r="D174" s="38" t="s">
        <v>1715</v>
      </c>
      <c r="E174" s="39" t="s">
        <v>1725</v>
      </c>
      <c r="F174" s="40" t="s">
        <v>146</v>
      </c>
      <c r="G174" s="41" t="s">
        <v>1726</v>
      </c>
      <c r="H174" s="42" t="s">
        <v>1727</v>
      </c>
      <c r="I174" s="43" t="s">
        <v>1728</v>
      </c>
      <c r="J174" s="44" t="s">
        <v>1729</v>
      </c>
      <c r="K174" s="45" t="s">
        <v>1730</v>
      </c>
      <c r="L174" s="46" t="s">
        <v>1731</v>
      </c>
      <c r="M174" s="47" t="s">
        <v>1732</v>
      </c>
    </row>
    <row r="175" customFormat="false" ht="57.75" hidden="false" customHeight="true" outlineLevel="0" collapsed="false">
      <c r="A175" s="35" t="s">
        <v>141</v>
      </c>
      <c r="B175" s="36" t="s">
        <v>1733</v>
      </c>
      <c r="C175" s="57" t="s">
        <v>1640</v>
      </c>
      <c r="D175" s="38" t="s">
        <v>1715</v>
      </c>
      <c r="E175" s="39" t="s">
        <v>1734</v>
      </c>
      <c r="F175" s="40" t="s">
        <v>146</v>
      </c>
      <c r="G175" s="41" t="s">
        <v>1735</v>
      </c>
      <c r="H175" s="42" t="s">
        <v>1736</v>
      </c>
      <c r="I175" s="43" t="s">
        <v>1737</v>
      </c>
      <c r="J175" s="44" t="s">
        <v>1738</v>
      </c>
      <c r="K175" s="45" t="s">
        <v>1739</v>
      </c>
      <c r="L175" s="46" t="s">
        <v>1740</v>
      </c>
      <c r="M175" s="47" t="s">
        <v>1741</v>
      </c>
    </row>
    <row r="176" customFormat="false" ht="57.75" hidden="false" customHeight="true" outlineLevel="0" collapsed="false">
      <c r="A176" s="35" t="s">
        <v>141</v>
      </c>
      <c r="B176" s="36" t="s">
        <v>1742</v>
      </c>
      <c r="C176" s="57" t="s">
        <v>1640</v>
      </c>
      <c r="D176" s="38" t="s">
        <v>1743</v>
      </c>
      <c r="E176" s="39" t="s">
        <v>1744</v>
      </c>
      <c r="F176" s="40" t="s">
        <v>146</v>
      </c>
      <c r="G176" s="41" t="s">
        <v>1745</v>
      </c>
      <c r="H176" s="42" t="s">
        <v>1746</v>
      </c>
      <c r="I176" s="43" t="s">
        <v>1747</v>
      </c>
      <c r="J176" s="44" t="s">
        <v>1748</v>
      </c>
      <c r="K176" s="45" t="s">
        <v>1749</v>
      </c>
      <c r="L176" s="46" t="s">
        <v>1750</v>
      </c>
      <c r="M176" s="47" t="s">
        <v>1751</v>
      </c>
    </row>
    <row r="177" customFormat="false" ht="57.75" hidden="false" customHeight="true" outlineLevel="0" collapsed="false">
      <c r="A177" s="35" t="s">
        <v>141</v>
      </c>
      <c r="B177" s="36" t="s">
        <v>1752</v>
      </c>
      <c r="C177" s="57" t="s">
        <v>1640</v>
      </c>
      <c r="D177" s="38" t="s">
        <v>1743</v>
      </c>
      <c r="E177" s="39" t="s">
        <v>1753</v>
      </c>
      <c r="F177" s="49" t="s">
        <v>538</v>
      </c>
      <c r="G177" s="41" t="s">
        <v>1754</v>
      </c>
      <c r="H177" s="42" t="s">
        <v>1755</v>
      </c>
      <c r="I177" s="43" t="s">
        <v>1756</v>
      </c>
      <c r="J177" s="44" t="s">
        <v>1757</v>
      </c>
      <c r="K177" s="45" t="s">
        <v>1758</v>
      </c>
      <c r="L177" s="46" t="s">
        <v>1759</v>
      </c>
      <c r="M177" s="47" t="s">
        <v>1760</v>
      </c>
    </row>
    <row r="178" customFormat="false" ht="57.75" hidden="false" customHeight="true" outlineLevel="0" collapsed="false">
      <c r="A178" s="35" t="s">
        <v>141</v>
      </c>
      <c r="B178" s="36" t="s">
        <v>1761</v>
      </c>
      <c r="C178" s="57" t="s">
        <v>1640</v>
      </c>
      <c r="D178" s="38" t="s">
        <v>1743</v>
      </c>
      <c r="E178" s="39" t="s">
        <v>1762</v>
      </c>
      <c r="F178" s="49" t="s">
        <v>538</v>
      </c>
      <c r="G178" s="41" t="s">
        <v>1763</v>
      </c>
      <c r="H178" s="42" t="s">
        <v>1764</v>
      </c>
      <c r="I178" s="43" t="s">
        <v>1765</v>
      </c>
      <c r="J178" s="44" t="s">
        <v>1766</v>
      </c>
      <c r="K178" s="45" t="s">
        <v>1767</v>
      </c>
      <c r="L178" s="46" t="s">
        <v>1768</v>
      </c>
      <c r="M178" s="47" t="s">
        <v>1769</v>
      </c>
    </row>
    <row r="179" customFormat="false" ht="57.75" hidden="false" customHeight="true" outlineLevel="0" collapsed="false">
      <c r="A179" s="35" t="s">
        <v>141</v>
      </c>
      <c r="B179" s="36" t="s">
        <v>1770</v>
      </c>
      <c r="C179" s="58" t="s">
        <v>1771</v>
      </c>
      <c r="D179" s="38" t="s">
        <v>1772</v>
      </c>
      <c r="E179" s="39" t="s">
        <v>1773</v>
      </c>
      <c r="F179" s="40" t="s">
        <v>146</v>
      </c>
      <c r="G179" s="41" t="s">
        <v>1774</v>
      </c>
      <c r="H179" s="42" t="s">
        <v>1775</v>
      </c>
      <c r="I179" s="43" t="s">
        <v>1776</v>
      </c>
      <c r="J179" s="44" t="s">
        <v>1777</v>
      </c>
      <c r="K179" s="45" t="s">
        <v>1778</v>
      </c>
      <c r="L179" s="46" t="s">
        <v>1779</v>
      </c>
      <c r="M179" s="47" t="s">
        <v>1780</v>
      </c>
    </row>
    <row r="180" customFormat="false" ht="57.75" hidden="false" customHeight="true" outlineLevel="0" collapsed="false">
      <c r="A180" s="35" t="s">
        <v>141</v>
      </c>
      <c r="B180" s="36" t="s">
        <v>1781</v>
      </c>
      <c r="C180" s="58" t="s">
        <v>1771</v>
      </c>
      <c r="D180" s="38" t="s">
        <v>1772</v>
      </c>
      <c r="E180" s="39" t="s">
        <v>1782</v>
      </c>
      <c r="F180" s="40" t="s">
        <v>146</v>
      </c>
      <c r="G180" s="41" t="s">
        <v>1783</v>
      </c>
      <c r="H180" s="42" t="s">
        <v>1784</v>
      </c>
      <c r="I180" s="43" t="s">
        <v>1785</v>
      </c>
      <c r="J180" s="44" t="s">
        <v>1786</v>
      </c>
      <c r="K180" s="45" t="s">
        <v>1787</v>
      </c>
      <c r="L180" s="46" t="s">
        <v>1788</v>
      </c>
      <c r="M180" s="47" t="s">
        <v>1789</v>
      </c>
    </row>
    <row r="181" customFormat="false" ht="57.75" hidden="false" customHeight="true" outlineLevel="0" collapsed="false">
      <c r="A181" s="35" t="s">
        <v>141</v>
      </c>
      <c r="B181" s="36" t="s">
        <v>1790</v>
      </c>
      <c r="C181" s="58" t="s">
        <v>1771</v>
      </c>
      <c r="D181" s="38" t="s">
        <v>1772</v>
      </c>
      <c r="E181" s="39" t="s">
        <v>1791</v>
      </c>
      <c r="F181" s="40" t="s">
        <v>146</v>
      </c>
      <c r="G181" s="41" t="s">
        <v>1792</v>
      </c>
      <c r="H181" s="42" t="s">
        <v>1793</v>
      </c>
      <c r="I181" s="43" t="s">
        <v>1794</v>
      </c>
      <c r="J181" s="44" t="s">
        <v>1795</v>
      </c>
      <c r="K181" s="45" t="s">
        <v>1796</v>
      </c>
      <c r="L181" s="46" t="s">
        <v>1797</v>
      </c>
      <c r="M181" s="47" t="s">
        <v>1798</v>
      </c>
    </row>
    <row r="182" customFormat="false" ht="57.75" hidden="false" customHeight="true" outlineLevel="0" collapsed="false">
      <c r="A182" s="35" t="s">
        <v>141</v>
      </c>
      <c r="B182" s="36" t="s">
        <v>1799</v>
      </c>
      <c r="C182" s="58" t="s">
        <v>1771</v>
      </c>
      <c r="D182" s="38" t="s">
        <v>1772</v>
      </c>
      <c r="E182" s="39" t="s">
        <v>1800</v>
      </c>
      <c r="F182" s="40" t="s">
        <v>146</v>
      </c>
      <c r="G182" s="41" t="s">
        <v>1801</v>
      </c>
      <c r="H182" s="42" t="s">
        <v>1802</v>
      </c>
      <c r="I182" s="43" t="s">
        <v>1803</v>
      </c>
      <c r="J182" s="44" t="s">
        <v>1804</v>
      </c>
      <c r="K182" s="45" t="s">
        <v>1805</v>
      </c>
      <c r="L182" s="46" t="s">
        <v>1806</v>
      </c>
      <c r="M182" s="47" t="s">
        <v>1807</v>
      </c>
    </row>
    <row r="183" customFormat="false" ht="57.75" hidden="false" customHeight="true" outlineLevel="0" collapsed="false">
      <c r="A183" s="35" t="s">
        <v>141</v>
      </c>
      <c r="B183" s="36" t="s">
        <v>1808</v>
      </c>
      <c r="C183" s="58" t="s">
        <v>1771</v>
      </c>
      <c r="D183" s="38" t="s">
        <v>1809</v>
      </c>
      <c r="E183" s="39" t="s">
        <v>1810</v>
      </c>
      <c r="F183" s="40" t="s">
        <v>146</v>
      </c>
      <c r="G183" s="41" t="s">
        <v>1811</v>
      </c>
      <c r="H183" s="42" t="s">
        <v>1812</v>
      </c>
      <c r="I183" s="43" t="s">
        <v>1813</v>
      </c>
      <c r="J183" s="44" t="s">
        <v>1814</v>
      </c>
      <c r="K183" s="45" t="s">
        <v>1815</v>
      </c>
      <c r="L183" s="46" t="s">
        <v>1816</v>
      </c>
      <c r="M183" s="47" t="s">
        <v>1817</v>
      </c>
    </row>
    <row r="184" customFormat="false" ht="57.75" hidden="false" customHeight="true" outlineLevel="0" collapsed="false">
      <c r="A184" s="35" t="s">
        <v>141</v>
      </c>
      <c r="B184" s="36" t="s">
        <v>1818</v>
      </c>
      <c r="C184" s="58" t="s">
        <v>1771</v>
      </c>
      <c r="D184" s="38" t="s">
        <v>1809</v>
      </c>
      <c r="E184" s="39" t="s">
        <v>1819</v>
      </c>
      <c r="F184" s="40" t="s">
        <v>146</v>
      </c>
      <c r="G184" s="41" t="s">
        <v>1820</v>
      </c>
      <c r="H184" s="42" t="s">
        <v>1821</v>
      </c>
      <c r="I184" s="43" t="s">
        <v>1822</v>
      </c>
      <c r="J184" s="44" t="s">
        <v>1823</v>
      </c>
      <c r="K184" s="45" t="s">
        <v>1824</v>
      </c>
      <c r="L184" s="46" t="s">
        <v>1825</v>
      </c>
      <c r="M184" s="47" t="s">
        <v>1826</v>
      </c>
    </row>
    <row r="185" customFormat="false" ht="57.75" hidden="false" customHeight="true" outlineLevel="0" collapsed="false">
      <c r="A185" s="35" t="s">
        <v>141</v>
      </c>
      <c r="B185" s="36" t="s">
        <v>1827</v>
      </c>
      <c r="C185" s="58" t="s">
        <v>1771</v>
      </c>
      <c r="D185" s="38" t="s">
        <v>1809</v>
      </c>
      <c r="E185" s="39" t="s">
        <v>1828</v>
      </c>
      <c r="F185" s="40" t="s">
        <v>146</v>
      </c>
      <c r="G185" s="41" t="s">
        <v>1829</v>
      </c>
      <c r="H185" s="42" t="s">
        <v>1830</v>
      </c>
      <c r="I185" s="43" t="s">
        <v>1831</v>
      </c>
      <c r="J185" s="44" t="s">
        <v>1832</v>
      </c>
      <c r="K185" s="45" t="s">
        <v>1833</v>
      </c>
      <c r="L185" s="46" t="s">
        <v>1834</v>
      </c>
      <c r="M185" s="47" t="s">
        <v>1835</v>
      </c>
    </row>
    <row r="186" customFormat="false" ht="57.75" hidden="false" customHeight="true" outlineLevel="0" collapsed="false">
      <c r="A186" s="35" t="s">
        <v>141</v>
      </c>
      <c r="B186" s="36" t="s">
        <v>1836</v>
      </c>
      <c r="C186" s="58" t="s">
        <v>1771</v>
      </c>
      <c r="D186" s="38" t="s">
        <v>1837</v>
      </c>
      <c r="E186" s="39" t="s">
        <v>1838</v>
      </c>
      <c r="F186" s="40" t="s">
        <v>146</v>
      </c>
      <c r="G186" s="41" t="s">
        <v>1839</v>
      </c>
      <c r="H186" s="42" t="s">
        <v>1840</v>
      </c>
      <c r="I186" s="43" t="s">
        <v>1841</v>
      </c>
      <c r="J186" s="44" t="s">
        <v>1842</v>
      </c>
      <c r="K186" s="45" t="s">
        <v>1843</v>
      </c>
      <c r="L186" s="46" t="s">
        <v>1844</v>
      </c>
      <c r="M186" s="47" t="s">
        <v>1845</v>
      </c>
    </row>
    <row r="187" customFormat="false" ht="57.75" hidden="false" customHeight="true" outlineLevel="0" collapsed="false">
      <c r="A187" s="35" t="s">
        <v>141</v>
      </c>
      <c r="B187" s="36" t="s">
        <v>1846</v>
      </c>
      <c r="C187" s="58" t="s">
        <v>1771</v>
      </c>
      <c r="D187" s="38" t="s">
        <v>1837</v>
      </c>
      <c r="E187" s="39" t="s">
        <v>1847</v>
      </c>
      <c r="F187" s="40" t="s">
        <v>146</v>
      </c>
      <c r="G187" s="41" t="s">
        <v>1848</v>
      </c>
      <c r="H187" s="42" t="s">
        <v>1849</v>
      </c>
      <c r="I187" s="43" t="s">
        <v>1850</v>
      </c>
      <c r="J187" s="44" t="s">
        <v>1851</v>
      </c>
      <c r="K187" s="45" t="s">
        <v>1852</v>
      </c>
      <c r="L187" s="46" t="s">
        <v>1853</v>
      </c>
      <c r="M187" s="47" t="s">
        <v>1854</v>
      </c>
    </row>
    <row r="188" customFormat="false" ht="57.75" hidden="false" customHeight="true" outlineLevel="0" collapsed="false">
      <c r="A188" s="35" t="s">
        <v>141</v>
      </c>
      <c r="B188" s="36" t="s">
        <v>1855</v>
      </c>
      <c r="C188" s="58" t="s">
        <v>1771</v>
      </c>
      <c r="D188" s="38" t="s">
        <v>1856</v>
      </c>
      <c r="E188" s="39" t="s">
        <v>1857</v>
      </c>
      <c r="F188" s="40" t="s">
        <v>146</v>
      </c>
      <c r="G188" s="41" t="s">
        <v>1858</v>
      </c>
      <c r="H188" s="42" t="s">
        <v>1859</v>
      </c>
      <c r="I188" s="43" t="s">
        <v>1860</v>
      </c>
      <c r="J188" s="44" t="s">
        <v>1861</v>
      </c>
      <c r="K188" s="45" t="s">
        <v>1862</v>
      </c>
      <c r="L188" s="46" t="s">
        <v>1863</v>
      </c>
      <c r="M188" s="47" t="s">
        <v>1864</v>
      </c>
    </row>
    <row r="189" customFormat="false" ht="57.75" hidden="false" customHeight="true" outlineLevel="0" collapsed="false">
      <c r="A189" s="35" t="s">
        <v>141</v>
      </c>
      <c r="B189" s="36" t="s">
        <v>1865</v>
      </c>
      <c r="C189" s="58" t="s">
        <v>1771</v>
      </c>
      <c r="D189" s="38" t="s">
        <v>1856</v>
      </c>
      <c r="E189" s="39" t="s">
        <v>1866</v>
      </c>
      <c r="F189" s="40" t="s">
        <v>146</v>
      </c>
      <c r="G189" s="41" t="s">
        <v>1867</v>
      </c>
      <c r="H189" s="42" t="s">
        <v>1868</v>
      </c>
      <c r="I189" s="43" t="s">
        <v>1869</v>
      </c>
      <c r="J189" s="44" t="s">
        <v>1870</v>
      </c>
      <c r="K189" s="45" t="s">
        <v>1871</v>
      </c>
      <c r="L189" s="46" t="s">
        <v>1872</v>
      </c>
      <c r="M189" s="47" t="s">
        <v>1873</v>
      </c>
    </row>
    <row r="190" customFormat="false" ht="57.75" hidden="false" customHeight="true" outlineLevel="0" collapsed="false">
      <c r="A190" s="35" t="s">
        <v>141</v>
      </c>
      <c r="B190" s="36" t="s">
        <v>1874</v>
      </c>
      <c r="C190" s="58" t="s">
        <v>1771</v>
      </c>
      <c r="D190" s="38" t="s">
        <v>1856</v>
      </c>
      <c r="E190" s="39" t="s">
        <v>1875</v>
      </c>
      <c r="F190" s="40" t="s">
        <v>146</v>
      </c>
      <c r="G190" s="41" t="s">
        <v>1876</v>
      </c>
      <c r="H190" s="42" t="s">
        <v>1877</v>
      </c>
      <c r="I190" s="43" t="s">
        <v>1878</v>
      </c>
      <c r="J190" s="44" t="s">
        <v>1879</v>
      </c>
      <c r="K190" s="45" t="s">
        <v>1880</v>
      </c>
      <c r="L190" s="46" t="s">
        <v>1881</v>
      </c>
      <c r="M190" s="47" t="s">
        <v>1882</v>
      </c>
    </row>
    <row r="191" customFormat="false" ht="57.75" hidden="false" customHeight="true" outlineLevel="0" collapsed="false">
      <c r="A191" s="35" t="s">
        <v>141</v>
      </c>
      <c r="B191" s="36" t="s">
        <v>1883</v>
      </c>
      <c r="C191" s="59" t="s">
        <v>1884</v>
      </c>
      <c r="D191" s="38" t="s">
        <v>1885</v>
      </c>
      <c r="E191" s="39" t="s">
        <v>1886</v>
      </c>
      <c r="F191" s="40" t="s">
        <v>146</v>
      </c>
      <c r="G191" s="41" t="s">
        <v>1887</v>
      </c>
      <c r="H191" s="42" t="s">
        <v>1888</v>
      </c>
      <c r="I191" s="43" t="s">
        <v>1889</v>
      </c>
      <c r="J191" s="44" t="s">
        <v>1890</v>
      </c>
      <c r="K191" s="45" t="s">
        <v>1891</v>
      </c>
      <c r="L191" s="46" t="s">
        <v>1892</v>
      </c>
      <c r="M191" s="47" t="s">
        <v>1893</v>
      </c>
    </row>
    <row r="192" customFormat="false" ht="57.75" hidden="false" customHeight="true" outlineLevel="0" collapsed="false">
      <c r="A192" s="35" t="s">
        <v>141</v>
      </c>
      <c r="B192" s="36" t="s">
        <v>1894</v>
      </c>
      <c r="C192" s="59" t="s">
        <v>1884</v>
      </c>
      <c r="D192" s="38" t="s">
        <v>1885</v>
      </c>
      <c r="E192" s="39" t="s">
        <v>1895</v>
      </c>
      <c r="F192" s="40" t="s">
        <v>146</v>
      </c>
      <c r="G192" s="41" t="s">
        <v>1896</v>
      </c>
      <c r="H192" s="42" t="s">
        <v>1897</v>
      </c>
      <c r="I192" s="43" t="s">
        <v>1898</v>
      </c>
      <c r="J192" s="44" t="s">
        <v>1899</v>
      </c>
      <c r="K192" s="45" t="s">
        <v>1900</v>
      </c>
      <c r="L192" s="46" t="s">
        <v>1901</v>
      </c>
      <c r="M192" s="47" t="s">
        <v>1902</v>
      </c>
    </row>
    <row r="193" customFormat="false" ht="57.75" hidden="false" customHeight="true" outlineLevel="0" collapsed="false">
      <c r="A193" s="35" t="s">
        <v>141</v>
      </c>
      <c r="B193" s="36" t="s">
        <v>1903</v>
      </c>
      <c r="C193" s="59" t="s">
        <v>1884</v>
      </c>
      <c r="D193" s="38" t="s">
        <v>1885</v>
      </c>
      <c r="E193" s="39" t="s">
        <v>1904</v>
      </c>
      <c r="F193" s="40" t="s">
        <v>146</v>
      </c>
      <c r="G193" s="41" t="s">
        <v>1905</v>
      </c>
      <c r="H193" s="42" t="s">
        <v>1906</v>
      </c>
      <c r="I193" s="43" t="s">
        <v>1907</v>
      </c>
      <c r="J193" s="44" t="s">
        <v>1908</v>
      </c>
      <c r="K193" s="45" t="s">
        <v>1909</v>
      </c>
      <c r="L193" s="46" t="s">
        <v>1910</v>
      </c>
      <c r="M193" s="47" t="s">
        <v>1911</v>
      </c>
    </row>
    <row r="194" customFormat="false" ht="57.75" hidden="false" customHeight="true" outlineLevel="0" collapsed="false">
      <c r="A194" s="35" t="s">
        <v>141</v>
      </c>
      <c r="B194" s="36" t="s">
        <v>1912</v>
      </c>
      <c r="C194" s="59" t="s">
        <v>1884</v>
      </c>
      <c r="D194" s="38" t="s">
        <v>1913</v>
      </c>
      <c r="E194" s="39" t="s">
        <v>1914</v>
      </c>
      <c r="F194" s="40" t="s">
        <v>146</v>
      </c>
      <c r="G194" s="41" t="s">
        <v>1915</v>
      </c>
      <c r="H194" s="42" t="s">
        <v>1916</v>
      </c>
      <c r="I194" s="43" t="s">
        <v>1917</v>
      </c>
      <c r="J194" s="44" t="s">
        <v>1918</v>
      </c>
      <c r="K194" s="45" t="s">
        <v>1919</v>
      </c>
      <c r="L194" s="46" t="s">
        <v>1920</v>
      </c>
      <c r="M194" s="47" t="s">
        <v>1921</v>
      </c>
    </row>
    <row r="195" customFormat="false" ht="57.75" hidden="false" customHeight="true" outlineLevel="0" collapsed="false">
      <c r="A195" s="35" t="s">
        <v>141</v>
      </c>
      <c r="B195" s="36" t="s">
        <v>1922</v>
      </c>
      <c r="C195" s="59" t="s">
        <v>1884</v>
      </c>
      <c r="D195" s="38" t="s">
        <v>1913</v>
      </c>
      <c r="E195" s="39" t="s">
        <v>1923</v>
      </c>
      <c r="F195" s="40" t="s">
        <v>146</v>
      </c>
      <c r="G195" s="41" t="s">
        <v>1924</v>
      </c>
      <c r="H195" s="42" t="s">
        <v>1925</v>
      </c>
      <c r="I195" s="43" t="s">
        <v>1926</v>
      </c>
      <c r="J195" s="44" t="s">
        <v>1927</v>
      </c>
      <c r="K195" s="45" t="s">
        <v>1928</v>
      </c>
      <c r="L195" s="46" t="s">
        <v>1929</v>
      </c>
      <c r="M195" s="47" t="s">
        <v>1930</v>
      </c>
    </row>
    <row r="196" customFormat="false" ht="57.75" hidden="false" customHeight="true" outlineLevel="0" collapsed="false">
      <c r="A196" s="35" t="s">
        <v>141</v>
      </c>
      <c r="B196" s="36" t="s">
        <v>1931</v>
      </c>
      <c r="C196" s="59" t="s">
        <v>1884</v>
      </c>
      <c r="D196" s="38" t="s">
        <v>1913</v>
      </c>
      <c r="E196" s="39" t="s">
        <v>1932</v>
      </c>
      <c r="F196" s="40" t="s">
        <v>146</v>
      </c>
      <c r="G196" s="41" t="s">
        <v>1933</v>
      </c>
      <c r="H196" s="42" t="s">
        <v>1934</v>
      </c>
      <c r="I196" s="43" t="s">
        <v>1935</v>
      </c>
      <c r="J196" s="44" t="s">
        <v>1936</v>
      </c>
      <c r="K196" s="45" t="s">
        <v>1937</v>
      </c>
      <c r="L196" s="46" t="s">
        <v>1938</v>
      </c>
      <c r="M196" s="47" t="s">
        <v>1939</v>
      </c>
    </row>
    <row r="197" customFormat="false" ht="57.75" hidden="false" customHeight="true" outlineLevel="0" collapsed="false">
      <c r="A197" s="35" t="s">
        <v>141</v>
      </c>
      <c r="B197" s="36" t="s">
        <v>1940</v>
      </c>
      <c r="C197" s="59" t="s">
        <v>1884</v>
      </c>
      <c r="D197" s="38" t="s">
        <v>1941</v>
      </c>
      <c r="E197" s="39" t="s">
        <v>1942</v>
      </c>
      <c r="F197" s="40" t="s">
        <v>146</v>
      </c>
      <c r="G197" s="41" t="s">
        <v>1943</v>
      </c>
      <c r="H197" s="42" t="s">
        <v>1944</v>
      </c>
      <c r="I197" s="43" t="s">
        <v>1945</v>
      </c>
      <c r="J197" s="44" t="s">
        <v>1946</v>
      </c>
      <c r="K197" s="45" t="s">
        <v>1947</v>
      </c>
      <c r="L197" s="46" t="s">
        <v>1948</v>
      </c>
      <c r="M197" s="47" t="s">
        <v>1949</v>
      </c>
    </row>
    <row r="198" customFormat="false" ht="57.75" hidden="false" customHeight="true" outlineLevel="0" collapsed="false">
      <c r="A198" s="35" t="s">
        <v>141</v>
      </c>
      <c r="B198" s="36" t="s">
        <v>1950</v>
      </c>
      <c r="C198" s="59" t="s">
        <v>1884</v>
      </c>
      <c r="D198" s="38" t="s">
        <v>1941</v>
      </c>
      <c r="E198" s="39" t="s">
        <v>1951</v>
      </c>
      <c r="F198" s="40" t="s">
        <v>146</v>
      </c>
      <c r="G198" s="41" t="s">
        <v>1952</v>
      </c>
      <c r="H198" s="42" t="s">
        <v>1953</v>
      </c>
      <c r="I198" s="43" t="s">
        <v>1954</v>
      </c>
      <c r="J198" s="44" t="s">
        <v>1955</v>
      </c>
      <c r="K198" s="45" t="s">
        <v>1956</v>
      </c>
      <c r="L198" s="46" t="s">
        <v>1957</v>
      </c>
      <c r="M198" s="47" t="s">
        <v>1958</v>
      </c>
    </row>
    <row r="199" customFormat="false" ht="57.75" hidden="false" customHeight="true" outlineLevel="0" collapsed="false">
      <c r="A199" s="60" t="s">
        <v>1959</v>
      </c>
      <c r="B199" s="36" t="s">
        <v>1960</v>
      </c>
      <c r="C199" s="61" t="s">
        <v>1961</v>
      </c>
      <c r="D199" s="38" t="s">
        <v>1962</v>
      </c>
      <c r="E199" s="39" t="s">
        <v>1963</v>
      </c>
      <c r="F199" s="49" t="s">
        <v>538</v>
      </c>
      <c r="G199" s="41" t="s">
        <v>1964</v>
      </c>
      <c r="H199" s="42" t="s">
        <v>1965</v>
      </c>
      <c r="I199" s="43" t="s">
        <v>1966</v>
      </c>
      <c r="J199" s="44" t="s">
        <v>1967</v>
      </c>
      <c r="K199" s="45" t="s">
        <v>1968</v>
      </c>
      <c r="L199" s="46" t="s">
        <v>1969</v>
      </c>
      <c r="M199" s="47" t="s">
        <v>1970</v>
      </c>
    </row>
    <row r="200" customFormat="false" ht="57.75" hidden="false" customHeight="true" outlineLevel="0" collapsed="false">
      <c r="A200" s="60" t="s">
        <v>1959</v>
      </c>
      <c r="B200" s="36" t="s">
        <v>1971</v>
      </c>
      <c r="C200" s="61" t="s">
        <v>1961</v>
      </c>
      <c r="D200" s="38" t="s">
        <v>1962</v>
      </c>
      <c r="E200" s="39" t="s">
        <v>1972</v>
      </c>
      <c r="F200" s="40" t="s">
        <v>146</v>
      </c>
      <c r="G200" s="41" t="s">
        <v>1973</v>
      </c>
      <c r="H200" s="42" t="s">
        <v>1974</v>
      </c>
      <c r="I200" s="43" t="s">
        <v>1975</v>
      </c>
      <c r="J200" s="44" t="s">
        <v>1976</v>
      </c>
      <c r="K200" s="45" t="s">
        <v>1977</v>
      </c>
      <c r="L200" s="46" t="s">
        <v>1978</v>
      </c>
      <c r="M200" s="47" t="s">
        <v>1979</v>
      </c>
    </row>
    <row r="201" customFormat="false" ht="57.75" hidden="false" customHeight="true" outlineLevel="0" collapsed="false">
      <c r="A201" s="60" t="s">
        <v>1959</v>
      </c>
      <c r="B201" s="36" t="s">
        <v>1980</v>
      </c>
      <c r="C201" s="61" t="s">
        <v>1961</v>
      </c>
      <c r="D201" s="38" t="s">
        <v>1981</v>
      </c>
      <c r="E201" s="39" t="s">
        <v>1982</v>
      </c>
      <c r="F201" s="40" t="s">
        <v>146</v>
      </c>
      <c r="G201" s="41" t="s">
        <v>1983</v>
      </c>
      <c r="H201" s="42" t="s">
        <v>1984</v>
      </c>
      <c r="I201" s="43" t="s">
        <v>1985</v>
      </c>
      <c r="J201" s="44" t="s">
        <v>1986</v>
      </c>
      <c r="K201" s="45" t="s">
        <v>1987</v>
      </c>
      <c r="L201" s="46" t="s">
        <v>1988</v>
      </c>
      <c r="M201" s="47" t="s">
        <v>1989</v>
      </c>
    </row>
    <row r="202" customFormat="false" ht="57.75" hidden="false" customHeight="true" outlineLevel="0" collapsed="false">
      <c r="A202" s="60" t="s">
        <v>1959</v>
      </c>
      <c r="B202" s="36" t="s">
        <v>1990</v>
      </c>
      <c r="C202" s="61" t="s">
        <v>1961</v>
      </c>
      <c r="D202" s="38" t="s">
        <v>1981</v>
      </c>
      <c r="E202" s="39" t="s">
        <v>1991</v>
      </c>
      <c r="F202" s="40" t="s">
        <v>146</v>
      </c>
      <c r="G202" s="41" t="s">
        <v>1992</v>
      </c>
      <c r="H202" s="42" t="s">
        <v>1993</v>
      </c>
      <c r="I202" s="43" t="s">
        <v>1994</v>
      </c>
      <c r="J202" s="44" t="s">
        <v>1995</v>
      </c>
      <c r="K202" s="45" t="s">
        <v>1996</v>
      </c>
      <c r="L202" s="46" t="s">
        <v>1997</v>
      </c>
      <c r="M202" s="47" t="s">
        <v>1998</v>
      </c>
    </row>
    <row r="203" customFormat="false" ht="57.75" hidden="false" customHeight="true" outlineLevel="0" collapsed="false">
      <c r="A203" s="60" t="s">
        <v>1959</v>
      </c>
      <c r="B203" s="36" t="s">
        <v>1999</v>
      </c>
      <c r="C203" s="61" t="s">
        <v>1961</v>
      </c>
      <c r="D203" s="38" t="s">
        <v>1981</v>
      </c>
      <c r="E203" s="39" t="s">
        <v>2000</v>
      </c>
      <c r="F203" s="40" t="s">
        <v>146</v>
      </c>
      <c r="G203" s="41" t="s">
        <v>2001</v>
      </c>
      <c r="H203" s="42" t="s">
        <v>2002</v>
      </c>
      <c r="I203" s="43" t="s">
        <v>2003</v>
      </c>
      <c r="J203" s="44" t="s">
        <v>2004</v>
      </c>
      <c r="K203" s="45" t="s">
        <v>2005</v>
      </c>
      <c r="L203" s="46" t="s">
        <v>2006</v>
      </c>
      <c r="M203" s="47" t="s">
        <v>2007</v>
      </c>
    </row>
    <row r="204" customFormat="false" ht="57.75" hidden="false" customHeight="true" outlineLevel="0" collapsed="false">
      <c r="A204" s="60" t="s">
        <v>1959</v>
      </c>
      <c r="B204" s="36" t="s">
        <v>2008</v>
      </c>
      <c r="C204" s="61" t="s">
        <v>1961</v>
      </c>
      <c r="D204" s="38" t="s">
        <v>1981</v>
      </c>
      <c r="E204" s="39" t="s">
        <v>2009</v>
      </c>
      <c r="F204" s="40" t="s">
        <v>146</v>
      </c>
      <c r="G204" s="41" t="s">
        <v>2010</v>
      </c>
      <c r="H204" s="42" t="s">
        <v>2011</v>
      </c>
      <c r="I204" s="43" t="s">
        <v>2012</v>
      </c>
      <c r="J204" s="44" t="s">
        <v>2013</v>
      </c>
      <c r="K204" s="45" t="s">
        <v>2014</v>
      </c>
      <c r="L204" s="46" t="s">
        <v>2015</v>
      </c>
      <c r="M204" s="47" t="s">
        <v>2016</v>
      </c>
    </row>
    <row r="205" customFormat="false" ht="57.75" hidden="false" customHeight="true" outlineLevel="0" collapsed="false">
      <c r="A205" s="60" t="s">
        <v>1959</v>
      </c>
      <c r="B205" s="36" t="s">
        <v>2017</v>
      </c>
      <c r="C205" s="61" t="s">
        <v>1961</v>
      </c>
      <c r="D205" s="38" t="s">
        <v>2018</v>
      </c>
      <c r="E205" s="39" t="s">
        <v>2019</v>
      </c>
      <c r="F205" s="40" t="s">
        <v>146</v>
      </c>
      <c r="G205" s="41" t="s">
        <v>2020</v>
      </c>
      <c r="H205" s="42" t="s">
        <v>2021</v>
      </c>
      <c r="I205" s="43" t="s">
        <v>2022</v>
      </c>
      <c r="J205" s="44" t="s">
        <v>2023</v>
      </c>
      <c r="K205" s="45" t="s">
        <v>2024</v>
      </c>
      <c r="L205" s="46" t="s">
        <v>2025</v>
      </c>
      <c r="M205" s="47" t="s">
        <v>2026</v>
      </c>
    </row>
    <row r="206" customFormat="false" ht="57.75" hidden="false" customHeight="true" outlineLevel="0" collapsed="false">
      <c r="A206" s="60" t="s">
        <v>1959</v>
      </c>
      <c r="B206" s="36" t="s">
        <v>2027</v>
      </c>
      <c r="C206" s="61" t="s">
        <v>1961</v>
      </c>
      <c r="D206" s="38" t="s">
        <v>2018</v>
      </c>
      <c r="E206" s="39" t="s">
        <v>2028</v>
      </c>
      <c r="F206" s="40" t="s">
        <v>146</v>
      </c>
      <c r="G206" s="41" t="s">
        <v>2029</v>
      </c>
      <c r="H206" s="42" t="s">
        <v>2030</v>
      </c>
      <c r="I206" s="43" t="s">
        <v>2031</v>
      </c>
      <c r="J206" s="44" t="s">
        <v>2032</v>
      </c>
      <c r="K206" s="45" t="s">
        <v>2033</v>
      </c>
      <c r="L206" s="46" t="s">
        <v>2034</v>
      </c>
      <c r="M206" s="47" t="s">
        <v>2035</v>
      </c>
    </row>
    <row r="207" customFormat="false" ht="57.75" hidden="false" customHeight="true" outlineLevel="0" collapsed="false">
      <c r="A207" s="60" t="s">
        <v>1959</v>
      </c>
      <c r="B207" s="36" t="s">
        <v>2036</v>
      </c>
      <c r="C207" s="61" t="s">
        <v>1961</v>
      </c>
      <c r="D207" s="38" t="s">
        <v>2018</v>
      </c>
      <c r="E207" s="39" t="s">
        <v>2037</v>
      </c>
      <c r="F207" s="49" t="s">
        <v>538</v>
      </c>
      <c r="G207" s="41" t="s">
        <v>2038</v>
      </c>
      <c r="H207" s="42" t="s">
        <v>2039</v>
      </c>
      <c r="I207" s="43" t="s">
        <v>2040</v>
      </c>
      <c r="J207" s="44" t="s">
        <v>2041</v>
      </c>
      <c r="K207" s="45" t="s">
        <v>2042</v>
      </c>
      <c r="L207" s="46" t="s">
        <v>2043</v>
      </c>
      <c r="M207" s="47" t="s">
        <v>2044</v>
      </c>
    </row>
    <row r="208" customFormat="false" ht="57.75" hidden="false" customHeight="true" outlineLevel="0" collapsed="false">
      <c r="A208" s="60" t="s">
        <v>1959</v>
      </c>
      <c r="B208" s="36" t="s">
        <v>2045</v>
      </c>
      <c r="C208" s="62" t="s">
        <v>2046</v>
      </c>
      <c r="D208" s="38" t="s">
        <v>2047</v>
      </c>
      <c r="E208" s="39" t="s">
        <v>2048</v>
      </c>
      <c r="F208" s="49" t="s">
        <v>538</v>
      </c>
      <c r="G208" s="41" t="s">
        <v>2049</v>
      </c>
      <c r="H208" s="42" t="s">
        <v>2050</v>
      </c>
      <c r="I208" s="43" t="s">
        <v>2051</v>
      </c>
      <c r="J208" s="44" t="s">
        <v>2052</v>
      </c>
      <c r="K208" s="45" t="s">
        <v>2053</v>
      </c>
      <c r="L208" s="46" t="s">
        <v>2054</v>
      </c>
      <c r="M208" s="47" t="s">
        <v>2055</v>
      </c>
    </row>
    <row r="209" customFormat="false" ht="57.75" hidden="false" customHeight="true" outlineLevel="0" collapsed="false">
      <c r="A209" s="60" t="s">
        <v>1959</v>
      </c>
      <c r="B209" s="36" t="s">
        <v>2056</v>
      </c>
      <c r="C209" s="62" t="s">
        <v>2046</v>
      </c>
      <c r="D209" s="38" t="s">
        <v>2047</v>
      </c>
      <c r="E209" s="39" t="s">
        <v>2057</v>
      </c>
      <c r="F209" s="49" t="s">
        <v>538</v>
      </c>
      <c r="G209" s="41" t="s">
        <v>2058</v>
      </c>
      <c r="H209" s="42" t="s">
        <v>2059</v>
      </c>
      <c r="I209" s="43" t="s">
        <v>2060</v>
      </c>
      <c r="J209" s="44" t="s">
        <v>2061</v>
      </c>
      <c r="K209" s="45" t="s">
        <v>2062</v>
      </c>
      <c r="L209" s="46" t="s">
        <v>2063</v>
      </c>
      <c r="M209" s="47" t="s">
        <v>2064</v>
      </c>
    </row>
    <row r="210" customFormat="false" ht="57.75" hidden="false" customHeight="true" outlineLevel="0" collapsed="false">
      <c r="A210" s="60" t="s">
        <v>1959</v>
      </c>
      <c r="B210" s="36" t="s">
        <v>2065</v>
      </c>
      <c r="C210" s="62" t="s">
        <v>2046</v>
      </c>
      <c r="D210" s="38" t="s">
        <v>2047</v>
      </c>
      <c r="E210" s="39" t="s">
        <v>2066</v>
      </c>
      <c r="F210" s="49" t="s">
        <v>538</v>
      </c>
      <c r="G210" s="41" t="s">
        <v>2067</v>
      </c>
      <c r="H210" s="42" t="s">
        <v>2068</v>
      </c>
      <c r="I210" s="43" t="s">
        <v>2069</v>
      </c>
      <c r="J210" s="44" t="s">
        <v>2070</v>
      </c>
      <c r="K210" s="45" t="s">
        <v>2071</v>
      </c>
      <c r="L210" s="46" t="s">
        <v>2072</v>
      </c>
      <c r="M210" s="47" t="s">
        <v>2073</v>
      </c>
    </row>
    <row r="211" customFormat="false" ht="57.75" hidden="false" customHeight="true" outlineLevel="0" collapsed="false">
      <c r="A211" s="60" t="s">
        <v>1959</v>
      </c>
      <c r="B211" s="36" t="s">
        <v>2074</v>
      </c>
      <c r="C211" s="62" t="s">
        <v>2046</v>
      </c>
      <c r="D211" s="38" t="s">
        <v>2075</v>
      </c>
      <c r="E211" s="39" t="s">
        <v>2076</v>
      </c>
      <c r="F211" s="49" t="s">
        <v>538</v>
      </c>
      <c r="G211" s="41" t="s">
        <v>2077</v>
      </c>
      <c r="H211" s="42" t="s">
        <v>2078</v>
      </c>
      <c r="I211" s="43" t="s">
        <v>2079</v>
      </c>
      <c r="J211" s="44" t="s">
        <v>2080</v>
      </c>
      <c r="K211" s="45" t="s">
        <v>2081</v>
      </c>
      <c r="L211" s="46" t="s">
        <v>2082</v>
      </c>
      <c r="M211" s="47" t="s">
        <v>2083</v>
      </c>
    </row>
    <row r="212" customFormat="false" ht="57.75" hidden="false" customHeight="true" outlineLevel="0" collapsed="false">
      <c r="A212" s="60" t="s">
        <v>1959</v>
      </c>
      <c r="B212" s="36" t="s">
        <v>2084</v>
      </c>
      <c r="C212" s="62" t="s">
        <v>2046</v>
      </c>
      <c r="D212" s="38" t="s">
        <v>2075</v>
      </c>
      <c r="E212" s="39" t="s">
        <v>2085</v>
      </c>
      <c r="F212" s="49" t="s">
        <v>538</v>
      </c>
      <c r="G212" s="41" t="s">
        <v>2086</v>
      </c>
      <c r="H212" s="42" t="s">
        <v>2087</v>
      </c>
      <c r="I212" s="43" t="s">
        <v>2088</v>
      </c>
      <c r="J212" s="44" t="s">
        <v>2089</v>
      </c>
      <c r="K212" s="45" t="s">
        <v>2090</v>
      </c>
      <c r="L212" s="46" t="s">
        <v>2091</v>
      </c>
      <c r="M212" s="47" t="s">
        <v>2092</v>
      </c>
    </row>
    <row r="213" customFormat="false" ht="57.75" hidden="false" customHeight="true" outlineLevel="0" collapsed="false">
      <c r="A213" s="60" t="s">
        <v>1959</v>
      </c>
      <c r="B213" s="36" t="s">
        <v>2093</v>
      </c>
      <c r="C213" s="62" t="s">
        <v>2046</v>
      </c>
      <c r="D213" s="38" t="s">
        <v>2075</v>
      </c>
      <c r="E213" s="39" t="s">
        <v>2094</v>
      </c>
      <c r="F213" s="49" t="s">
        <v>538</v>
      </c>
      <c r="G213" s="41" t="s">
        <v>2095</v>
      </c>
      <c r="H213" s="42" t="s">
        <v>2096</v>
      </c>
      <c r="I213" s="43" t="s">
        <v>2097</v>
      </c>
      <c r="J213" s="44" t="s">
        <v>2098</v>
      </c>
      <c r="K213" s="45" t="s">
        <v>2099</v>
      </c>
      <c r="L213" s="46" t="s">
        <v>2100</v>
      </c>
      <c r="M213" s="47" t="s">
        <v>2101</v>
      </c>
    </row>
    <row r="214" customFormat="false" ht="57.75" hidden="false" customHeight="true" outlineLevel="0" collapsed="false">
      <c r="A214" s="60" t="s">
        <v>1959</v>
      </c>
      <c r="B214" s="36" t="s">
        <v>2102</v>
      </c>
      <c r="C214" s="62" t="s">
        <v>2046</v>
      </c>
      <c r="D214" s="38" t="s">
        <v>2103</v>
      </c>
      <c r="E214" s="39" t="s">
        <v>2104</v>
      </c>
      <c r="F214" s="49" t="s">
        <v>538</v>
      </c>
      <c r="G214" s="41" t="s">
        <v>2105</v>
      </c>
      <c r="H214" s="42" t="s">
        <v>2106</v>
      </c>
      <c r="I214" s="43" t="s">
        <v>2107</v>
      </c>
      <c r="J214" s="44" t="s">
        <v>2108</v>
      </c>
      <c r="K214" s="45" t="s">
        <v>2109</v>
      </c>
      <c r="L214" s="46" t="s">
        <v>2110</v>
      </c>
      <c r="M214" s="47" t="s">
        <v>2111</v>
      </c>
    </row>
    <row r="215" customFormat="false" ht="57.75" hidden="false" customHeight="true" outlineLevel="0" collapsed="false">
      <c r="A215" s="60" t="s">
        <v>1959</v>
      </c>
      <c r="B215" s="36" t="s">
        <v>2112</v>
      </c>
      <c r="C215" s="62" t="s">
        <v>2046</v>
      </c>
      <c r="D215" s="38" t="s">
        <v>2103</v>
      </c>
      <c r="E215" s="39" t="s">
        <v>2113</v>
      </c>
      <c r="F215" s="49" t="s">
        <v>538</v>
      </c>
      <c r="G215" s="41" t="s">
        <v>2114</v>
      </c>
      <c r="H215" s="42" t="s">
        <v>2115</v>
      </c>
      <c r="I215" s="43" t="s">
        <v>2116</v>
      </c>
      <c r="J215" s="44" t="s">
        <v>2117</v>
      </c>
      <c r="K215" s="45" t="s">
        <v>2118</v>
      </c>
      <c r="L215" s="46" t="s">
        <v>2119</v>
      </c>
      <c r="M215" s="47" t="s">
        <v>2120</v>
      </c>
    </row>
    <row r="216" customFormat="false" ht="57.75" hidden="false" customHeight="true" outlineLevel="0" collapsed="false">
      <c r="A216" s="60" t="s">
        <v>1959</v>
      </c>
      <c r="B216" s="36" t="s">
        <v>2121</v>
      </c>
      <c r="C216" s="62" t="s">
        <v>2046</v>
      </c>
      <c r="D216" s="38" t="s">
        <v>2103</v>
      </c>
      <c r="E216" s="39" t="s">
        <v>2122</v>
      </c>
      <c r="F216" s="49" t="s">
        <v>538</v>
      </c>
      <c r="G216" s="41" t="s">
        <v>2123</v>
      </c>
      <c r="H216" s="42" t="s">
        <v>2124</v>
      </c>
      <c r="I216" s="43" t="s">
        <v>2125</v>
      </c>
      <c r="J216" s="44" t="s">
        <v>2126</v>
      </c>
      <c r="K216" s="45" t="s">
        <v>2127</v>
      </c>
      <c r="L216" s="46" t="s">
        <v>2128</v>
      </c>
      <c r="M216" s="47" t="s">
        <v>2129</v>
      </c>
    </row>
    <row r="217" customFormat="false" ht="57.75" hidden="false" customHeight="true" outlineLevel="0" collapsed="false">
      <c r="A217" s="60" t="s">
        <v>1959</v>
      </c>
      <c r="B217" s="36" t="s">
        <v>2130</v>
      </c>
      <c r="C217" s="62" t="s">
        <v>2046</v>
      </c>
      <c r="D217" s="38" t="s">
        <v>2131</v>
      </c>
      <c r="E217" s="39" t="s">
        <v>2132</v>
      </c>
      <c r="F217" s="40" t="s">
        <v>146</v>
      </c>
      <c r="G217" s="41" t="s">
        <v>2133</v>
      </c>
      <c r="H217" s="42" t="s">
        <v>2134</v>
      </c>
      <c r="I217" s="43" t="s">
        <v>2135</v>
      </c>
      <c r="J217" s="44" t="s">
        <v>2136</v>
      </c>
      <c r="K217" s="45" t="s">
        <v>2137</v>
      </c>
      <c r="L217" s="46" t="s">
        <v>2138</v>
      </c>
      <c r="M217" s="47" t="s">
        <v>2139</v>
      </c>
    </row>
    <row r="218" customFormat="false" ht="57.75" hidden="false" customHeight="true" outlineLevel="0" collapsed="false">
      <c r="A218" s="60" t="s">
        <v>1959</v>
      </c>
      <c r="B218" s="36" t="s">
        <v>2140</v>
      </c>
      <c r="C218" s="62" t="s">
        <v>2046</v>
      </c>
      <c r="D218" s="38" t="s">
        <v>2131</v>
      </c>
      <c r="E218" s="39" t="s">
        <v>2141</v>
      </c>
      <c r="F218" s="40" t="s">
        <v>146</v>
      </c>
      <c r="G218" s="41" t="s">
        <v>2142</v>
      </c>
      <c r="H218" s="42" t="s">
        <v>2143</v>
      </c>
      <c r="I218" s="43" t="s">
        <v>2144</v>
      </c>
      <c r="J218" s="44" t="s">
        <v>2145</v>
      </c>
      <c r="K218" s="45" t="s">
        <v>2146</v>
      </c>
      <c r="L218" s="46" t="s">
        <v>2147</v>
      </c>
      <c r="M218" s="47" t="s">
        <v>2148</v>
      </c>
    </row>
    <row r="219" customFormat="false" ht="57.75" hidden="false" customHeight="true" outlineLevel="0" collapsed="false">
      <c r="A219" s="60" t="s">
        <v>1959</v>
      </c>
      <c r="B219" s="36" t="s">
        <v>2149</v>
      </c>
      <c r="C219" s="62" t="s">
        <v>2046</v>
      </c>
      <c r="D219" s="38" t="s">
        <v>2131</v>
      </c>
      <c r="E219" s="39" t="s">
        <v>2150</v>
      </c>
      <c r="F219" s="49" t="s">
        <v>538</v>
      </c>
      <c r="G219" s="41" t="s">
        <v>2151</v>
      </c>
      <c r="H219" s="42" t="s">
        <v>2152</v>
      </c>
      <c r="I219" s="43" t="s">
        <v>2153</v>
      </c>
      <c r="J219" s="44" t="s">
        <v>2154</v>
      </c>
      <c r="K219" s="45" t="s">
        <v>2155</v>
      </c>
      <c r="L219" s="46" t="s">
        <v>2156</v>
      </c>
      <c r="M219" s="47" t="s">
        <v>2157</v>
      </c>
    </row>
    <row r="220" customFormat="false" ht="57.75" hidden="false" customHeight="true" outlineLevel="0" collapsed="false">
      <c r="A220" s="60" t="s">
        <v>1959</v>
      </c>
      <c r="B220" s="36" t="s">
        <v>2158</v>
      </c>
      <c r="C220" s="62" t="s">
        <v>2046</v>
      </c>
      <c r="D220" s="38" t="s">
        <v>2159</v>
      </c>
      <c r="E220" s="39" t="s">
        <v>2160</v>
      </c>
      <c r="F220" s="49" t="s">
        <v>538</v>
      </c>
      <c r="G220" s="41" t="s">
        <v>2161</v>
      </c>
      <c r="H220" s="42" t="s">
        <v>2162</v>
      </c>
      <c r="I220" s="43" t="s">
        <v>2163</v>
      </c>
      <c r="J220" s="44" t="s">
        <v>2164</v>
      </c>
      <c r="K220" s="45" t="s">
        <v>2165</v>
      </c>
      <c r="L220" s="46" t="s">
        <v>2166</v>
      </c>
      <c r="M220" s="47" t="s">
        <v>2167</v>
      </c>
    </row>
    <row r="221" customFormat="false" ht="57.75" hidden="false" customHeight="true" outlineLevel="0" collapsed="false">
      <c r="A221" s="60" t="s">
        <v>1959</v>
      </c>
      <c r="B221" s="36" t="s">
        <v>2168</v>
      </c>
      <c r="C221" s="62" t="s">
        <v>2046</v>
      </c>
      <c r="D221" s="38" t="s">
        <v>2159</v>
      </c>
      <c r="E221" s="39" t="s">
        <v>2169</v>
      </c>
      <c r="F221" s="49" t="s">
        <v>538</v>
      </c>
      <c r="G221" s="41" t="s">
        <v>2170</v>
      </c>
      <c r="H221" s="42" t="s">
        <v>2171</v>
      </c>
      <c r="I221" s="43" t="s">
        <v>2172</v>
      </c>
      <c r="J221" s="44" t="s">
        <v>2173</v>
      </c>
      <c r="K221" s="45" t="s">
        <v>2174</v>
      </c>
      <c r="L221" s="46" t="s">
        <v>2175</v>
      </c>
      <c r="M221" s="47" t="s">
        <v>2176</v>
      </c>
    </row>
    <row r="222" customFormat="false" ht="57.75" hidden="false" customHeight="true" outlineLevel="0" collapsed="false">
      <c r="A222" s="60" t="s">
        <v>1959</v>
      </c>
      <c r="B222" s="36" t="s">
        <v>2177</v>
      </c>
      <c r="C222" s="63" t="s">
        <v>2178</v>
      </c>
      <c r="D222" s="38" t="s">
        <v>2179</v>
      </c>
      <c r="E222" s="39" t="s">
        <v>2180</v>
      </c>
      <c r="F222" s="49" t="s">
        <v>538</v>
      </c>
      <c r="G222" s="41" t="s">
        <v>2181</v>
      </c>
      <c r="H222" s="42" t="s">
        <v>2182</v>
      </c>
      <c r="I222" s="43" t="s">
        <v>2183</v>
      </c>
      <c r="J222" s="44" t="s">
        <v>2184</v>
      </c>
      <c r="K222" s="45" t="s">
        <v>2185</v>
      </c>
      <c r="L222" s="46" t="s">
        <v>2186</v>
      </c>
      <c r="M222" s="47" t="s">
        <v>2187</v>
      </c>
    </row>
    <row r="223" customFormat="false" ht="57.75" hidden="false" customHeight="true" outlineLevel="0" collapsed="false">
      <c r="A223" s="60" t="s">
        <v>1959</v>
      </c>
      <c r="B223" s="36" t="s">
        <v>2188</v>
      </c>
      <c r="C223" s="63" t="s">
        <v>2178</v>
      </c>
      <c r="D223" s="38" t="s">
        <v>2179</v>
      </c>
      <c r="E223" s="39" t="s">
        <v>2189</v>
      </c>
      <c r="F223" s="49" t="s">
        <v>538</v>
      </c>
      <c r="G223" s="41" t="s">
        <v>2190</v>
      </c>
      <c r="H223" s="42" t="s">
        <v>2191</v>
      </c>
      <c r="I223" s="43" t="s">
        <v>2192</v>
      </c>
      <c r="J223" s="44" t="s">
        <v>2193</v>
      </c>
      <c r="K223" s="45" t="s">
        <v>2194</v>
      </c>
      <c r="L223" s="46" t="s">
        <v>2195</v>
      </c>
      <c r="M223" s="47" t="s">
        <v>2196</v>
      </c>
    </row>
    <row r="224" customFormat="false" ht="57.75" hidden="false" customHeight="true" outlineLevel="0" collapsed="false">
      <c r="A224" s="60" t="s">
        <v>1959</v>
      </c>
      <c r="B224" s="36" t="s">
        <v>2197</v>
      </c>
      <c r="C224" s="63" t="s">
        <v>2178</v>
      </c>
      <c r="D224" s="38" t="s">
        <v>2179</v>
      </c>
      <c r="E224" s="39" t="s">
        <v>2198</v>
      </c>
      <c r="F224" s="49" t="s">
        <v>538</v>
      </c>
      <c r="G224" s="41" t="s">
        <v>2199</v>
      </c>
      <c r="H224" s="42" t="s">
        <v>2200</v>
      </c>
      <c r="I224" s="43" t="s">
        <v>2201</v>
      </c>
      <c r="J224" s="44" t="s">
        <v>2202</v>
      </c>
      <c r="K224" s="45" t="s">
        <v>2203</v>
      </c>
      <c r="L224" s="46" t="s">
        <v>2204</v>
      </c>
      <c r="M224" s="47" t="s">
        <v>2205</v>
      </c>
    </row>
    <row r="225" customFormat="false" ht="57.75" hidden="false" customHeight="true" outlineLevel="0" collapsed="false">
      <c r="A225" s="60" t="s">
        <v>1959</v>
      </c>
      <c r="B225" s="36" t="s">
        <v>2206</v>
      </c>
      <c r="C225" s="63" t="s">
        <v>2178</v>
      </c>
      <c r="D225" s="38" t="s">
        <v>2207</v>
      </c>
      <c r="E225" s="39" t="s">
        <v>2208</v>
      </c>
      <c r="F225" s="49" t="s">
        <v>538</v>
      </c>
      <c r="G225" s="41" t="s">
        <v>2209</v>
      </c>
      <c r="H225" s="42" t="s">
        <v>2210</v>
      </c>
      <c r="I225" s="43" t="s">
        <v>2211</v>
      </c>
      <c r="J225" s="44" t="s">
        <v>2212</v>
      </c>
      <c r="K225" s="45" t="s">
        <v>2213</v>
      </c>
      <c r="L225" s="46" t="s">
        <v>2214</v>
      </c>
      <c r="M225" s="47" t="s">
        <v>2215</v>
      </c>
    </row>
    <row r="226" customFormat="false" ht="57.75" hidden="false" customHeight="true" outlineLevel="0" collapsed="false">
      <c r="A226" s="60" t="s">
        <v>1959</v>
      </c>
      <c r="B226" s="36" t="s">
        <v>2216</v>
      </c>
      <c r="C226" s="63" t="s">
        <v>2178</v>
      </c>
      <c r="D226" s="38" t="s">
        <v>2207</v>
      </c>
      <c r="E226" s="39" t="s">
        <v>2217</v>
      </c>
      <c r="F226" s="49" t="s">
        <v>538</v>
      </c>
      <c r="G226" s="41" t="s">
        <v>2218</v>
      </c>
      <c r="H226" s="42" t="s">
        <v>2219</v>
      </c>
      <c r="I226" s="43" t="s">
        <v>2220</v>
      </c>
      <c r="J226" s="44" t="s">
        <v>2221</v>
      </c>
      <c r="K226" s="45" t="s">
        <v>2222</v>
      </c>
      <c r="L226" s="46" t="s">
        <v>2223</v>
      </c>
      <c r="M226" s="47" t="s">
        <v>2224</v>
      </c>
    </row>
    <row r="227" customFormat="false" ht="57.75" hidden="false" customHeight="true" outlineLevel="0" collapsed="false">
      <c r="A227" s="60" t="s">
        <v>1959</v>
      </c>
      <c r="B227" s="36" t="s">
        <v>2225</v>
      </c>
      <c r="C227" s="63" t="s">
        <v>2178</v>
      </c>
      <c r="D227" s="38" t="s">
        <v>2207</v>
      </c>
      <c r="E227" s="39" t="s">
        <v>2226</v>
      </c>
      <c r="F227" s="49" t="s">
        <v>538</v>
      </c>
      <c r="G227" s="41" t="s">
        <v>2227</v>
      </c>
      <c r="H227" s="42" t="s">
        <v>2228</v>
      </c>
      <c r="I227" s="43" t="s">
        <v>2229</v>
      </c>
      <c r="J227" s="44" t="s">
        <v>2230</v>
      </c>
      <c r="K227" s="45" t="s">
        <v>2231</v>
      </c>
      <c r="L227" s="46" t="s">
        <v>2232</v>
      </c>
      <c r="M227" s="47" t="s">
        <v>2233</v>
      </c>
    </row>
    <row r="228" customFormat="false" ht="57.75" hidden="false" customHeight="true" outlineLevel="0" collapsed="false">
      <c r="A228" s="60" t="s">
        <v>1959</v>
      </c>
      <c r="B228" s="36" t="s">
        <v>2234</v>
      </c>
      <c r="C228" s="63" t="s">
        <v>2178</v>
      </c>
      <c r="D228" s="38" t="s">
        <v>2235</v>
      </c>
      <c r="E228" s="39" t="s">
        <v>2236</v>
      </c>
      <c r="F228" s="49" t="s">
        <v>538</v>
      </c>
      <c r="G228" s="41" t="s">
        <v>2237</v>
      </c>
      <c r="H228" s="42" t="s">
        <v>2238</v>
      </c>
      <c r="I228" s="43" t="s">
        <v>2239</v>
      </c>
      <c r="J228" s="44" t="s">
        <v>2240</v>
      </c>
      <c r="K228" s="45" t="s">
        <v>2241</v>
      </c>
      <c r="L228" s="46" t="s">
        <v>2242</v>
      </c>
      <c r="M228" s="47" t="s">
        <v>2243</v>
      </c>
    </row>
    <row r="229" customFormat="false" ht="57.75" hidden="false" customHeight="true" outlineLevel="0" collapsed="false">
      <c r="A229" s="60" t="s">
        <v>1959</v>
      </c>
      <c r="B229" s="36" t="s">
        <v>2244</v>
      </c>
      <c r="C229" s="63" t="s">
        <v>2178</v>
      </c>
      <c r="D229" s="38" t="s">
        <v>2235</v>
      </c>
      <c r="E229" s="39" t="s">
        <v>2245</v>
      </c>
      <c r="F229" s="49" t="s">
        <v>538</v>
      </c>
      <c r="G229" s="41" t="s">
        <v>2246</v>
      </c>
      <c r="H229" s="42" t="s">
        <v>2247</v>
      </c>
      <c r="I229" s="43" t="s">
        <v>2248</v>
      </c>
      <c r="J229" s="44" t="s">
        <v>2249</v>
      </c>
      <c r="K229" s="45" t="s">
        <v>2250</v>
      </c>
      <c r="L229" s="46" t="s">
        <v>2251</v>
      </c>
      <c r="M229" s="47" t="s">
        <v>2252</v>
      </c>
    </row>
    <row r="230" customFormat="false" ht="57.75" hidden="false" customHeight="true" outlineLevel="0" collapsed="false">
      <c r="A230" s="60" t="s">
        <v>1959</v>
      </c>
      <c r="B230" s="36" t="s">
        <v>2253</v>
      </c>
      <c r="C230" s="63" t="s">
        <v>2178</v>
      </c>
      <c r="D230" s="38" t="s">
        <v>2235</v>
      </c>
      <c r="E230" s="39" t="s">
        <v>2254</v>
      </c>
      <c r="F230" s="40" t="s">
        <v>146</v>
      </c>
      <c r="G230" s="41" t="s">
        <v>2255</v>
      </c>
      <c r="H230" s="42" t="s">
        <v>2256</v>
      </c>
      <c r="I230" s="43" t="s">
        <v>2257</v>
      </c>
      <c r="J230" s="44" t="s">
        <v>2258</v>
      </c>
      <c r="K230" s="45" t="s">
        <v>2259</v>
      </c>
      <c r="L230" s="46" t="s">
        <v>2260</v>
      </c>
      <c r="M230" s="47" t="s">
        <v>2261</v>
      </c>
    </row>
    <row r="231" customFormat="false" ht="57.75" hidden="false" customHeight="true" outlineLevel="0" collapsed="false">
      <c r="A231" s="60" t="s">
        <v>1959</v>
      </c>
      <c r="B231" s="36" t="s">
        <v>2262</v>
      </c>
      <c r="C231" s="63" t="s">
        <v>2178</v>
      </c>
      <c r="D231" s="38" t="s">
        <v>2235</v>
      </c>
      <c r="E231" s="39" t="s">
        <v>2263</v>
      </c>
      <c r="F231" s="49" t="s">
        <v>538</v>
      </c>
      <c r="G231" s="41" t="s">
        <v>2264</v>
      </c>
      <c r="H231" s="42" t="s">
        <v>2265</v>
      </c>
      <c r="I231" s="43" t="s">
        <v>2266</v>
      </c>
      <c r="J231" s="44" t="s">
        <v>2267</v>
      </c>
      <c r="K231" s="45" t="s">
        <v>2268</v>
      </c>
      <c r="L231" s="46" t="s">
        <v>2269</v>
      </c>
      <c r="M231" s="47" t="s">
        <v>2270</v>
      </c>
    </row>
    <row r="232" customFormat="false" ht="57.75" hidden="false" customHeight="true" outlineLevel="0" collapsed="false">
      <c r="A232" s="60" t="s">
        <v>1959</v>
      </c>
      <c r="B232" s="36" t="s">
        <v>2271</v>
      </c>
      <c r="C232" s="63" t="s">
        <v>2178</v>
      </c>
      <c r="D232" s="38" t="s">
        <v>2272</v>
      </c>
      <c r="E232" s="39" t="s">
        <v>2273</v>
      </c>
      <c r="F232" s="49" t="s">
        <v>538</v>
      </c>
      <c r="G232" s="41" t="s">
        <v>2274</v>
      </c>
      <c r="H232" s="42" t="s">
        <v>2275</v>
      </c>
      <c r="I232" s="43" t="s">
        <v>2276</v>
      </c>
      <c r="J232" s="44" t="s">
        <v>2277</v>
      </c>
      <c r="K232" s="45" t="s">
        <v>2278</v>
      </c>
      <c r="L232" s="46" t="s">
        <v>2279</v>
      </c>
      <c r="M232" s="47" t="s">
        <v>2280</v>
      </c>
    </row>
    <row r="233" customFormat="false" ht="57.75" hidden="false" customHeight="true" outlineLevel="0" collapsed="false">
      <c r="A233" s="60" t="s">
        <v>1959</v>
      </c>
      <c r="B233" s="36" t="s">
        <v>2281</v>
      </c>
      <c r="C233" s="63" t="s">
        <v>2178</v>
      </c>
      <c r="D233" s="38" t="s">
        <v>2272</v>
      </c>
      <c r="E233" s="39" t="s">
        <v>2282</v>
      </c>
      <c r="F233" s="49" t="s">
        <v>538</v>
      </c>
      <c r="G233" s="41" t="s">
        <v>2283</v>
      </c>
      <c r="H233" s="42" t="s">
        <v>2284</v>
      </c>
      <c r="I233" s="43" t="s">
        <v>2285</v>
      </c>
      <c r="J233" s="44" t="s">
        <v>2286</v>
      </c>
      <c r="K233" s="45" t="s">
        <v>2287</v>
      </c>
      <c r="L233" s="46" t="s">
        <v>2288</v>
      </c>
      <c r="M233" s="47" t="s">
        <v>2289</v>
      </c>
    </row>
    <row r="234" customFormat="false" ht="57.75" hidden="false" customHeight="true" outlineLevel="0" collapsed="false">
      <c r="A234" s="60" t="s">
        <v>1959</v>
      </c>
      <c r="B234" s="36" t="s">
        <v>2290</v>
      </c>
      <c r="C234" s="64" t="s">
        <v>2291</v>
      </c>
      <c r="D234" s="38" t="s">
        <v>2292</v>
      </c>
      <c r="E234" s="39" t="s">
        <v>2293</v>
      </c>
      <c r="F234" s="49" t="s">
        <v>538</v>
      </c>
      <c r="G234" s="41" t="s">
        <v>2294</v>
      </c>
      <c r="H234" s="42" t="s">
        <v>2295</v>
      </c>
      <c r="I234" s="43" t="s">
        <v>2296</v>
      </c>
      <c r="J234" s="44" t="s">
        <v>2297</v>
      </c>
      <c r="K234" s="45" t="s">
        <v>2298</v>
      </c>
      <c r="L234" s="46" t="s">
        <v>2299</v>
      </c>
      <c r="M234" s="47" t="s">
        <v>2300</v>
      </c>
    </row>
    <row r="235" customFormat="false" ht="57.75" hidden="false" customHeight="true" outlineLevel="0" collapsed="false">
      <c r="A235" s="60" t="s">
        <v>1959</v>
      </c>
      <c r="B235" s="36" t="s">
        <v>2301</v>
      </c>
      <c r="C235" s="64" t="s">
        <v>2291</v>
      </c>
      <c r="D235" s="38" t="s">
        <v>2292</v>
      </c>
      <c r="E235" s="39" t="s">
        <v>2302</v>
      </c>
      <c r="F235" s="49" t="s">
        <v>538</v>
      </c>
      <c r="G235" s="41" t="s">
        <v>2303</v>
      </c>
      <c r="H235" s="42" t="s">
        <v>2304</v>
      </c>
      <c r="I235" s="43" t="s">
        <v>2305</v>
      </c>
      <c r="J235" s="44" t="s">
        <v>2306</v>
      </c>
      <c r="K235" s="45" t="s">
        <v>2307</v>
      </c>
      <c r="L235" s="46" t="s">
        <v>2308</v>
      </c>
      <c r="M235" s="47" t="s">
        <v>2309</v>
      </c>
    </row>
    <row r="236" customFormat="false" ht="57.75" hidden="false" customHeight="true" outlineLevel="0" collapsed="false">
      <c r="A236" s="60" t="s">
        <v>1959</v>
      </c>
      <c r="B236" s="36" t="s">
        <v>2310</v>
      </c>
      <c r="C236" s="64" t="s">
        <v>2291</v>
      </c>
      <c r="D236" s="38" t="s">
        <v>2292</v>
      </c>
      <c r="E236" s="39" t="s">
        <v>2311</v>
      </c>
      <c r="F236" s="49" t="s">
        <v>538</v>
      </c>
      <c r="G236" s="41" t="s">
        <v>2312</v>
      </c>
      <c r="H236" s="42" t="s">
        <v>2313</v>
      </c>
      <c r="I236" s="43" t="s">
        <v>2314</v>
      </c>
      <c r="J236" s="44" t="s">
        <v>2315</v>
      </c>
      <c r="K236" s="45" t="s">
        <v>2316</v>
      </c>
      <c r="L236" s="46" t="s">
        <v>2317</v>
      </c>
      <c r="M236" s="47" t="s">
        <v>2318</v>
      </c>
    </row>
    <row r="237" customFormat="false" ht="57.75" hidden="false" customHeight="true" outlineLevel="0" collapsed="false">
      <c r="A237" s="60" t="s">
        <v>1959</v>
      </c>
      <c r="B237" s="36" t="s">
        <v>2319</v>
      </c>
      <c r="C237" s="64" t="s">
        <v>2291</v>
      </c>
      <c r="D237" s="38" t="s">
        <v>2320</v>
      </c>
      <c r="E237" s="39" t="s">
        <v>2321</v>
      </c>
      <c r="F237" s="49" t="s">
        <v>538</v>
      </c>
      <c r="G237" s="41" t="s">
        <v>2322</v>
      </c>
      <c r="H237" s="42" t="s">
        <v>2323</v>
      </c>
      <c r="I237" s="43" t="s">
        <v>2324</v>
      </c>
      <c r="J237" s="44" t="s">
        <v>2325</v>
      </c>
      <c r="K237" s="45" t="s">
        <v>2326</v>
      </c>
      <c r="L237" s="46" t="s">
        <v>2327</v>
      </c>
      <c r="M237" s="47" t="s">
        <v>2328</v>
      </c>
    </row>
    <row r="238" customFormat="false" ht="57.75" hidden="false" customHeight="true" outlineLevel="0" collapsed="false">
      <c r="A238" s="60" t="s">
        <v>1959</v>
      </c>
      <c r="B238" s="36" t="s">
        <v>2329</v>
      </c>
      <c r="C238" s="64" t="s">
        <v>2291</v>
      </c>
      <c r="D238" s="38" t="s">
        <v>2320</v>
      </c>
      <c r="E238" s="39" t="s">
        <v>2330</v>
      </c>
      <c r="F238" s="49" t="s">
        <v>538</v>
      </c>
      <c r="G238" s="41" t="s">
        <v>2331</v>
      </c>
      <c r="H238" s="42" t="s">
        <v>2332</v>
      </c>
      <c r="I238" s="43" t="s">
        <v>2333</v>
      </c>
      <c r="J238" s="44" t="s">
        <v>2334</v>
      </c>
      <c r="K238" s="45" t="s">
        <v>2335</v>
      </c>
      <c r="L238" s="46" t="s">
        <v>2336</v>
      </c>
      <c r="M238" s="47" t="s">
        <v>2337</v>
      </c>
    </row>
    <row r="239" customFormat="false" ht="57.75" hidden="false" customHeight="true" outlineLevel="0" collapsed="false">
      <c r="A239" s="60" t="s">
        <v>1959</v>
      </c>
      <c r="B239" s="36" t="s">
        <v>2338</v>
      </c>
      <c r="C239" s="64" t="s">
        <v>2291</v>
      </c>
      <c r="D239" s="38" t="s">
        <v>2320</v>
      </c>
      <c r="E239" s="39" t="s">
        <v>2339</v>
      </c>
      <c r="F239" s="49" t="s">
        <v>538</v>
      </c>
      <c r="G239" s="41" t="s">
        <v>2340</v>
      </c>
      <c r="H239" s="42" t="s">
        <v>2341</v>
      </c>
      <c r="I239" s="43" t="s">
        <v>2342</v>
      </c>
      <c r="J239" s="44" t="s">
        <v>2343</v>
      </c>
      <c r="K239" s="45" t="s">
        <v>2344</v>
      </c>
      <c r="L239" s="46" t="s">
        <v>2345</v>
      </c>
      <c r="M239" s="47" t="s">
        <v>2346</v>
      </c>
    </row>
    <row r="240" customFormat="false" ht="57.75" hidden="false" customHeight="true" outlineLevel="0" collapsed="false">
      <c r="A240" s="60" t="s">
        <v>1959</v>
      </c>
      <c r="B240" s="36" t="s">
        <v>2347</v>
      </c>
      <c r="C240" s="64" t="s">
        <v>2291</v>
      </c>
      <c r="D240" s="38" t="s">
        <v>2320</v>
      </c>
      <c r="E240" s="39" t="s">
        <v>2348</v>
      </c>
      <c r="F240" s="49" t="s">
        <v>538</v>
      </c>
      <c r="G240" s="41" t="s">
        <v>2349</v>
      </c>
      <c r="H240" s="42" t="s">
        <v>2350</v>
      </c>
      <c r="I240" s="43" t="s">
        <v>2351</v>
      </c>
      <c r="J240" s="44" t="s">
        <v>2352</v>
      </c>
      <c r="K240" s="45" t="s">
        <v>2353</v>
      </c>
      <c r="L240" s="46" t="s">
        <v>2354</v>
      </c>
      <c r="M240" s="47" t="s">
        <v>2355</v>
      </c>
    </row>
    <row r="241" customFormat="false" ht="57.75" hidden="false" customHeight="true" outlineLevel="0" collapsed="false">
      <c r="A241" s="60" t="s">
        <v>1959</v>
      </c>
      <c r="B241" s="36" t="s">
        <v>2356</v>
      </c>
      <c r="C241" s="64" t="s">
        <v>2291</v>
      </c>
      <c r="D241" s="38" t="s">
        <v>2357</v>
      </c>
      <c r="E241" s="39" t="s">
        <v>2358</v>
      </c>
      <c r="F241" s="49" t="s">
        <v>538</v>
      </c>
      <c r="G241" s="41" t="s">
        <v>2359</v>
      </c>
      <c r="H241" s="42" t="s">
        <v>2360</v>
      </c>
      <c r="I241" s="43" t="s">
        <v>2361</v>
      </c>
      <c r="J241" s="44" t="s">
        <v>2362</v>
      </c>
      <c r="K241" s="45" t="s">
        <v>2363</v>
      </c>
      <c r="L241" s="46" t="s">
        <v>2364</v>
      </c>
      <c r="M241" s="47" t="s">
        <v>2365</v>
      </c>
    </row>
    <row r="242" customFormat="false" ht="57.75" hidden="false" customHeight="true" outlineLevel="0" collapsed="false">
      <c r="A242" s="60" t="s">
        <v>1959</v>
      </c>
      <c r="B242" s="36" t="s">
        <v>2366</v>
      </c>
      <c r="C242" s="64" t="s">
        <v>2291</v>
      </c>
      <c r="D242" s="38" t="s">
        <v>2357</v>
      </c>
      <c r="E242" s="39" t="s">
        <v>2367</v>
      </c>
      <c r="F242" s="49" t="s">
        <v>538</v>
      </c>
      <c r="G242" s="41" t="s">
        <v>2368</v>
      </c>
      <c r="H242" s="42" t="s">
        <v>2369</v>
      </c>
      <c r="I242" s="43" t="s">
        <v>2370</v>
      </c>
      <c r="J242" s="44" t="s">
        <v>2371</v>
      </c>
      <c r="K242" s="45" t="s">
        <v>2372</v>
      </c>
      <c r="L242" s="46" t="s">
        <v>2373</v>
      </c>
      <c r="M242" s="47" t="s">
        <v>2374</v>
      </c>
    </row>
    <row r="243" customFormat="false" ht="57.75" hidden="false" customHeight="true" outlineLevel="0" collapsed="false">
      <c r="A243" s="60" t="s">
        <v>1959</v>
      </c>
      <c r="B243" s="36" t="s">
        <v>2375</v>
      </c>
      <c r="C243" s="64" t="s">
        <v>2291</v>
      </c>
      <c r="D243" s="38" t="s">
        <v>2357</v>
      </c>
      <c r="E243" s="39" t="s">
        <v>2376</v>
      </c>
      <c r="F243" s="40" t="s">
        <v>146</v>
      </c>
      <c r="G243" s="41" t="s">
        <v>2377</v>
      </c>
      <c r="H243" s="42" t="s">
        <v>2378</v>
      </c>
      <c r="I243" s="43" t="s">
        <v>2379</v>
      </c>
      <c r="J243" s="44" t="s">
        <v>2380</v>
      </c>
      <c r="K243" s="45" t="s">
        <v>2381</v>
      </c>
      <c r="L243" s="46" t="s">
        <v>2382</v>
      </c>
      <c r="M243" s="47" t="s">
        <v>2383</v>
      </c>
    </row>
    <row r="244" customFormat="false" ht="57.75" hidden="false" customHeight="true" outlineLevel="0" collapsed="false">
      <c r="A244" s="60" t="s">
        <v>1959</v>
      </c>
      <c r="B244" s="36" t="s">
        <v>2384</v>
      </c>
      <c r="C244" s="53" t="s">
        <v>2385</v>
      </c>
      <c r="D244" s="38" t="s">
        <v>2386</v>
      </c>
      <c r="E244" s="39" t="s">
        <v>2387</v>
      </c>
      <c r="F244" s="49" t="s">
        <v>538</v>
      </c>
      <c r="G244" s="41" t="s">
        <v>2388</v>
      </c>
      <c r="H244" s="42" t="s">
        <v>2389</v>
      </c>
      <c r="I244" s="43" t="s">
        <v>2390</v>
      </c>
      <c r="J244" s="44" t="s">
        <v>2391</v>
      </c>
      <c r="K244" s="45" t="s">
        <v>2392</v>
      </c>
      <c r="L244" s="46" t="s">
        <v>2393</v>
      </c>
      <c r="M244" s="47" t="s">
        <v>2394</v>
      </c>
    </row>
    <row r="245" customFormat="false" ht="57.75" hidden="false" customHeight="true" outlineLevel="0" collapsed="false">
      <c r="A245" s="60" t="s">
        <v>1959</v>
      </c>
      <c r="B245" s="36" t="s">
        <v>2395</v>
      </c>
      <c r="C245" s="53" t="s">
        <v>2385</v>
      </c>
      <c r="D245" s="38" t="s">
        <v>2386</v>
      </c>
      <c r="E245" s="39" t="s">
        <v>2396</v>
      </c>
      <c r="F245" s="49" t="s">
        <v>538</v>
      </c>
      <c r="G245" s="41" t="s">
        <v>2397</v>
      </c>
      <c r="H245" s="42" t="s">
        <v>2398</v>
      </c>
      <c r="I245" s="43" t="s">
        <v>2399</v>
      </c>
      <c r="J245" s="44" t="s">
        <v>2400</v>
      </c>
      <c r="K245" s="45" t="s">
        <v>2401</v>
      </c>
      <c r="L245" s="46" t="s">
        <v>2402</v>
      </c>
      <c r="M245" s="47" t="s">
        <v>2403</v>
      </c>
    </row>
    <row r="246" customFormat="false" ht="57.75" hidden="false" customHeight="true" outlineLevel="0" collapsed="false">
      <c r="A246" s="60" t="s">
        <v>1959</v>
      </c>
      <c r="B246" s="36" t="s">
        <v>2404</v>
      </c>
      <c r="C246" s="53" t="s">
        <v>2385</v>
      </c>
      <c r="D246" s="38" t="s">
        <v>2386</v>
      </c>
      <c r="E246" s="39" t="s">
        <v>2405</v>
      </c>
      <c r="F246" s="49" t="s">
        <v>538</v>
      </c>
      <c r="G246" s="41" t="s">
        <v>2406</v>
      </c>
      <c r="H246" s="42" t="s">
        <v>2407</v>
      </c>
      <c r="I246" s="43" t="s">
        <v>2408</v>
      </c>
      <c r="J246" s="44" t="s">
        <v>2409</v>
      </c>
      <c r="K246" s="45" t="s">
        <v>2410</v>
      </c>
      <c r="L246" s="46" t="s">
        <v>2411</v>
      </c>
      <c r="M246" s="47" t="s">
        <v>2412</v>
      </c>
    </row>
    <row r="247" customFormat="false" ht="57.75" hidden="false" customHeight="true" outlineLevel="0" collapsed="false">
      <c r="A247" s="60" t="s">
        <v>1959</v>
      </c>
      <c r="B247" s="36" t="s">
        <v>2413</v>
      </c>
      <c r="C247" s="53" t="s">
        <v>2385</v>
      </c>
      <c r="D247" s="38" t="s">
        <v>2414</v>
      </c>
      <c r="E247" s="39" t="s">
        <v>2415</v>
      </c>
      <c r="F247" s="49" t="s">
        <v>538</v>
      </c>
      <c r="G247" s="41" t="s">
        <v>2416</v>
      </c>
      <c r="H247" s="42" t="s">
        <v>2417</v>
      </c>
      <c r="I247" s="43" t="s">
        <v>2418</v>
      </c>
      <c r="J247" s="44" t="s">
        <v>2419</v>
      </c>
      <c r="K247" s="45" t="s">
        <v>2420</v>
      </c>
      <c r="L247" s="46" t="s">
        <v>2421</v>
      </c>
      <c r="M247" s="47" t="s">
        <v>2422</v>
      </c>
    </row>
    <row r="248" customFormat="false" ht="57.75" hidden="false" customHeight="true" outlineLevel="0" collapsed="false">
      <c r="A248" s="60" t="s">
        <v>1959</v>
      </c>
      <c r="B248" s="36" t="s">
        <v>2423</v>
      </c>
      <c r="C248" s="53" t="s">
        <v>2385</v>
      </c>
      <c r="D248" s="38" t="s">
        <v>2414</v>
      </c>
      <c r="E248" s="39" t="s">
        <v>2424</v>
      </c>
      <c r="F248" s="49" t="s">
        <v>538</v>
      </c>
      <c r="G248" s="41" t="s">
        <v>2425</v>
      </c>
      <c r="H248" s="42" t="s">
        <v>2426</v>
      </c>
      <c r="I248" s="43" t="s">
        <v>2427</v>
      </c>
      <c r="J248" s="44" t="s">
        <v>2428</v>
      </c>
      <c r="K248" s="45" t="s">
        <v>2429</v>
      </c>
      <c r="L248" s="46" t="s">
        <v>2430</v>
      </c>
      <c r="M248" s="47" t="s">
        <v>2431</v>
      </c>
    </row>
    <row r="249" customFormat="false" ht="57.75" hidden="false" customHeight="true" outlineLevel="0" collapsed="false">
      <c r="A249" s="60" t="s">
        <v>1959</v>
      </c>
      <c r="B249" s="36" t="s">
        <v>2432</v>
      </c>
      <c r="C249" s="53" t="s">
        <v>2385</v>
      </c>
      <c r="D249" s="38" t="s">
        <v>2414</v>
      </c>
      <c r="E249" s="39" t="s">
        <v>2433</v>
      </c>
      <c r="F249" s="49" t="s">
        <v>538</v>
      </c>
      <c r="G249" s="41" t="s">
        <v>2434</v>
      </c>
      <c r="H249" s="42" t="s">
        <v>2435</v>
      </c>
      <c r="I249" s="43" t="s">
        <v>2436</v>
      </c>
      <c r="J249" s="44" t="s">
        <v>2437</v>
      </c>
      <c r="K249" s="45" t="s">
        <v>2438</v>
      </c>
      <c r="L249" s="46" t="s">
        <v>2439</v>
      </c>
      <c r="M249" s="47" t="s">
        <v>2440</v>
      </c>
    </row>
    <row r="250" customFormat="false" ht="57.75" hidden="false" customHeight="true" outlineLevel="0" collapsed="false">
      <c r="A250" s="60" t="s">
        <v>1959</v>
      </c>
      <c r="B250" s="36" t="s">
        <v>2441</v>
      </c>
      <c r="C250" s="65" t="s">
        <v>2442</v>
      </c>
      <c r="D250" s="38" t="s">
        <v>2443</v>
      </c>
      <c r="E250" s="39" t="s">
        <v>2444</v>
      </c>
      <c r="F250" s="49" t="s">
        <v>538</v>
      </c>
      <c r="G250" s="41" t="s">
        <v>2445</v>
      </c>
      <c r="H250" s="42" t="s">
        <v>2446</v>
      </c>
      <c r="I250" s="43" t="s">
        <v>2447</v>
      </c>
      <c r="J250" s="44" t="s">
        <v>2448</v>
      </c>
      <c r="K250" s="45" t="s">
        <v>2449</v>
      </c>
      <c r="L250" s="46" t="s">
        <v>2450</v>
      </c>
      <c r="M250" s="47" t="s">
        <v>2451</v>
      </c>
    </row>
    <row r="251" customFormat="false" ht="57.75" hidden="false" customHeight="true" outlineLevel="0" collapsed="false">
      <c r="A251" s="60" t="s">
        <v>1959</v>
      </c>
      <c r="B251" s="36" t="s">
        <v>2452</v>
      </c>
      <c r="C251" s="65" t="s">
        <v>2442</v>
      </c>
      <c r="D251" s="38" t="s">
        <v>2443</v>
      </c>
      <c r="E251" s="39" t="s">
        <v>2453</v>
      </c>
      <c r="F251" s="49" t="s">
        <v>538</v>
      </c>
      <c r="G251" s="41" t="s">
        <v>2454</v>
      </c>
      <c r="H251" s="42" t="s">
        <v>2455</v>
      </c>
      <c r="I251" s="43" t="s">
        <v>2456</v>
      </c>
      <c r="J251" s="44" t="s">
        <v>2457</v>
      </c>
      <c r="K251" s="45" t="s">
        <v>2458</v>
      </c>
      <c r="L251" s="46" t="s">
        <v>2459</v>
      </c>
      <c r="M251" s="47" t="s">
        <v>2460</v>
      </c>
    </row>
    <row r="252" customFormat="false" ht="57.75" hidden="false" customHeight="true" outlineLevel="0" collapsed="false">
      <c r="A252" s="60" t="s">
        <v>1959</v>
      </c>
      <c r="B252" s="36" t="s">
        <v>2461</v>
      </c>
      <c r="C252" s="65" t="s">
        <v>2442</v>
      </c>
      <c r="D252" s="38" t="s">
        <v>2462</v>
      </c>
      <c r="E252" s="39" t="s">
        <v>2463</v>
      </c>
      <c r="F252" s="49" t="s">
        <v>538</v>
      </c>
      <c r="G252" s="41" t="s">
        <v>2464</v>
      </c>
      <c r="H252" s="42" t="s">
        <v>2465</v>
      </c>
      <c r="I252" s="43" t="s">
        <v>2466</v>
      </c>
      <c r="J252" s="44" t="s">
        <v>2467</v>
      </c>
      <c r="K252" s="45" t="s">
        <v>2468</v>
      </c>
      <c r="L252" s="46" t="s">
        <v>2469</v>
      </c>
      <c r="M252" s="47" t="s">
        <v>2470</v>
      </c>
    </row>
    <row r="253" customFormat="false" ht="57.75" hidden="false" customHeight="true" outlineLevel="0" collapsed="false">
      <c r="A253" s="60" t="s">
        <v>1959</v>
      </c>
      <c r="B253" s="36" t="s">
        <v>2471</v>
      </c>
      <c r="C253" s="65" t="s">
        <v>2442</v>
      </c>
      <c r="D253" s="38" t="s">
        <v>2462</v>
      </c>
      <c r="E253" s="39" t="s">
        <v>2472</v>
      </c>
      <c r="F253" s="49" t="s">
        <v>538</v>
      </c>
      <c r="G253" s="41" t="s">
        <v>2473</v>
      </c>
      <c r="H253" s="42" t="s">
        <v>2474</v>
      </c>
      <c r="I253" s="43" t="s">
        <v>2475</v>
      </c>
      <c r="J253" s="44" t="s">
        <v>2476</v>
      </c>
      <c r="K253" s="45" t="s">
        <v>2477</v>
      </c>
      <c r="L253" s="46" t="s">
        <v>2478</v>
      </c>
      <c r="M253" s="47" t="s">
        <v>2479</v>
      </c>
    </row>
    <row r="254" customFormat="false" ht="57.75" hidden="false" customHeight="true" outlineLevel="0" collapsed="false">
      <c r="A254" s="60" t="s">
        <v>1959</v>
      </c>
      <c r="B254" s="36" t="s">
        <v>2480</v>
      </c>
      <c r="C254" s="65" t="s">
        <v>2442</v>
      </c>
      <c r="D254" s="38" t="s">
        <v>2462</v>
      </c>
      <c r="E254" s="39" t="s">
        <v>2481</v>
      </c>
      <c r="F254" s="49" t="s">
        <v>538</v>
      </c>
      <c r="G254" s="41" t="s">
        <v>2482</v>
      </c>
      <c r="H254" s="42" t="s">
        <v>2483</v>
      </c>
      <c r="I254" s="43" t="s">
        <v>2484</v>
      </c>
      <c r="J254" s="44" t="s">
        <v>2485</v>
      </c>
      <c r="K254" s="45" t="s">
        <v>2486</v>
      </c>
      <c r="L254" s="46" t="s">
        <v>2487</v>
      </c>
      <c r="M254" s="47" t="s">
        <v>2488</v>
      </c>
    </row>
    <row r="255" customFormat="false" ht="57.75" hidden="false" customHeight="true" outlineLevel="0" collapsed="false">
      <c r="A255" s="60" t="s">
        <v>1959</v>
      </c>
      <c r="B255" s="36" t="s">
        <v>2489</v>
      </c>
      <c r="C255" s="56" t="s">
        <v>2490</v>
      </c>
      <c r="D255" s="38" t="s">
        <v>2491</v>
      </c>
      <c r="E255" s="39" t="s">
        <v>2492</v>
      </c>
      <c r="F255" s="49" t="s">
        <v>538</v>
      </c>
      <c r="G255" s="41" t="s">
        <v>2493</v>
      </c>
      <c r="H255" s="42" t="s">
        <v>2494</v>
      </c>
      <c r="I255" s="43" t="s">
        <v>2495</v>
      </c>
      <c r="J255" s="44" t="s">
        <v>2496</v>
      </c>
      <c r="K255" s="45" t="s">
        <v>2497</v>
      </c>
      <c r="L255" s="46" t="s">
        <v>2498</v>
      </c>
      <c r="M255" s="47" t="s">
        <v>2499</v>
      </c>
    </row>
    <row r="256" customFormat="false" ht="57.75" hidden="false" customHeight="true" outlineLevel="0" collapsed="false">
      <c r="A256" s="60" t="s">
        <v>1959</v>
      </c>
      <c r="B256" s="36" t="s">
        <v>2500</v>
      </c>
      <c r="C256" s="56" t="s">
        <v>2490</v>
      </c>
      <c r="D256" s="38" t="s">
        <v>2491</v>
      </c>
      <c r="E256" s="39" t="s">
        <v>2501</v>
      </c>
      <c r="F256" s="49" t="s">
        <v>538</v>
      </c>
      <c r="G256" s="41" t="s">
        <v>2502</v>
      </c>
      <c r="H256" s="42" t="s">
        <v>2503</v>
      </c>
      <c r="I256" s="43" t="s">
        <v>2504</v>
      </c>
      <c r="J256" s="44" t="s">
        <v>2505</v>
      </c>
      <c r="K256" s="45" t="s">
        <v>2506</v>
      </c>
      <c r="L256" s="46" t="s">
        <v>2507</v>
      </c>
      <c r="M256" s="47" t="s">
        <v>2508</v>
      </c>
    </row>
    <row r="257" customFormat="false" ht="57.75" hidden="false" customHeight="true" outlineLevel="0" collapsed="false">
      <c r="A257" s="60" t="s">
        <v>1959</v>
      </c>
      <c r="B257" s="36" t="s">
        <v>2509</v>
      </c>
      <c r="C257" s="56" t="s">
        <v>2490</v>
      </c>
      <c r="D257" s="38" t="s">
        <v>2510</v>
      </c>
      <c r="E257" s="39" t="s">
        <v>2511</v>
      </c>
      <c r="F257" s="49" t="s">
        <v>538</v>
      </c>
      <c r="G257" s="41" t="s">
        <v>2512</v>
      </c>
      <c r="H257" s="42" t="s">
        <v>2513</v>
      </c>
      <c r="I257" s="43" t="s">
        <v>2514</v>
      </c>
      <c r="J257" s="44" t="s">
        <v>2515</v>
      </c>
      <c r="K257" s="45" t="s">
        <v>2516</v>
      </c>
      <c r="L257" s="46" t="s">
        <v>2517</v>
      </c>
      <c r="M257" s="47" t="s">
        <v>2518</v>
      </c>
    </row>
    <row r="258" customFormat="false" ht="57.75" hidden="false" customHeight="true" outlineLevel="0" collapsed="false">
      <c r="A258" s="60" t="s">
        <v>1959</v>
      </c>
      <c r="B258" s="36" t="s">
        <v>2519</v>
      </c>
      <c r="C258" s="56" t="s">
        <v>2490</v>
      </c>
      <c r="D258" s="38" t="s">
        <v>2510</v>
      </c>
      <c r="E258" s="39" t="s">
        <v>2520</v>
      </c>
      <c r="F258" s="49" t="s">
        <v>538</v>
      </c>
      <c r="G258" s="41" t="s">
        <v>2521</v>
      </c>
      <c r="H258" s="42" t="s">
        <v>2522</v>
      </c>
      <c r="I258" s="43" t="s">
        <v>2523</v>
      </c>
      <c r="J258" s="44" t="s">
        <v>2524</v>
      </c>
      <c r="K258" s="45" t="s">
        <v>2525</v>
      </c>
      <c r="L258" s="46" t="s">
        <v>2526</v>
      </c>
      <c r="M258" s="47" t="s">
        <v>2527</v>
      </c>
    </row>
    <row r="259" customFormat="false" ht="57.75" hidden="false" customHeight="true" outlineLevel="0" collapsed="false">
      <c r="A259" s="60" t="s">
        <v>1959</v>
      </c>
      <c r="B259" s="36" t="s">
        <v>2528</v>
      </c>
      <c r="C259" s="56" t="s">
        <v>2490</v>
      </c>
      <c r="D259" s="38" t="s">
        <v>2510</v>
      </c>
      <c r="E259" s="39" t="s">
        <v>2529</v>
      </c>
      <c r="F259" s="49" t="s">
        <v>538</v>
      </c>
      <c r="G259" s="41" t="s">
        <v>2530</v>
      </c>
      <c r="H259" s="42" t="s">
        <v>2531</v>
      </c>
      <c r="I259" s="43" t="s">
        <v>2532</v>
      </c>
      <c r="J259" s="44" t="s">
        <v>2533</v>
      </c>
      <c r="K259" s="45" t="s">
        <v>2534</v>
      </c>
      <c r="L259" s="46" t="s">
        <v>2535</v>
      </c>
      <c r="M259" s="47" t="s">
        <v>2536</v>
      </c>
    </row>
    <row r="260" customFormat="false" ht="57.75" hidden="false" customHeight="true" outlineLevel="0" collapsed="false">
      <c r="A260" s="66" t="s">
        <v>2537</v>
      </c>
      <c r="B260" s="36" t="s">
        <v>2538</v>
      </c>
      <c r="C260" s="67" t="s">
        <v>2539</v>
      </c>
      <c r="D260" s="38" t="s">
        <v>2540</v>
      </c>
      <c r="E260" s="39" t="s">
        <v>2541</v>
      </c>
      <c r="F260" s="49" t="s">
        <v>538</v>
      </c>
      <c r="G260" s="41" t="s">
        <v>2542</v>
      </c>
      <c r="H260" s="42" t="s">
        <v>2543</v>
      </c>
      <c r="I260" s="43" t="s">
        <v>2544</v>
      </c>
      <c r="J260" s="44" t="s">
        <v>2545</v>
      </c>
      <c r="K260" s="45" t="s">
        <v>2546</v>
      </c>
      <c r="L260" s="46" t="s">
        <v>2547</v>
      </c>
      <c r="M260" s="47" t="s">
        <v>2548</v>
      </c>
    </row>
    <row r="261" customFormat="false" ht="57.75" hidden="false" customHeight="true" outlineLevel="0" collapsed="false">
      <c r="A261" s="66" t="s">
        <v>2537</v>
      </c>
      <c r="B261" s="36" t="s">
        <v>2549</v>
      </c>
      <c r="C261" s="67" t="s">
        <v>2539</v>
      </c>
      <c r="D261" s="38" t="s">
        <v>2540</v>
      </c>
      <c r="E261" s="39" t="s">
        <v>2550</v>
      </c>
      <c r="F261" s="49" t="s">
        <v>538</v>
      </c>
      <c r="G261" s="41" t="s">
        <v>2551</v>
      </c>
      <c r="H261" s="42" t="s">
        <v>2552</v>
      </c>
      <c r="I261" s="43" t="s">
        <v>2553</v>
      </c>
      <c r="J261" s="44" t="s">
        <v>2554</v>
      </c>
      <c r="K261" s="45" t="s">
        <v>2555</v>
      </c>
      <c r="L261" s="46" t="s">
        <v>2556</v>
      </c>
      <c r="M261" s="47" t="s">
        <v>2557</v>
      </c>
    </row>
    <row r="262" customFormat="false" ht="57.75" hidden="false" customHeight="true" outlineLevel="0" collapsed="false">
      <c r="A262" s="66" t="s">
        <v>2537</v>
      </c>
      <c r="B262" s="36" t="s">
        <v>2558</v>
      </c>
      <c r="C262" s="67" t="s">
        <v>2539</v>
      </c>
      <c r="D262" s="38" t="s">
        <v>2540</v>
      </c>
      <c r="E262" s="39" t="s">
        <v>2559</v>
      </c>
      <c r="F262" s="49" t="s">
        <v>538</v>
      </c>
      <c r="G262" s="41" t="s">
        <v>2560</v>
      </c>
      <c r="H262" s="42" t="s">
        <v>2561</v>
      </c>
      <c r="I262" s="43" t="s">
        <v>2562</v>
      </c>
      <c r="J262" s="44" t="s">
        <v>2563</v>
      </c>
      <c r="K262" s="45" t="s">
        <v>2564</v>
      </c>
      <c r="L262" s="46" t="s">
        <v>2565</v>
      </c>
      <c r="M262" s="47" t="s">
        <v>2566</v>
      </c>
    </row>
    <row r="263" customFormat="false" ht="57.75" hidden="false" customHeight="true" outlineLevel="0" collapsed="false">
      <c r="A263" s="66" t="s">
        <v>2537</v>
      </c>
      <c r="B263" s="36" t="s">
        <v>2567</v>
      </c>
      <c r="C263" s="67" t="s">
        <v>2539</v>
      </c>
      <c r="D263" s="38" t="s">
        <v>2540</v>
      </c>
      <c r="E263" s="39" t="s">
        <v>2568</v>
      </c>
      <c r="F263" s="49" t="s">
        <v>538</v>
      </c>
      <c r="G263" s="41" t="s">
        <v>2569</v>
      </c>
      <c r="H263" s="42" t="s">
        <v>2570</v>
      </c>
      <c r="I263" s="43" t="s">
        <v>2571</v>
      </c>
      <c r="J263" s="44" t="s">
        <v>2572</v>
      </c>
      <c r="K263" s="45" t="s">
        <v>2573</v>
      </c>
      <c r="L263" s="46" t="s">
        <v>2574</v>
      </c>
      <c r="M263" s="47" t="s">
        <v>2575</v>
      </c>
    </row>
    <row r="264" customFormat="false" ht="57.75" hidden="false" customHeight="true" outlineLevel="0" collapsed="false">
      <c r="A264" s="66" t="s">
        <v>2537</v>
      </c>
      <c r="B264" s="36" t="s">
        <v>2576</v>
      </c>
      <c r="C264" s="67" t="s">
        <v>2539</v>
      </c>
      <c r="D264" s="38" t="s">
        <v>2577</v>
      </c>
      <c r="E264" s="39" t="s">
        <v>2578</v>
      </c>
      <c r="F264" s="49" t="s">
        <v>538</v>
      </c>
      <c r="G264" s="41" t="s">
        <v>2579</v>
      </c>
      <c r="H264" s="42" t="s">
        <v>2580</v>
      </c>
      <c r="I264" s="43" t="s">
        <v>2581</v>
      </c>
      <c r="J264" s="44" t="s">
        <v>2582</v>
      </c>
      <c r="K264" s="45" t="s">
        <v>2583</v>
      </c>
      <c r="L264" s="46" t="s">
        <v>2584</v>
      </c>
      <c r="M264" s="47" t="s">
        <v>2585</v>
      </c>
    </row>
    <row r="265" customFormat="false" ht="57.75" hidden="false" customHeight="true" outlineLevel="0" collapsed="false">
      <c r="A265" s="66" t="s">
        <v>2537</v>
      </c>
      <c r="B265" s="36" t="s">
        <v>2586</v>
      </c>
      <c r="C265" s="67" t="s">
        <v>2539</v>
      </c>
      <c r="D265" s="38" t="s">
        <v>2577</v>
      </c>
      <c r="E265" s="39" t="s">
        <v>2587</v>
      </c>
      <c r="F265" s="49" t="s">
        <v>538</v>
      </c>
      <c r="G265" s="41" t="s">
        <v>2588</v>
      </c>
      <c r="H265" s="42" t="s">
        <v>2589</v>
      </c>
      <c r="I265" s="43" t="s">
        <v>2590</v>
      </c>
      <c r="J265" s="44" t="s">
        <v>2591</v>
      </c>
      <c r="K265" s="45" t="s">
        <v>2592</v>
      </c>
      <c r="L265" s="46" t="s">
        <v>2593</v>
      </c>
      <c r="M265" s="47" t="s">
        <v>2594</v>
      </c>
    </row>
    <row r="266" customFormat="false" ht="57.75" hidden="false" customHeight="true" outlineLevel="0" collapsed="false">
      <c r="A266" s="66" t="s">
        <v>2537</v>
      </c>
      <c r="B266" s="36" t="s">
        <v>2595</v>
      </c>
      <c r="C266" s="67" t="s">
        <v>2539</v>
      </c>
      <c r="D266" s="38" t="s">
        <v>2577</v>
      </c>
      <c r="E266" s="39" t="s">
        <v>2596</v>
      </c>
      <c r="F266" s="49" t="s">
        <v>538</v>
      </c>
      <c r="G266" s="41" t="s">
        <v>2597</v>
      </c>
      <c r="H266" s="42" t="s">
        <v>2598</v>
      </c>
      <c r="I266" s="43" t="s">
        <v>2599</v>
      </c>
      <c r="J266" s="44" t="s">
        <v>2600</v>
      </c>
      <c r="K266" s="45" t="s">
        <v>2601</v>
      </c>
      <c r="L266" s="46" t="s">
        <v>2602</v>
      </c>
      <c r="M266" s="47" t="s">
        <v>2603</v>
      </c>
    </row>
    <row r="267" customFormat="false" ht="57.75" hidden="false" customHeight="true" outlineLevel="0" collapsed="false">
      <c r="A267" s="66" t="s">
        <v>2537</v>
      </c>
      <c r="B267" s="36" t="s">
        <v>2604</v>
      </c>
      <c r="C267" s="67" t="s">
        <v>2539</v>
      </c>
      <c r="D267" s="38" t="s">
        <v>2577</v>
      </c>
      <c r="E267" s="39" t="s">
        <v>2605</v>
      </c>
      <c r="F267" s="49" t="s">
        <v>538</v>
      </c>
      <c r="G267" s="41" t="s">
        <v>2606</v>
      </c>
      <c r="H267" s="42" t="s">
        <v>2607</v>
      </c>
      <c r="I267" s="43" t="s">
        <v>2608</v>
      </c>
      <c r="J267" s="44" t="s">
        <v>2609</v>
      </c>
      <c r="K267" s="45" t="s">
        <v>2610</v>
      </c>
      <c r="L267" s="46" t="s">
        <v>2611</v>
      </c>
      <c r="M267" s="47" t="s">
        <v>2612</v>
      </c>
    </row>
    <row r="268" customFormat="false" ht="57.75" hidden="false" customHeight="true" outlineLevel="0" collapsed="false">
      <c r="A268" s="66" t="s">
        <v>2537</v>
      </c>
      <c r="B268" s="36" t="s">
        <v>2613</v>
      </c>
      <c r="C268" s="67" t="s">
        <v>2539</v>
      </c>
      <c r="D268" s="38" t="s">
        <v>2614</v>
      </c>
      <c r="E268" s="39" t="s">
        <v>2615</v>
      </c>
      <c r="F268" s="49" t="s">
        <v>538</v>
      </c>
      <c r="G268" s="41" t="s">
        <v>2616</v>
      </c>
      <c r="H268" s="42" t="s">
        <v>2617</v>
      </c>
      <c r="I268" s="43" t="s">
        <v>2618</v>
      </c>
      <c r="J268" s="44" t="s">
        <v>2619</v>
      </c>
      <c r="K268" s="45" t="s">
        <v>2620</v>
      </c>
      <c r="L268" s="46" t="s">
        <v>2621</v>
      </c>
      <c r="M268" s="47" t="s">
        <v>2622</v>
      </c>
    </row>
    <row r="269" customFormat="false" ht="57.75" hidden="false" customHeight="true" outlineLevel="0" collapsed="false">
      <c r="A269" s="66" t="s">
        <v>2537</v>
      </c>
      <c r="B269" s="36" t="s">
        <v>2623</v>
      </c>
      <c r="C269" s="67" t="s">
        <v>2539</v>
      </c>
      <c r="D269" s="38" t="s">
        <v>2614</v>
      </c>
      <c r="E269" s="39" t="s">
        <v>2624</v>
      </c>
      <c r="F269" s="49" t="s">
        <v>538</v>
      </c>
      <c r="G269" s="41" t="s">
        <v>2625</v>
      </c>
      <c r="H269" s="42" t="s">
        <v>2626</v>
      </c>
      <c r="I269" s="43" t="s">
        <v>2627</v>
      </c>
      <c r="J269" s="44" t="s">
        <v>2628</v>
      </c>
      <c r="K269" s="45" t="s">
        <v>2629</v>
      </c>
      <c r="L269" s="46" t="s">
        <v>2630</v>
      </c>
      <c r="M269" s="47" t="s">
        <v>2631</v>
      </c>
    </row>
    <row r="270" customFormat="false" ht="57.75" hidden="false" customHeight="true" outlineLevel="0" collapsed="false">
      <c r="A270" s="66" t="s">
        <v>2537</v>
      </c>
      <c r="B270" s="36" t="s">
        <v>2632</v>
      </c>
      <c r="C270" s="67" t="s">
        <v>2539</v>
      </c>
      <c r="D270" s="38" t="s">
        <v>2633</v>
      </c>
      <c r="E270" s="39" t="s">
        <v>2634</v>
      </c>
      <c r="F270" s="40" t="s">
        <v>146</v>
      </c>
      <c r="G270" s="41" t="s">
        <v>2635</v>
      </c>
      <c r="H270" s="42" t="s">
        <v>2636</v>
      </c>
      <c r="I270" s="43" t="s">
        <v>2637</v>
      </c>
      <c r="J270" s="44" t="s">
        <v>2638</v>
      </c>
      <c r="K270" s="45" t="s">
        <v>2639</v>
      </c>
      <c r="L270" s="46" t="s">
        <v>2640</v>
      </c>
      <c r="M270" s="47" t="s">
        <v>2641</v>
      </c>
    </row>
    <row r="271" customFormat="false" ht="57.75" hidden="false" customHeight="true" outlineLevel="0" collapsed="false">
      <c r="A271" s="66" t="s">
        <v>2537</v>
      </c>
      <c r="B271" s="36" t="s">
        <v>2642</v>
      </c>
      <c r="C271" s="67" t="s">
        <v>2539</v>
      </c>
      <c r="D271" s="38" t="s">
        <v>2633</v>
      </c>
      <c r="E271" s="39" t="s">
        <v>2643</v>
      </c>
      <c r="F271" s="49" t="s">
        <v>538</v>
      </c>
      <c r="G271" s="41" t="s">
        <v>2644</v>
      </c>
      <c r="H271" s="42" t="s">
        <v>2645</v>
      </c>
      <c r="I271" s="43" t="s">
        <v>2646</v>
      </c>
      <c r="J271" s="44" t="s">
        <v>2647</v>
      </c>
      <c r="K271" s="45" t="s">
        <v>2648</v>
      </c>
      <c r="L271" s="46" t="s">
        <v>2649</v>
      </c>
      <c r="M271" s="47" t="s">
        <v>2650</v>
      </c>
    </row>
    <row r="272" customFormat="false" ht="57.75" hidden="false" customHeight="true" outlineLevel="0" collapsed="false">
      <c r="A272" s="66" t="s">
        <v>2537</v>
      </c>
      <c r="B272" s="36" t="s">
        <v>2651</v>
      </c>
      <c r="C272" s="67" t="s">
        <v>2539</v>
      </c>
      <c r="D272" s="38" t="s">
        <v>2633</v>
      </c>
      <c r="E272" s="39" t="s">
        <v>2652</v>
      </c>
      <c r="F272" s="40" t="s">
        <v>146</v>
      </c>
      <c r="G272" s="41" t="s">
        <v>2653</v>
      </c>
      <c r="H272" s="42" t="s">
        <v>2654</v>
      </c>
      <c r="I272" s="43" t="s">
        <v>2655</v>
      </c>
      <c r="J272" s="44" t="s">
        <v>2656</v>
      </c>
      <c r="K272" s="45" t="s">
        <v>2657</v>
      </c>
      <c r="L272" s="46" t="s">
        <v>2658</v>
      </c>
      <c r="M272" s="47" t="s">
        <v>2659</v>
      </c>
    </row>
    <row r="273" customFormat="false" ht="57.75" hidden="false" customHeight="true" outlineLevel="0" collapsed="false">
      <c r="A273" s="66" t="s">
        <v>2537</v>
      </c>
      <c r="B273" s="36" t="s">
        <v>2660</v>
      </c>
      <c r="C273" s="68" t="s">
        <v>2661</v>
      </c>
      <c r="D273" s="38" t="s">
        <v>2662</v>
      </c>
      <c r="E273" s="39" t="s">
        <v>2663</v>
      </c>
      <c r="F273" s="49" t="s">
        <v>538</v>
      </c>
      <c r="G273" s="41" t="s">
        <v>2664</v>
      </c>
      <c r="H273" s="42" t="s">
        <v>2665</v>
      </c>
      <c r="I273" s="43" t="s">
        <v>2666</v>
      </c>
      <c r="J273" s="44" t="s">
        <v>2667</v>
      </c>
      <c r="K273" s="45" t="s">
        <v>2668</v>
      </c>
      <c r="L273" s="46" t="s">
        <v>2669</v>
      </c>
      <c r="M273" s="47" t="s">
        <v>2670</v>
      </c>
    </row>
    <row r="274" customFormat="false" ht="57.75" hidden="false" customHeight="true" outlineLevel="0" collapsed="false">
      <c r="A274" s="66" t="s">
        <v>2537</v>
      </c>
      <c r="B274" s="36" t="s">
        <v>2671</v>
      </c>
      <c r="C274" s="68" t="s">
        <v>2661</v>
      </c>
      <c r="D274" s="38" t="s">
        <v>2662</v>
      </c>
      <c r="E274" s="39" t="s">
        <v>2672</v>
      </c>
      <c r="F274" s="49" t="s">
        <v>538</v>
      </c>
      <c r="G274" s="41" t="s">
        <v>2673</v>
      </c>
      <c r="H274" s="42" t="s">
        <v>2674</v>
      </c>
      <c r="I274" s="43" t="s">
        <v>2675</v>
      </c>
      <c r="J274" s="44" t="s">
        <v>2676</v>
      </c>
      <c r="K274" s="45" t="s">
        <v>2677</v>
      </c>
      <c r="L274" s="46" t="s">
        <v>2678</v>
      </c>
      <c r="M274" s="47" t="s">
        <v>2679</v>
      </c>
    </row>
    <row r="275" customFormat="false" ht="57.75" hidden="false" customHeight="true" outlineLevel="0" collapsed="false">
      <c r="A275" s="66" t="s">
        <v>2537</v>
      </c>
      <c r="B275" s="36" t="s">
        <v>2680</v>
      </c>
      <c r="C275" s="68" t="s">
        <v>2661</v>
      </c>
      <c r="D275" s="38" t="s">
        <v>2681</v>
      </c>
      <c r="E275" s="39" t="s">
        <v>2682</v>
      </c>
      <c r="F275" s="49" t="s">
        <v>538</v>
      </c>
      <c r="G275" s="41" t="s">
        <v>2683</v>
      </c>
      <c r="H275" s="42" t="s">
        <v>2684</v>
      </c>
      <c r="I275" s="43" t="s">
        <v>2685</v>
      </c>
      <c r="J275" s="44" t="s">
        <v>2686</v>
      </c>
      <c r="K275" s="45" t="s">
        <v>2687</v>
      </c>
      <c r="L275" s="46" t="s">
        <v>2688</v>
      </c>
      <c r="M275" s="47" t="s">
        <v>2689</v>
      </c>
    </row>
    <row r="276" customFormat="false" ht="57.75" hidden="false" customHeight="true" outlineLevel="0" collapsed="false">
      <c r="A276" s="66" t="s">
        <v>2537</v>
      </c>
      <c r="B276" s="36" t="s">
        <v>2690</v>
      </c>
      <c r="C276" s="68" t="s">
        <v>2661</v>
      </c>
      <c r="D276" s="38" t="s">
        <v>2681</v>
      </c>
      <c r="E276" s="39" t="s">
        <v>2691</v>
      </c>
      <c r="F276" s="49" t="s">
        <v>538</v>
      </c>
      <c r="G276" s="41" t="s">
        <v>2692</v>
      </c>
      <c r="H276" s="42" t="s">
        <v>2693</v>
      </c>
      <c r="I276" s="43" t="s">
        <v>2694</v>
      </c>
      <c r="J276" s="44" t="s">
        <v>2695</v>
      </c>
      <c r="K276" s="45" t="s">
        <v>2696</v>
      </c>
      <c r="L276" s="46" t="s">
        <v>2697</v>
      </c>
      <c r="M276" s="47" t="s">
        <v>2698</v>
      </c>
    </row>
    <row r="277" customFormat="false" ht="57.75" hidden="false" customHeight="true" outlineLevel="0" collapsed="false">
      <c r="A277" s="66" t="s">
        <v>2537</v>
      </c>
      <c r="B277" s="36" t="s">
        <v>2699</v>
      </c>
      <c r="C277" s="68" t="s">
        <v>2661</v>
      </c>
      <c r="D277" s="38" t="s">
        <v>2681</v>
      </c>
      <c r="E277" s="39" t="s">
        <v>2700</v>
      </c>
      <c r="F277" s="49" t="s">
        <v>538</v>
      </c>
      <c r="G277" s="41" t="s">
        <v>2701</v>
      </c>
      <c r="H277" s="42" t="s">
        <v>2702</v>
      </c>
      <c r="I277" s="43" t="s">
        <v>2703</v>
      </c>
      <c r="J277" s="44" t="s">
        <v>2704</v>
      </c>
      <c r="K277" s="45" t="s">
        <v>2705</v>
      </c>
      <c r="L277" s="46" t="s">
        <v>2706</v>
      </c>
      <c r="M277" s="47" t="s">
        <v>2707</v>
      </c>
    </row>
    <row r="278" customFormat="false" ht="57.75" hidden="false" customHeight="true" outlineLevel="0" collapsed="false">
      <c r="A278" s="66" t="s">
        <v>2537</v>
      </c>
      <c r="B278" s="36" t="s">
        <v>2708</v>
      </c>
      <c r="C278" s="68" t="s">
        <v>2661</v>
      </c>
      <c r="D278" s="38" t="s">
        <v>2709</v>
      </c>
      <c r="E278" s="39" t="s">
        <v>2710</v>
      </c>
      <c r="F278" s="49" t="s">
        <v>538</v>
      </c>
      <c r="G278" s="41" t="s">
        <v>2711</v>
      </c>
      <c r="H278" s="42" t="s">
        <v>2712</v>
      </c>
      <c r="I278" s="43" t="s">
        <v>2713</v>
      </c>
      <c r="J278" s="44" t="s">
        <v>2714</v>
      </c>
      <c r="K278" s="45" t="s">
        <v>2715</v>
      </c>
      <c r="L278" s="46" t="s">
        <v>2716</v>
      </c>
      <c r="M278" s="47" t="s">
        <v>2717</v>
      </c>
    </row>
    <row r="279" customFormat="false" ht="57.75" hidden="false" customHeight="true" outlineLevel="0" collapsed="false">
      <c r="A279" s="66" t="s">
        <v>2537</v>
      </c>
      <c r="B279" s="36" t="s">
        <v>2718</v>
      </c>
      <c r="C279" s="68" t="s">
        <v>2661</v>
      </c>
      <c r="D279" s="38" t="s">
        <v>2709</v>
      </c>
      <c r="E279" s="39" t="s">
        <v>2719</v>
      </c>
      <c r="F279" s="49" t="s">
        <v>538</v>
      </c>
      <c r="G279" s="41" t="s">
        <v>2720</v>
      </c>
      <c r="H279" s="42" t="s">
        <v>2721</v>
      </c>
      <c r="I279" s="43" t="s">
        <v>2722</v>
      </c>
      <c r="J279" s="44" t="s">
        <v>2723</v>
      </c>
      <c r="K279" s="45" t="s">
        <v>2724</v>
      </c>
      <c r="L279" s="46" t="s">
        <v>2725</v>
      </c>
      <c r="M279" s="47" t="s">
        <v>2726</v>
      </c>
    </row>
    <row r="280" customFormat="false" ht="57.75" hidden="false" customHeight="true" outlineLevel="0" collapsed="false">
      <c r="A280" s="66" t="s">
        <v>2537</v>
      </c>
      <c r="B280" s="36" t="s">
        <v>2727</v>
      </c>
      <c r="C280" s="68" t="s">
        <v>2661</v>
      </c>
      <c r="D280" s="38" t="s">
        <v>2728</v>
      </c>
      <c r="E280" s="39" t="s">
        <v>2729</v>
      </c>
      <c r="F280" s="40" t="s">
        <v>146</v>
      </c>
      <c r="G280" s="41" t="s">
        <v>2730</v>
      </c>
      <c r="H280" s="42" t="s">
        <v>2731</v>
      </c>
      <c r="I280" s="43" t="s">
        <v>2732</v>
      </c>
      <c r="J280" s="44" t="s">
        <v>2733</v>
      </c>
      <c r="K280" s="45" t="s">
        <v>2734</v>
      </c>
      <c r="L280" s="46" t="s">
        <v>2735</v>
      </c>
      <c r="M280" s="47" t="s">
        <v>2736</v>
      </c>
    </row>
    <row r="281" customFormat="false" ht="57.75" hidden="false" customHeight="true" outlineLevel="0" collapsed="false">
      <c r="A281" s="66" t="s">
        <v>2537</v>
      </c>
      <c r="B281" s="36" t="s">
        <v>2737</v>
      </c>
      <c r="C281" s="68" t="s">
        <v>2661</v>
      </c>
      <c r="D281" s="38" t="s">
        <v>2728</v>
      </c>
      <c r="E281" s="39" t="s">
        <v>2738</v>
      </c>
      <c r="F281" s="49" t="s">
        <v>538</v>
      </c>
      <c r="G281" s="41" t="s">
        <v>2739</v>
      </c>
      <c r="H281" s="42" t="s">
        <v>2740</v>
      </c>
      <c r="I281" s="43" t="s">
        <v>2741</v>
      </c>
      <c r="J281" s="44" t="s">
        <v>2742</v>
      </c>
      <c r="K281" s="45" t="s">
        <v>2743</v>
      </c>
      <c r="L281" s="46" t="s">
        <v>2744</v>
      </c>
      <c r="M281" s="47" t="s">
        <v>2745</v>
      </c>
    </row>
    <row r="282" customFormat="false" ht="57.75" hidden="false" customHeight="true" outlineLevel="0" collapsed="false">
      <c r="A282" s="66" t="s">
        <v>2537</v>
      </c>
      <c r="B282" s="36" t="s">
        <v>2746</v>
      </c>
      <c r="C282" s="68" t="s">
        <v>2661</v>
      </c>
      <c r="D282" s="38" t="s">
        <v>2728</v>
      </c>
      <c r="E282" s="39" t="s">
        <v>2747</v>
      </c>
      <c r="F282" s="49" t="s">
        <v>538</v>
      </c>
      <c r="G282" s="41" t="s">
        <v>2748</v>
      </c>
      <c r="H282" s="42" t="s">
        <v>2749</v>
      </c>
      <c r="I282" s="43" t="s">
        <v>2750</v>
      </c>
      <c r="J282" s="44" t="s">
        <v>2751</v>
      </c>
      <c r="K282" s="45" t="s">
        <v>2752</v>
      </c>
      <c r="L282" s="46" t="s">
        <v>2753</v>
      </c>
      <c r="M282" s="47" t="s">
        <v>2754</v>
      </c>
    </row>
    <row r="283" customFormat="false" ht="57.75" hidden="false" customHeight="true" outlineLevel="0" collapsed="false">
      <c r="A283" s="66" t="s">
        <v>2537</v>
      </c>
      <c r="B283" s="36" t="s">
        <v>2755</v>
      </c>
      <c r="C283" s="68" t="s">
        <v>2661</v>
      </c>
      <c r="D283" s="38" t="s">
        <v>2728</v>
      </c>
      <c r="E283" s="39" t="s">
        <v>2756</v>
      </c>
      <c r="F283" s="49" t="s">
        <v>538</v>
      </c>
      <c r="G283" s="41" t="s">
        <v>2757</v>
      </c>
      <c r="H283" s="42" t="s">
        <v>2758</v>
      </c>
      <c r="I283" s="43" t="s">
        <v>2759</v>
      </c>
      <c r="J283" s="44" t="s">
        <v>2760</v>
      </c>
      <c r="K283" s="45" t="s">
        <v>2761</v>
      </c>
      <c r="L283" s="46" t="s">
        <v>2762</v>
      </c>
      <c r="M283" s="47" t="s">
        <v>2763</v>
      </c>
    </row>
    <row r="284" customFormat="false" ht="57.75" hidden="false" customHeight="true" outlineLevel="0" collapsed="false">
      <c r="A284" s="66" t="s">
        <v>2537</v>
      </c>
      <c r="B284" s="36" t="s">
        <v>2764</v>
      </c>
      <c r="C284" s="69" t="s">
        <v>2765</v>
      </c>
      <c r="D284" s="38" t="s">
        <v>2766</v>
      </c>
      <c r="E284" s="39" t="s">
        <v>2767</v>
      </c>
      <c r="F284" s="49" t="s">
        <v>538</v>
      </c>
      <c r="G284" s="41" t="s">
        <v>2768</v>
      </c>
      <c r="H284" s="42" t="s">
        <v>2769</v>
      </c>
      <c r="I284" s="43" t="s">
        <v>2770</v>
      </c>
      <c r="J284" s="44" t="s">
        <v>2771</v>
      </c>
      <c r="K284" s="45" t="s">
        <v>2772</v>
      </c>
      <c r="L284" s="46" t="s">
        <v>2773</v>
      </c>
      <c r="M284" s="47" t="s">
        <v>2774</v>
      </c>
    </row>
    <row r="285" customFormat="false" ht="57.75" hidden="false" customHeight="true" outlineLevel="0" collapsed="false">
      <c r="A285" s="66" t="s">
        <v>2537</v>
      </c>
      <c r="B285" s="36" t="s">
        <v>2775</v>
      </c>
      <c r="C285" s="69" t="s">
        <v>2765</v>
      </c>
      <c r="D285" s="38" t="s">
        <v>2766</v>
      </c>
      <c r="E285" s="39" t="s">
        <v>2776</v>
      </c>
      <c r="F285" s="49" t="s">
        <v>538</v>
      </c>
      <c r="G285" s="41" t="s">
        <v>2777</v>
      </c>
      <c r="H285" s="42" t="s">
        <v>2778</v>
      </c>
      <c r="I285" s="43" t="s">
        <v>2779</v>
      </c>
      <c r="J285" s="44" t="s">
        <v>2780</v>
      </c>
      <c r="K285" s="45" t="s">
        <v>2781</v>
      </c>
      <c r="L285" s="46" t="s">
        <v>2782</v>
      </c>
      <c r="M285" s="47" t="s">
        <v>2783</v>
      </c>
    </row>
    <row r="286" customFormat="false" ht="57.75" hidden="false" customHeight="true" outlineLevel="0" collapsed="false">
      <c r="A286" s="66" t="s">
        <v>2537</v>
      </c>
      <c r="B286" s="36" t="s">
        <v>2784</v>
      </c>
      <c r="C286" s="69" t="s">
        <v>2765</v>
      </c>
      <c r="D286" s="38" t="s">
        <v>2785</v>
      </c>
      <c r="E286" s="39" t="s">
        <v>2786</v>
      </c>
      <c r="F286" s="49" t="s">
        <v>538</v>
      </c>
      <c r="G286" s="41" t="s">
        <v>2787</v>
      </c>
      <c r="H286" s="42" t="s">
        <v>2788</v>
      </c>
      <c r="I286" s="43" t="s">
        <v>2789</v>
      </c>
      <c r="J286" s="44" t="s">
        <v>2790</v>
      </c>
      <c r="K286" s="45" t="s">
        <v>2791</v>
      </c>
      <c r="L286" s="46" t="s">
        <v>2792</v>
      </c>
      <c r="M286" s="47" t="s">
        <v>2793</v>
      </c>
    </row>
    <row r="287" customFormat="false" ht="57.75" hidden="false" customHeight="true" outlineLevel="0" collapsed="false">
      <c r="A287" s="66" t="s">
        <v>2537</v>
      </c>
      <c r="B287" s="36" t="s">
        <v>2794</v>
      </c>
      <c r="C287" s="69" t="s">
        <v>2765</v>
      </c>
      <c r="D287" s="38" t="s">
        <v>2785</v>
      </c>
      <c r="E287" s="39" t="s">
        <v>2795</v>
      </c>
      <c r="F287" s="49" t="s">
        <v>538</v>
      </c>
      <c r="G287" s="41" t="s">
        <v>2796</v>
      </c>
      <c r="H287" s="42" t="s">
        <v>2797</v>
      </c>
      <c r="I287" s="43" t="s">
        <v>2798</v>
      </c>
      <c r="J287" s="44" t="s">
        <v>2799</v>
      </c>
      <c r="K287" s="45" t="s">
        <v>2800</v>
      </c>
      <c r="L287" s="46" t="s">
        <v>2801</v>
      </c>
      <c r="M287" s="47" t="s">
        <v>2802</v>
      </c>
    </row>
    <row r="288" customFormat="false" ht="57.75" hidden="false" customHeight="true" outlineLevel="0" collapsed="false">
      <c r="A288" s="66" t="s">
        <v>2537</v>
      </c>
      <c r="B288" s="36" t="s">
        <v>2803</v>
      </c>
      <c r="C288" s="69" t="s">
        <v>2765</v>
      </c>
      <c r="D288" s="38" t="s">
        <v>2785</v>
      </c>
      <c r="E288" s="39" t="s">
        <v>2804</v>
      </c>
      <c r="F288" s="49" t="s">
        <v>538</v>
      </c>
      <c r="G288" s="41" t="s">
        <v>2805</v>
      </c>
      <c r="H288" s="42" t="s">
        <v>2806</v>
      </c>
      <c r="I288" s="43" t="s">
        <v>2807</v>
      </c>
      <c r="J288" s="44" t="s">
        <v>2808</v>
      </c>
      <c r="K288" s="45" t="s">
        <v>2809</v>
      </c>
      <c r="L288" s="46" t="s">
        <v>2810</v>
      </c>
      <c r="M288" s="47" t="s">
        <v>2811</v>
      </c>
    </row>
    <row r="289" customFormat="false" ht="57.75" hidden="false" customHeight="true" outlineLevel="0" collapsed="false">
      <c r="A289" s="66" t="s">
        <v>2537</v>
      </c>
      <c r="B289" s="36" t="s">
        <v>2812</v>
      </c>
      <c r="C289" s="69" t="s">
        <v>2765</v>
      </c>
      <c r="D289" s="38" t="s">
        <v>2813</v>
      </c>
      <c r="E289" s="39" t="s">
        <v>2814</v>
      </c>
      <c r="F289" s="40" t="s">
        <v>146</v>
      </c>
      <c r="G289" s="41" t="s">
        <v>2815</v>
      </c>
      <c r="H289" s="42" t="s">
        <v>2816</v>
      </c>
      <c r="I289" s="43" t="s">
        <v>2817</v>
      </c>
      <c r="J289" s="44" t="s">
        <v>2818</v>
      </c>
      <c r="K289" s="45" t="s">
        <v>2819</v>
      </c>
      <c r="L289" s="46" t="s">
        <v>2820</v>
      </c>
      <c r="M289" s="47" t="s">
        <v>2821</v>
      </c>
    </row>
    <row r="290" customFormat="false" ht="57.75" hidden="false" customHeight="true" outlineLevel="0" collapsed="false">
      <c r="A290" s="66" t="s">
        <v>2537</v>
      </c>
      <c r="B290" s="36" t="s">
        <v>2822</v>
      </c>
      <c r="C290" s="70" t="s">
        <v>2823</v>
      </c>
      <c r="D290" s="38" t="s">
        <v>2824</v>
      </c>
      <c r="E290" s="39" t="s">
        <v>2825</v>
      </c>
      <c r="F290" s="40" t="s">
        <v>146</v>
      </c>
      <c r="G290" s="41" t="s">
        <v>2826</v>
      </c>
      <c r="H290" s="42" t="s">
        <v>2827</v>
      </c>
      <c r="I290" s="43" t="s">
        <v>2828</v>
      </c>
      <c r="J290" s="44" t="s">
        <v>2829</v>
      </c>
      <c r="K290" s="45" t="s">
        <v>2830</v>
      </c>
      <c r="L290" s="46" t="s">
        <v>2831</v>
      </c>
      <c r="M290" s="47" t="s">
        <v>2832</v>
      </c>
    </row>
    <row r="291" customFormat="false" ht="57.75" hidden="false" customHeight="true" outlineLevel="0" collapsed="false">
      <c r="A291" s="66" t="s">
        <v>2537</v>
      </c>
      <c r="B291" s="36" t="s">
        <v>2833</v>
      </c>
      <c r="C291" s="70" t="s">
        <v>2823</v>
      </c>
      <c r="D291" s="38" t="s">
        <v>2824</v>
      </c>
      <c r="E291" s="39" t="s">
        <v>2834</v>
      </c>
      <c r="F291" s="40" t="s">
        <v>146</v>
      </c>
      <c r="G291" s="41" t="s">
        <v>2835</v>
      </c>
      <c r="H291" s="42" t="s">
        <v>2836</v>
      </c>
      <c r="I291" s="43" t="s">
        <v>2837</v>
      </c>
      <c r="J291" s="44" t="s">
        <v>2838</v>
      </c>
      <c r="K291" s="45" t="s">
        <v>2839</v>
      </c>
      <c r="L291" s="46" t="s">
        <v>2840</v>
      </c>
      <c r="M291" s="47" t="s">
        <v>2841</v>
      </c>
    </row>
    <row r="292" customFormat="false" ht="57.75" hidden="false" customHeight="true" outlineLevel="0" collapsed="false">
      <c r="A292" s="66" t="s">
        <v>2537</v>
      </c>
      <c r="B292" s="36" t="s">
        <v>2842</v>
      </c>
      <c r="C292" s="70" t="s">
        <v>2823</v>
      </c>
      <c r="D292" s="38" t="s">
        <v>2843</v>
      </c>
      <c r="E292" s="39" t="s">
        <v>2844</v>
      </c>
      <c r="F292" s="40" t="s">
        <v>146</v>
      </c>
      <c r="G292" s="41" t="s">
        <v>2845</v>
      </c>
      <c r="H292" s="42" t="s">
        <v>2846</v>
      </c>
      <c r="I292" s="43" t="s">
        <v>2847</v>
      </c>
      <c r="J292" s="44" t="s">
        <v>2848</v>
      </c>
      <c r="K292" s="45" t="s">
        <v>2849</v>
      </c>
      <c r="L292" s="46" t="s">
        <v>2850</v>
      </c>
      <c r="M292" s="47" t="s">
        <v>2851</v>
      </c>
    </row>
    <row r="293" customFormat="false" ht="57.75" hidden="false" customHeight="true" outlineLevel="0" collapsed="false">
      <c r="A293" s="66" t="s">
        <v>2537</v>
      </c>
      <c r="B293" s="36" t="s">
        <v>2852</v>
      </c>
      <c r="C293" s="70" t="s">
        <v>2823</v>
      </c>
      <c r="D293" s="38" t="s">
        <v>2843</v>
      </c>
      <c r="E293" s="39" t="s">
        <v>2853</v>
      </c>
      <c r="F293" s="49" t="s">
        <v>538</v>
      </c>
      <c r="G293" s="41" t="s">
        <v>2854</v>
      </c>
      <c r="H293" s="42" t="s">
        <v>2855</v>
      </c>
      <c r="I293" s="43" t="s">
        <v>2856</v>
      </c>
      <c r="J293" s="44" t="s">
        <v>2857</v>
      </c>
      <c r="K293" s="45" t="s">
        <v>2858</v>
      </c>
      <c r="L293" s="46" t="s">
        <v>2859</v>
      </c>
      <c r="M293" s="47" t="s">
        <v>2860</v>
      </c>
    </row>
    <row r="294" customFormat="false" ht="57.75" hidden="false" customHeight="true" outlineLevel="0" collapsed="false">
      <c r="A294" s="66" t="s">
        <v>2537</v>
      </c>
      <c r="B294" s="36" t="s">
        <v>2861</v>
      </c>
      <c r="C294" s="70" t="s">
        <v>2823</v>
      </c>
      <c r="D294" s="38" t="s">
        <v>2843</v>
      </c>
      <c r="E294" s="39" t="s">
        <v>2862</v>
      </c>
      <c r="F294" s="49" t="s">
        <v>538</v>
      </c>
      <c r="G294" s="41" t="s">
        <v>2863</v>
      </c>
      <c r="H294" s="42" t="s">
        <v>2864</v>
      </c>
      <c r="I294" s="43" t="s">
        <v>2865</v>
      </c>
      <c r="J294" s="44" t="s">
        <v>2866</v>
      </c>
      <c r="K294" s="45" t="s">
        <v>2867</v>
      </c>
      <c r="L294" s="46" t="s">
        <v>2868</v>
      </c>
      <c r="M294" s="47" t="s">
        <v>2869</v>
      </c>
    </row>
    <row r="295" customFormat="false" ht="57.75" hidden="false" customHeight="true" outlineLevel="0" collapsed="false">
      <c r="A295" s="66" t="s">
        <v>2537</v>
      </c>
      <c r="B295" s="36" t="s">
        <v>2870</v>
      </c>
      <c r="C295" s="70" t="s">
        <v>2823</v>
      </c>
      <c r="D295" s="38" t="s">
        <v>2871</v>
      </c>
      <c r="E295" s="39" t="s">
        <v>2872</v>
      </c>
      <c r="F295" s="49" t="s">
        <v>538</v>
      </c>
      <c r="G295" s="41" t="s">
        <v>2873</v>
      </c>
      <c r="H295" s="42" t="s">
        <v>2874</v>
      </c>
      <c r="I295" s="43" t="s">
        <v>2875</v>
      </c>
      <c r="J295" s="44" t="s">
        <v>2876</v>
      </c>
      <c r="K295" s="45" t="s">
        <v>2877</v>
      </c>
      <c r="L295" s="46" t="s">
        <v>2878</v>
      </c>
      <c r="M295" s="47" t="s">
        <v>2879</v>
      </c>
    </row>
    <row r="296" customFormat="false" ht="57.75" hidden="false" customHeight="true" outlineLevel="0" collapsed="false">
      <c r="A296" s="66" t="s">
        <v>2537</v>
      </c>
      <c r="B296" s="36" t="s">
        <v>2880</v>
      </c>
      <c r="C296" s="70" t="s">
        <v>2823</v>
      </c>
      <c r="D296" s="38" t="s">
        <v>2871</v>
      </c>
      <c r="E296" s="39" t="s">
        <v>2881</v>
      </c>
      <c r="F296" s="49" t="s">
        <v>538</v>
      </c>
      <c r="G296" s="41" t="s">
        <v>2882</v>
      </c>
      <c r="H296" s="42" t="s">
        <v>2883</v>
      </c>
      <c r="I296" s="43" t="s">
        <v>2884</v>
      </c>
      <c r="J296" s="44" t="s">
        <v>2885</v>
      </c>
      <c r="K296" s="45" t="s">
        <v>2886</v>
      </c>
      <c r="L296" s="46" t="s">
        <v>2887</v>
      </c>
      <c r="M296" s="47" t="s">
        <v>2888</v>
      </c>
    </row>
    <row r="297" customFormat="false" ht="57.75" hidden="false" customHeight="true" outlineLevel="0" collapsed="false">
      <c r="A297" s="66" t="s">
        <v>2537</v>
      </c>
      <c r="B297" s="36" t="s">
        <v>2889</v>
      </c>
      <c r="C297" s="70" t="s">
        <v>2823</v>
      </c>
      <c r="D297" s="38" t="s">
        <v>2871</v>
      </c>
      <c r="E297" s="39" t="s">
        <v>2890</v>
      </c>
      <c r="F297" s="49" t="s">
        <v>538</v>
      </c>
      <c r="G297" s="41" t="s">
        <v>2891</v>
      </c>
      <c r="H297" s="42" t="s">
        <v>2892</v>
      </c>
      <c r="I297" s="43" t="s">
        <v>2893</v>
      </c>
      <c r="J297" s="44" t="s">
        <v>2894</v>
      </c>
      <c r="K297" s="45" t="s">
        <v>2895</v>
      </c>
      <c r="L297" s="46" t="s">
        <v>2896</v>
      </c>
      <c r="M297" s="47" t="s">
        <v>2897</v>
      </c>
    </row>
    <row r="298" customFormat="false" ht="57.75" hidden="false" customHeight="true" outlineLevel="0" collapsed="false">
      <c r="A298" s="66" t="s">
        <v>2537</v>
      </c>
      <c r="B298" s="36" t="s">
        <v>2898</v>
      </c>
      <c r="C298" s="70" t="s">
        <v>2823</v>
      </c>
      <c r="D298" s="38" t="s">
        <v>2899</v>
      </c>
      <c r="E298" s="39" t="s">
        <v>2900</v>
      </c>
      <c r="F298" s="49" t="s">
        <v>538</v>
      </c>
      <c r="G298" s="41" t="s">
        <v>2901</v>
      </c>
      <c r="H298" s="42" t="s">
        <v>2902</v>
      </c>
      <c r="I298" s="43" t="s">
        <v>2903</v>
      </c>
      <c r="J298" s="44" t="s">
        <v>2904</v>
      </c>
      <c r="K298" s="45" t="s">
        <v>2905</v>
      </c>
      <c r="L298" s="46" t="s">
        <v>2906</v>
      </c>
      <c r="M298" s="47" t="s">
        <v>2907</v>
      </c>
    </row>
    <row r="299" customFormat="false" ht="57.75" hidden="false" customHeight="true" outlineLevel="0" collapsed="false">
      <c r="A299" s="66" t="s">
        <v>2537</v>
      </c>
      <c r="B299" s="36" t="s">
        <v>2908</v>
      </c>
      <c r="C299" s="71" t="s">
        <v>2909</v>
      </c>
      <c r="D299" s="38" t="s">
        <v>2910</v>
      </c>
      <c r="E299" s="39" t="s">
        <v>2911</v>
      </c>
      <c r="F299" s="40" t="s">
        <v>146</v>
      </c>
      <c r="G299" s="41" t="s">
        <v>2912</v>
      </c>
      <c r="H299" s="42" t="s">
        <v>2913</v>
      </c>
      <c r="I299" s="43" t="s">
        <v>2914</v>
      </c>
      <c r="J299" s="44" t="s">
        <v>2915</v>
      </c>
      <c r="K299" s="45" t="s">
        <v>2916</v>
      </c>
      <c r="L299" s="46" t="s">
        <v>2917</v>
      </c>
      <c r="M299" s="47" t="s">
        <v>2918</v>
      </c>
    </row>
    <row r="300" customFormat="false" ht="57.75" hidden="false" customHeight="true" outlineLevel="0" collapsed="false">
      <c r="A300" s="66" t="s">
        <v>2537</v>
      </c>
      <c r="B300" s="36" t="s">
        <v>2919</v>
      </c>
      <c r="C300" s="71" t="s">
        <v>2909</v>
      </c>
      <c r="D300" s="38" t="s">
        <v>2910</v>
      </c>
      <c r="E300" s="39" t="s">
        <v>2920</v>
      </c>
      <c r="F300" s="40" t="s">
        <v>146</v>
      </c>
      <c r="G300" s="41" t="s">
        <v>2921</v>
      </c>
      <c r="H300" s="42" t="s">
        <v>2922</v>
      </c>
      <c r="I300" s="43" t="s">
        <v>2923</v>
      </c>
      <c r="J300" s="44" t="s">
        <v>2924</v>
      </c>
      <c r="K300" s="45" t="s">
        <v>2925</v>
      </c>
      <c r="L300" s="46" t="s">
        <v>2926</v>
      </c>
      <c r="M300" s="47" t="s">
        <v>2927</v>
      </c>
    </row>
    <row r="301" customFormat="false" ht="57.75" hidden="false" customHeight="true" outlineLevel="0" collapsed="false">
      <c r="A301" s="66" t="s">
        <v>2537</v>
      </c>
      <c r="B301" s="36" t="s">
        <v>2928</v>
      </c>
      <c r="C301" s="71" t="s">
        <v>2909</v>
      </c>
      <c r="D301" s="38" t="s">
        <v>2910</v>
      </c>
      <c r="E301" s="39" t="s">
        <v>2929</v>
      </c>
      <c r="F301" s="40" t="s">
        <v>146</v>
      </c>
      <c r="G301" s="41" t="s">
        <v>2930</v>
      </c>
      <c r="H301" s="42" t="s">
        <v>2931</v>
      </c>
      <c r="I301" s="43" t="s">
        <v>2932</v>
      </c>
      <c r="J301" s="44" t="s">
        <v>2933</v>
      </c>
      <c r="K301" s="45" t="s">
        <v>2934</v>
      </c>
      <c r="L301" s="46" t="s">
        <v>2935</v>
      </c>
      <c r="M301" s="47" t="s">
        <v>2936</v>
      </c>
    </row>
    <row r="302" customFormat="false" ht="57.75" hidden="false" customHeight="true" outlineLevel="0" collapsed="false">
      <c r="A302" s="66" t="s">
        <v>2537</v>
      </c>
      <c r="B302" s="36" t="s">
        <v>2937</v>
      </c>
      <c r="C302" s="71" t="s">
        <v>2909</v>
      </c>
      <c r="D302" s="38" t="s">
        <v>2938</v>
      </c>
      <c r="E302" s="39" t="s">
        <v>2939</v>
      </c>
      <c r="F302" s="49" t="s">
        <v>538</v>
      </c>
      <c r="G302" s="41" t="s">
        <v>2940</v>
      </c>
      <c r="H302" s="42" t="s">
        <v>2941</v>
      </c>
      <c r="I302" s="43" t="s">
        <v>2942</v>
      </c>
      <c r="J302" s="44" t="s">
        <v>2943</v>
      </c>
      <c r="K302" s="45" t="s">
        <v>2944</v>
      </c>
      <c r="L302" s="46" t="s">
        <v>2945</v>
      </c>
      <c r="M302" s="47" t="s">
        <v>2946</v>
      </c>
    </row>
    <row r="303" customFormat="false" ht="57.75" hidden="false" customHeight="true" outlineLevel="0" collapsed="false">
      <c r="A303" s="66" t="s">
        <v>2537</v>
      </c>
      <c r="B303" s="36" t="s">
        <v>2947</v>
      </c>
      <c r="C303" s="71" t="s">
        <v>2909</v>
      </c>
      <c r="D303" s="38" t="s">
        <v>2938</v>
      </c>
      <c r="E303" s="39" t="s">
        <v>2948</v>
      </c>
      <c r="F303" s="40" t="s">
        <v>146</v>
      </c>
      <c r="G303" s="41" t="s">
        <v>2949</v>
      </c>
      <c r="H303" s="42" t="s">
        <v>2950</v>
      </c>
      <c r="I303" s="43" t="s">
        <v>2951</v>
      </c>
      <c r="J303" s="44" t="s">
        <v>2952</v>
      </c>
      <c r="K303" s="45" t="s">
        <v>2953</v>
      </c>
      <c r="L303" s="46" t="s">
        <v>2954</v>
      </c>
      <c r="M303" s="47" t="s">
        <v>2955</v>
      </c>
    </row>
    <row r="304" customFormat="false" ht="57.75" hidden="false" customHeight="true" outlineLevel="0" collapsed="false">
      <c r="A304" s="66" t="s">
        <v>2537</v>
      </c>
      <c r="B304" s="36" t="s">
        <v>2956</v>
      </c>
      <c r="C304" s="71" t="s">
        <v>2909</v>
      </c>
      <c r="D304" s="38" t="s">
        <v>2957</v>
      </c>
      <c r="E304" s="39" t="s">
        <v>2958</v>
      </c>
      <c r="F304" s="40" t="s">
        <v>146</v>
      </c>
      <c r="G304" s="41" t="s">
        <v>2959</v>
      </c>
      <c r="H304" s="42" t="s">
        <v>2960</v>
      </c>
      <c r="I304" s="43" t="s">
        <v>2961</v>
      </c>
      <c r="J304" s="44" t="s">
        <v>2962</v>
      </c>
      <c r="K304" s="45" t="s">
        <v>2963</v>
      </c>
      <c r="L304" s="46" t="s">
        <v>2964</v>
      </c>
      <c r="M304" s="47" t="s">
        <v>2965</v>
      </c>
    </row>
    <row r="305" customFormat="false" ht="57.75" hidden="false" customHeight="true" outlineLevel="0" collapsed="false">
      <c r="A305" s="66" t="s">
        <v>2537</v>
      </c>
      <c r="B305" s="36" t="s">
        <v>2966</v>
      </c>
      <c r="C305" s="71" t="s">
        <v>2909</v>
      </c>
      <c r="D305" s="38" t="s">
        <v>2957</v>
      </c>
      <c r="E305" s="39" t="s">
        <v>2967</v>
      </c>
      <c r="F305" s="40" t="s">
        <v>146</v>
      </c>
      <c r="G305" s="41" t="s">
        <v>2968</v>
      </c>
      <c r="H305" s="42" t="s">
        <v>2969</v>
      </c>
      <c r="I305" s="43" t="s">
        <v>2970</v>
      </c>
      <c r="J305" s="44" t="s">
        <v>2971</v>
      </c>
      <c r="K305" s="45" t="s">
        <v>2972</v>
      </c>
      <c r="L305" s="46" t="s">
        <v>2973</v>
      </c>
      <c r="M305" s="47" t="s">
        <v>2974</v>
      </c>
    </row>
    <row r="306" customFormat="false" ht="57.75" hidden="false" customHeight="true" outlineLevel="0" collapsed="false">
      <c r="A306" s="66" t="s">
        <v>2537</v>
      </c>
      <c r="B306" s="36" t="s">
        <v>2975</v>
      </c>
      <c r="C306" s="71" t="s">
        <v>2909</v>
      </c>
      <c r="D306" s="38" t="s">
        <v>2976</v>
      </c>
      <c r="E306" s="39" t="s">
        <v>2977</v>
      </c>
      <c r="F306" s="40" t="s">
        <v>146</v>
      </c>
      <c r="G306" s="41" t="s">
        <v>2978</v>
      </c>
      <c r="H306" s="42" t="s">
        <v>2979</v>
      </c>
      <c r="I306" s="43" t="s">
        <v>2980</v>
      </c>
      <c r="J306" s="44" t="s">
        <v>2981</v>
      </c>
      <c r="K306" s="45" t="s">
        <v>2982</v>
      </c>
      <c r="L306" s="46" t="s">
        <v>2983</v>
      </c>
      <c r="M306" s="47" t="s">
        <v>2984</v>
      </c>
    </row>
    <row r="307" customFormat="false" ht="57.75" hidden="false" customHeight="true" outlineLevel="0" collapsed="false">
      <c r="A307" s="66" t="s">
        <v>2537</v>
      </c>
      <c r="B307" s="36" t="s">
        <v>2985</v>
      </c>
      <c r="C307" s="71" t="s">
        <v>2909</v>
      </c>
      <c r="D307" s="38" t="s">
        <v>2976</v>
      </c>
      <c r="E307" s="39" t="s">
        <v>2986</v>
      </c>
      <c r="F307" s="40" t="s">
        <v>146</v>
      </c>
      <c r="G307" s="41" t="s">
        <v>2987</v>
      </c>
      <c r="H307" s="42" t="s">
        <v>2988</v>
      </c>
      <c r="I307" s="43" t="s">
        <v>2989</v>
      </c>
      <c r="J307" s="44" t="s">
        <v>2990</v>
      </c>
      <c r="K307" s="45" t="s">
        <v>2991</v>
      </c>
      <c r="L307" s="46" t="s">
        <v>2992</v>
      </c>
      <c r="M307" s="47" t="s">
        <v>2993</v>
      </c>
    </row>
    <row r="308" customFormat="false" ht="57.75" hidden="false" customHeight="true" outlineLevel="0" collapsed="false">
      <c r="A308" s="66" t="s">
        <v>2537</v>
      </c>
      <c r="B308" s="36" t="s">
        <v>2994</v>
      </c>
      <c r="C308" s="71" t="s">
        <v>2909</v>
      </c>
      <c r="D308" s="38" t="s">
        <v>2995</v>
      </c>
      <c r="E308" s="39" t="s">
        <v>2996</v>
      </c>
      <c r="F308" s="40" t="s">
        <v>146</v>
      </c>
      <c r="G308" s="41" t="s">
        <v>2997</v>
      </c>
      <c r="H308" s="42" t="s">
        <v>2998</v>
      </c>
      <c r="I308" s="43" t="s">
        <v>2999</v>
      </c>
      <c r="J308" s="44" t="s">
        <v>3000</v>
      </c>
      <c r="K308" s="45" t="s">
        <v>3001</v>
      </c>
      <c r="L308" s="46" t="s">
        <v>3002</v>
      </c>
      <c r="M308" s="47" t="s">
        <v>3003</v>
      </c>
    </row>
    <row r="309" customFormat="false" ht="57.75" hidden="false" customHeight="true" outlineLevel="0" collapsed="false">
      <c r="A309" s="66" t="s">
        <v>2537</v>
      </c>
      <c r="B309" s="36" t="s">
        <v>3004</v>
      </c>
      <c r="C309" s="72" t="s">
        <v>3005</v>
      </c>
      <c r="D309" s="38" t="s">
        <v>3006</v>
      </c>
      <c r="E309" s="39" t="s">
        <v>3007</v>
      </c>
      <c r="F309" s="40" t="s">
        <v>146</v>
      </c>
      <c r="G309" s="41" t="s">
        <v>3008</v>
      </c>
      <c r="H309" s="42" t="s">
        <v>3009</v>
      </c>
      <c r="I309" s="43" t="s">
        <v>3010</v>
      </c>
      <c r="J309" s="44" t="s">
        <v>3011</v>
      </c>
      <c r="K309" s="45" t="s">
        <v>3012</v>
      </c>
      <c r="L309" s="46" t="s">
        <v>3013</v>
      </c>
      <c r="M309" s="47" t="s">
        <v>3014</v>
      </c>
    </row>
    <row r="310" customFormat="false" ht="57.75" hidden="false" customHeight="true" outlineLevel="0" collapsed="false">
      <c r="A310" s="66" t="s">
        <v>2537</v>
      </c>
      <c r="B310" s="36" t="s">
        <v>3015</v>
      </c>
      <c r="C310" s="72" t="s">
        <v>3005</v>
      </c>
      <c r="D310" s="38" t="s">
        <v>3006</v>
      </c>
      <c r="E310" s="39" t="s">
        <v>3016</v>
      </c>
      <c r="F310" s="40" t="s">
        <v>146</v>
      </c>
      <c r="G310" s="41" t="s">
        <v>3017</v>
      </c>
      <c r="H310" s="42" t="s">
        <v>3018</v>
      </c>
      <c r="I310" s="43" t="s">
        <v>3019</v>
      </c>
      <c r="J310" s="44" t="s">
        <v>3020</v>
      </c>
      <c r="K310" s="45" t="s">
        <v>3021</v>
      </c>
      <c r="L310" s="46" t="s">
        <v>3022</v>
      </c>
      <c r="M310" s="47" t="s">
        <v>3023</v>
      </c>
    </row>
    <row r="311" customFormat="false" ht="57.75" hidden="false" customHeight="true" outlineLevel="0" collapsed="false">
      <c r="A311" s="66" t="s">
        <v>2537</v>
      </c>
      <c r="B311" s="36" t="s">
        <v>3024</v>
      </c>
      <c r="C311" s="72" t="s">
        <v>3005</v>
      </c>
      <c r="D311" s="38" t="s">
        <v>3006</v>
      </c>
      <c r="E311" s="39" t="s">
        <v>3025</v>
      </c>
      <c r="F311" s="40" t="s">
        <v>146</v>
      </c>
      <c r="G311" s="41" t="s">
        <v>3026</v>
      </c>
      <c r="H311" s="42" t="s">
        <v>3027</v>
      </c>
      <c r="I311" s="43" t="s">
        <v>3028</v>
      </c>
      <c r="J311" s="44" t="s">
        <v>3029</v>
      </c>
      <c r="K311" s="45" t="s">
        <v>3030</v>
      </c>
      <c r="L311" s="46" t="s">
        <v>3031</v>
      </c>
      <c r="M311" s="47" t="s">
        <v>3032</v>
      </c>
    </row>
    <row r="312" customFormat="false" ht="57.75" hidden="false" customHeight="true" outlineLevel="0" collapsed="false">
      <c r="A312" s="66" t="s">
        <v>2537</v>
      </c>
      <c r="B312" s="36" t="s">
        <v>3033</v>
      </c>
      <c r="C312" s="72" t="s">
        <v>3005</v>
      </c>
      <c r="D312" s="38" t="s">
        <v>3006</v>
      </c>
      <c r="E312" s="39" t="s">
        <v>3034</v>
      </c>
      <c r="F312" s="40" t="s">
        <v>146</v>
      </c>
      <c r="G312" s="41" t="s">
        <v>3035</v>
      </c>
      <c r="H312" s="42" t="s">
        <v>3036</v>
      </c>
      <c r="I312" s="43" t="s">
        <v>3037</v>
      </c>
      <c r="J312" s="44" t="s">
        <v>3038</v>
      </c>
      <c r="K312" s="45" t="s">
        <v>3039</v>
      </c>
      <c r="L312" s="46" t="s">
        <v>3040</v>
      </c>
      <c r="M312" s="47" t="s">
        <v>3041</v>
      </c>
    </row>
    <row r="313" customFormat="false" ht="57.75" hidden="false" customHeight="true" outlineLevel="0" collapsed="false">
      <c r="A313" s="66" t="s">
        <v>2537</v>
      </c>
      <c r="B313" s="36" t="s">
        <v>3042</v>
      </c>
      <c r="C313" s="72" t="s">
        <v>3005</v>
      </c>
      <c r="D313" s="38" t="s">
        <v>3043</v>
      </c>
      <c r="E313" s="39" t="s">
        <v>3044</v>
      </c>
      <c r="F313" s="40" t="s">
        <v>146</v>
      </c>
      <c r="G313" s="41" t="s">
        <v>3045</v>
      </c>
      <c r="H313" s="42" t="s">
        <v>3046</v>
      </c>
      <c r="I313" s="43" t="s">
        <v>3047</v>
      </c>
      <c r="J313" s="44" t="s">
        <v>3048</v>
      </c>
      <c r="K313" s="45" t="s">
        <v>3049</v>
      </c>
      <c r="L313" s="46" t="s">
        <v>3050</v>
      </c>
      <c r="M313" s="47" t="s">
        <v>3051</v>
      </c>
    </row>
    <row r="314" customFormat="false" ht="57.75" hidden="false" customHeight="true" outlineLevel="0" collapsed="false">
      <c r="A314" s="66" t="s">
        <v>2537</v>
      </c>
      <c r="B314" s="36" t="s">
        <v>3052</v>
      </c>
      <c r="C314" s="72" t="s">
        <v>3005</v>
      </c>
      <c r="D314" s="38" t="s">
        <v>3043</v>
      </c>
      <c r="E314" s="39" t="s">
        <v>3053</v>
      </c>
      <c r="F314" s="40" t="s">
        <v>146</v>
      </c>
      <c r="G314" s="41" t="s">
        <v>3054</v>
      </c>
      <c r="H314" s="42" t="s">
        <v>3055</v>
      </c>
      <c r="I314" s="43" t="s">
        <v>3056</v>
      </c>
      <c r="J314" s="44" t="s">
        <v>3057</v>
      </c>
      <c r="K314" s="45" t="s">
        <v>3058</v>
      </c>
      <c r="L314" s="46" t="s">
        <v>3059</v>
      </c>
      <c r="M314" s="47" t="s">
        <v>3060</v>
      </c>
    </row>
    <row r="315" customFormat="false" ht="57.75" hidden="false" customHeight="true" outlineLevel="0" collapsed="false">
      <c r="A315" s="66" t="s">
        <v>2537</v>
      </c>
      <c r="B315" s="36" t="s">
        <v>3061</v>
      </c>
      <c r="C315" s="72" t="s">
        <v>3005</v>
      </c>
      <c r="D315" s="38" t="s">
        <v>3043</v>
      </c>
      <c r="E315" s="39" t="s">
        <v>3062</v>
      </c>
      <c r="F315" s="40" t="s">
        <v>146</v>
      </c>
      <c r="G315" s="41" t="s">
        <v>3063</v>
      </c>
      <c r="H315" s="42" t="s">
        <v>3064</v>
      </c>
      <c r="I315" s="43" t="s">
        <v>3065</v>
      </c>
      <c r="J315" s="44" t="s">
        <v>3066</v>
      </c>
      <c r="K315" s="45" t="s">
        <v>3067</v>
      </c>
      <c r="L315" s="46" t="s">
        <v>3068</v>
      </c>
      <c r="M315" s="47" t="s">
        <v>3069</v>
      </c>
    </row>
    <row r="316" customFormat="false" ht="57.75" hidden="false" customHeight="true" outlineLevel="0" collapsed="false">
      <c r="A316" s="66" t="s">
        <v>2537</v>
      </c>
      <c r="B316" s="36" t="s">
        <v>3070</v>
      </c>
      <c r="C316" s="72" t="s">
        <v>3005</v>
      </c>
      <c r="D316" s="38" t="s">
        <v>3043</v>
      </c>
      <c r="E316" s="39" t="s">
        <v>3071</v>
      </c>
      <c r="F316" s="40" t="s">
        <v>146</v>
      </c>
      <c r="G316" s="41" t="s">
        <v>3072</v>
      </c>
      <c r="H316" s="42" t="s">
        <v>3073</v>
      </c>
      <c r="I316" s="43" t="s">
        <v>3074</v>
      </c>
      <c r="J316" s="44" t="s">
        <v>3075</v>
      </c>
      <c r="K316" s="45" t="s">
        <v>3076</v>
      </c>
      <c r="L316" s="46" t="s">
        <v>3077</v>
      </c>
      <c r="M316" s="47" t="s">
        <v>3078</v>
      </c>
    </row>
    <row r="317" customFormat="false" ht="57.75" hidden="false" customHeight="true" outlineLevel="0" collapsed="false">
      <c r="A317" s="66" t="s">
        <v>2537</v>
      </c>
      <c r="B317" s="36" t="s">
        <v>3079</v>
      </c>
      <c r="C317" s="72" t="s">
        <v>3005</v>
      </c>
      <c r="D317" s="38" t="s">
        <v>3080</v>
      </c>
      <c r="E317" s="39" t="s">
        <v>3081</v>
      </c>
      <c r="F317" s="40" t="s">
        <v>146</v>
      </c>
      <c r="G317" s="41" t="s">
        <v>3082</v>
      </c>
      <c r="H317" s="42" t="s">
        <v>3083</v>
      </c>
      <c r="I317" s="43" t="s">
        <v>3084</v>
      </c>
      <c r="J317" s="44" t="s">
        <v>3085</v>
      </c>
      <c r="K317" s="45" t="s">
        <v>3086</v>
      </c>
      <c r="L317" s="46" t="s">
        <v>3087</v>
      </c>
      <c r="M317" s="47" t="s">
        <v>3088</v>
      </c>
    </row>
    <row r="318" customFormat="false" ht="57.75" hidden="false" customHeight="true" outlineLevel="0" collapsed="false">
      <c r="A318" s="66" t="s">
        <v>2537</v>
      </c>
      <c r="B318" s="36" t="s">
        <v>3089</v>
      </c>
      <c r="C318" s="72" t="s">
        <v>3005</v>
      </c>
      <c r="D318" s="38" t="s">
        <v>3080</v>
      </c>
      <c r="E318" s="39" t="s">
        <v>3090</v>
      </c>
      <c r="F318" s="40" t="s">
        <v>146</v>
      </c>
      <c r="G318" s="41" t="s">
        <v>3091</v>
      </c>
      <c r="H318" s="42" t="s">
        <v>3092</v>
      </c>
      <c r="I318" s="43" t="s">
        <v>3093</v>
      </c>
      <c r="J318" s="44" t="s">
        <v>3094</v>
      </c>
      <c r="K318" s="45" t="s">
        <v>3095</v>
      </c>
      <c r="L318" s="46" t="s">
        <v>3096</v>
      </c>
      <c r="M318" s="47" t="s">
        <v>3097</v>
      </c>
    </row>
    <row r="319" customFormat="false" ht="57.75" hidden="false" customHeight="true" outlineLevel="0" collapsed="false">
      <c r="A319" s="66" t="s">
        <v>2537</v>
      </c>
      <c r="B319" s="36" t="s">
        <v>3098</v>
      </c>
      <c r="C319" s="72" t="s">
        <v>3005</v>
      </c>
      <c r="D319" s="38" t="s">
        <v>3080</v>
      </c>
      <c r="E319" s="39" t="s">
        <v>3099</v>
      </c>
      <c r="F319" s="49" t="s">
        <v>538</v>
      </c>
      <c r="G319" s="41" t="s">
        <v>3100</v>
      </c>
      <c r="H319" s="42" t="s">
        <v>3101</v>
      </c>
      <c r="I319" s="43" t="s">
        <v>3102</v>
      </c>
      <c r="J319" s="44" t="s">
        <v>3103</v>
      </c>
      <c r="K319" s="45" t="s">
        <v>3104</v>
      </c>
      <c r="L319" s="46" t="s">
        <v>3105</v>
      </c>
      <c r="M319" s="47" t="s">
        <v>3106</v>
      </c>
    </row>
    <row r="320" customFormat="false" ht="57.75" hidden="false" customHeight="true" outlineLevel="0" collapsed="false">
      <c r="A320" s="66" t="s">
        <v>2537</v>
      </c>
      <c r="B320" s="36" t="s">
        <v>3107</v>
      </c>
      <c r="C320" s="72" t="s">
        <v>3005</v>
      </c>
      <c r="D320" s="38" t="s">
        <v>3108</v>
      </c>
      <c r="E320" s="39" t="s">
        <v>3109</v>
      </c>
      <c r="F320" s="40" t="s">
        <v>146</v>
      </c>
      <c r="G320" s="41" t="s">
        <v>3110</v>
      </c>
      <c r="H320" s="42" t="s">
        <v>3111</v>
      </c>
      <c r="I320" s="43" t="s">
        <v>3112</v>
      </c>
      <c r="J320" s="44" t="s">
        <v>3113</v>
      </c>
      <c r="K320" s="45" t="s">
        <v>3114</v>
      </c>
      <c r="L320" s="46" t="s">
        <v>3115</v>
      </c>
      <c r="M320" s="47" t="s">
        <v>3116</v>
      </c>
    </row>
    <row r="321" customFormat="false" ht="57.75" hidden="false" customHeight="true" outlineLevel="0" collapsed="false">
      <c r="A321" s="66" t="s">
        <v>2537</v>
      </c>
      <c r="B321" s="36" t="s">
        <v>3117</v>
      </c>
      <c r="C321" s="72" t="s">
        <v>3005</v>
      </c>
      <c r="D321" s="38" t="s">
        <v>3108</v>
      </c>
      <c r="E321" s="39" t="s">
        <v>3118</v>
      </c>
      <c r="F321" s="40" t="s">
        <v>146</v>
      </c>
      <c r="G321" s="41" t="s">
        <v>3119</v>
      </c>
      <c r="H321" s="42" t="s">
        <v>3120</v>
      </c>
      <c r="I321" s="43" t="s">
        <v>3121</v>
      </c>
      <c r="J321" s="44" t="s">
        <v>3122</v>
      </c>
      <c r="K321" s="45" t="s">
        <v>3123</v>
      </c>
      <c r="L321" s="46" t="s">
        <v>3124</v>
      </c>
      <c r="M321" s="47" t="s">
        <v>3125</v>
      </c>
    </row>
    <row r="322" customFormat="false" ht="57.75" hidden="false" customHeight="true" outlineLevel="0" collapsed="false">
      <c r="A322" s="66" t="s">
        <v>2537</v>
      </c>
      <c r="B322" s="36" t="s">
        <v>3126</v>
      </c>
      <c r="C322" s="72" t="s">
        <v>3005</v>
      </c>
      <c r="D322" s="38" t="s">
        <v>3108</v>
      </c>
      <c r="E322" s="39" t="s">
        <v>3127</v>
      </c>
      <c r="F322" s="40" t="s">
        <v>146</v>
      </c>
      <c r="G322" s="41" t="s">
        <v>3128</v>
      </c>
      <c r="H322" s="42" t="s">
        <v>3129</v>
      </c>
      <c r="I322" s="43" t="s">
        <v>3130</v>
      </c>
      <c r="J322" s="44" t="s">
        <v>3131</v>
      </c>
      <c r="K322" s="45" t="s">
        <v>3132</v>
      </c>
      <c r="L322" s="46" t="s">
        <v>3133</v>
      </c>
      <c r="M322" s="47" t="s">
        <v>3134</v>
      </c>
    </row>
    <row r="323" customFormat="false" ht="57.75" hidden="false" customHeight="true" outlineLevel="0" collapsed="false">
      <c r="A323" s="66" t="s">
        <v>2537</v>
      </c>
      <c r="B323" s="36" t="s">
        <v>3135</v>
      </c>
      <c r="C323" s="73" t="s">
        <v>3136</v>
      </c>
      <c r="D323" s="38" t="s">
        <v>3137</v>
      </c>
      <c r="E323" s="39" t="s">
        <v>3138</v>
      </c>
      <c r="F323" s="40" t="s">
        <v>146</v>
      </c>
      <c r="G323" s="41" t="s">
        <v>3139</v>
      </c>
      <c r="H323" s="42" t="s">
        <v>3140</v>
      </c>
      <c r="I323" s="43" t="s">
        <v>3141</v>
      </c>
      <c r="J323" s="44" t="s">
        <v>3142</v>
      </c>
      <c r="K323" s="45" t="s">
        <v>3143</v>
      </c>
      <c r="L323" s="46" t="s">
        <v>3144</v>
      </c>
      <c r="M323" s="47" t="s">
        <v>3145</v>
      </c>
    </row>
    <row r="324" customFormat="false" ht="57.75" hidden="false" customHeight="true" outlineLevel="0" collapsed="false">
      <c r="A324" s="66" t="s">
        <v>2537</v>
      </c>
      <c r="B324" s="36" t="s">
        <v>3146</v>
      </c>
      <c r="C324" s="73" t="s">
        <v>3136</v>
      </c>
      <c r="D324" s="38" t="s">
        <v>3137</v>
      </c>
      <c r="E324" s="39" t="s">
        <v>3147</v>
      </c>
      <c r="F324" s="40" t="s">
        <v>146</v>
      </c>
      <c r="G324" s="41" t="s">
        <v>3148</v>
      </c>
      <c r="H324" s="42" t="s">
        <v>3149</v>
      </c>
      <c r="I324" s="43" t="s">
        <v>3150</v>
      </c>
      <c r="J324" s="44" t="s">
        <v>3151</v>
      </c>
      <c r="K324" s="45" t="s">
        <v>3152</v>
      </c>
      <c r="L324" s="46" t="s">
        <v>3153</v>
      </c>
      <c r="M324" s="47" t="s">
        <v>3154</v>
      </c>
    </row>
    <row r="325" customFormat="false" ht="57.75" hidden="false" customHeight="true" outlineLevel="0" collapsed="false">
      <c r="A325" s="66" t="s">
        <v>2537</v>
      </c>
      <c r="B325" s="36" t="s">
        <v>3155</v>
      </c>
      <c r="C325" s="73" t="s">
        <v>3136</v>
      </c>
      <c r="D325" s="38" t="s">
        <v>3137</v>
      </c>
      <c r="E325" s="39" t="s">
        <v>3156</v>
      </c>
      <c r="F325" s="40" t="s">
        <v>146</v>
      </c>
      <c r="G325" s="41" t="s">
        <v>3157</v>
      </c>
      <c r="H325" s="42" t="s">
        <v>3158</v>
      </c>
      <c r="I325" s="43" t="s">
        <v>3159</v>
      </c>
      <c r="J325" s="44" t="s">
        <v>3160</v>
      </c>
      <c r="K325" s="45" t="s">
        <v>3161</v>
      </c>
      <c r="L325" s="46" t="s">
        <v>3162</v>
      </c>
      <c r="M325" s="47" t="s">
        <v>3163</v>
      </c>
    </row>
    <row r="326" customFormat="false" ht="57.75" hidden="false" customHeight="true" outlineLevel="0" collapsed="false">
      <c r="A326" s="66" t="s">
        <v>2537</v>
      </c>
      <c r="B326" s="36" t="s">
        <v>3164</v>
      </c>
      <c r="C326" s="73" t="s">
        <v>3136</v>
      </c>
      <c r="D326" s="38" t="s">
        <v>3165</v>
      </c>
      <c r="E326" s="39" t="s">
        <v>3166</v>
      </c>
      <c r="F326" s="49" t="s">
        <v>538</v>
      </c>
      <c r="G326" s="41" t="s">
        <v>3167</v>
      </c>
      <c r="H326" s="42" t="s">
        <v>3168</v>
      </c>
      <c r="I326" s="43" t="s">
        <v>3169</v>
      </c>
      <c r="J326" s="44" t="s">
        <v>3170</v>
      </c>
      <c r="K326" s="45" t="s">
        <v>3171</v>
      </c>
      <c r="L326" s="46" t="s">
        <v>3172</v>
      </c>
      <c r="M326" s="47" t="s">
        <v>3173</v>
      </c>
    </row>
    <row r="327" customFormat="false" ht="57.75" hidden="false" customHeight="true" outlineLevel="0" collapsed="false">
      <c r="A327" s="66" t="s">
        <v>2537</v>
      </c>
      <c r="B327" s="36" t="s">
        <v>3174</v>
      </c>
      <c r="C327" s="73" t="s">
        <v>3136</v>
      </c>
      <c r="D327" s="38" t="s">
        <v>3175</v>
      </c>
      <c r="E327" s="39" t="s">
        <v>3176</v>
      </c>
      <c r="F327" s="49" t="s">
        <v>538</v>
      </c>
      <c r="G327" s="41" t="s">
        <v>3177</v>
      </c>
      <c r="H327" s="42" t="s">
        <v>3178</v>
      </c>
      <c r="I327" s="43" t="s">
        <v>3179</v>
      </c>
      <c r="J327" s="44" t="s">
        <v>3180</v>
      </c>
      <c r="K327" s="45" t="s">
        <v>3181</v>
      </c>
      <c r="L327" s="46" t="s">
        <v>3182</v>
      </c>
      <c r="M327" s="47" t="s">
        <v>3183</v>
      </c>
    </row>
    <row r="328" customFormat="false" ht="57.75" hidden="false" customHeight="true" outlineLevel="0" collapsed="false">
      <c r="A328" s="66" t="s">
        <v>2537</v>
      </c>
      <c r="B328" s="36" t="s">
        <v>3184</v>
      </c>
      <c r="C328" s="73" t="s">
        <v>3136</v>
      </c>
      <c r="D328" s="38" t="s">
        <v>3175</v>
      </c>
      <c r="E328" s="39" t="s">
        <v>3185</v>
      </c>
      <c r="F328" s="40" t="s">
        <v>146</v>
      </c>
      <c r="G328" s="41" t="s">
        <v>3186</v>
      </c>
      <c r="H328" s="42" t="s">
        <v>3187</v>
      </c>
      <c r="I328" s="43" t="s">
        <v>3188</v>
      </c>
      <c r="J328" s="44" t="s">
        <v>3189</v>
      </c>
      <c r="K328" s="45" t="s">
        <v>3190</v>
      </c>
      <c r="L328" s="46" t="s">
        <v>3191</v>
      </c>
      <c r="M328" s="47" t="s">
        <v>3192</v>
      </c>
    </row>
    <row r="329" customFormat="false" ht="57.75" hidden="false" customHeight="true" outlineLevel="0" collapsed="false">
      <c r="A329" s="66" t="s">
        <v>2537</v>
      </c>
      <c r="B329" s="36" t="s">
        <v>3193</v>
      </c>
      <c r="C329" s="73" t="s">
        <v>3136</v>
      </c>
      <c r="D329" s="38" t="s">
        <v>3194</v>
      </c>
      <c r="E329" s="39" t="s">
        <v>3195</v>
      </c>
      <c r="F329" s="40" t="s">
        <v>146</v>
      </c>
      <c r="G329" s="41" t="s">
        <v>3196</v>
      </c>
      <c r="H329" s="42" t="s">
        <v>3197</v>
      </c>
      <c r="I329" s="43" t="s">
        <v>3198</v>
      </c>
      <c r="J329" s="44" t="s">
        <v>3199</v>
      </c>
      <c r="K329" s="45" t="s">
        <v>3200</v>
      </c>
      <c r="L329" s="46" t="s">
        <v>3201</v>
      </c>
      <c r="M329" s="47" t="s">
        <v>3202</v>
      </c>
    </row>
    <row r="330" customFormat="false" ht="57.75" hidden="false" customHeight="true" outlineLevel="0" collapsed="false">
      <c r="A330" s="66" t="s">
        <v>2537</v>
      </c>
      <c r="B330" s="36" t="s">
        <v>3203</v>
      </c>
      <c r="C330" s="73" t="s">
        <v>3136</v>
      </c>
      <c r="D330" s="38" t="s">
        <v>3194</v>
      </c>
      <c r="E330" s="39" t="s">
        <v>3204</v>
      </c>
      <c r="F330" s="40" t="s">
        <v>146</v>
      </c>
      <c r="G330" s="41" t="s">
        <v>3205</v>
      </c>
      <c r="H330" s="42" t="s">
        <v>3206</v>
      </c>
      <c r="I330" s="43" t="s">
        <v>3207</v>
      </c>
      <c r="J330" s="44" t="s">
        <v>3208</v>
      </c>
      <c r="K330" s="45" t="s">
        <v>3209</v>
      </c>
      <c r="L330" s="46" t="s">
        <v>3210</v>
      </c>
      <c r="M330" s="47" t="s">
        <v>3211</v>
      </c>
    </row>
    <row r="331" customFormat="false" ht="57.75" hidden="false" customHeight="true" outlineLevel="0" collapsed="false">
      <c r="A331" s="66" t="s">
        <v>2537</v>
      </c>
      <c r="B331" s="36" t="s">
        <v>3212</v>
      </c>
      <c r="C331" s="74" t="s">
        <v>3213</v>
      </c>
      <c r="D331" s="38" t="s">
        <v>3214</v>
      </c>
      <c r="E331" s="39" t="s">
        <v>3215</v>
      </c>
      <c r="F331" s="49" t="s">
        <v>538</v>
      </c>
      <c r="G331" s="41" t="s">
        <v>3216</v>
      </c>
      <c r="H331" s="42" t="s">
        <v>3217</v>
      </c>
      <c r="I331" s="43" t="s">
        <v>3218</v>
      </c>
      <c r="J331" s="44" t="s">
        <v>3219</v>
      </c>
      <c r="K331" s="45" t="s">
        <v>3220</v>
      </c>
      <c r="L331" s="46" t="s">
        <v>3221</v>
      </c>
      <c r="M331" s="47" t="s">
        <v>3222</v>
      </c>
    </row>
    <row r="332" customFormat="false" ht="57.75" hidden="false" customHeight="true" outlineLevel="0" collapsed="false">
      <c r="A332" s="66" t="s">
        <v>2537</v>
      </c>
      <c r="B332" s="36" t="s">
        <v>3223</v>
      </c>
      <c r="C332" s="74" t="s">
        <v>3213</v>
      </c>
      <c r="D332" s="38" t="s">
        <v>3214</v>
      </c>
      <c r="E332" s="39" t="s">
        <v>3224</v>
      </c>
      <c r="F332" s="49" t="s">
        <v>538</v>
      </c>
      <c r="G332" s="41" t="s">
        <v>3225</v>
      </c>
      <c r="H332" s="42" t="s">
        <v>3226</v>
      </c>
      <c r="I332" s="43" t="s">
        <v>3227</v>
      </c>
      <c r="J332" s="44" t="s">
        <v>3228</v>
      </c>
      <c r="K332" s="45" t="s">
        <v>3229</v>
      </c>
      <c r="L332" s="46" t="s">
        <v>3230</v>
      </c>
      <c r="M332" s="47" t="s">
        <v>3231</v>
      </c>
    </row>
    <row r="333" customFormat="false" ht="57.75" hidden="false" customHeight="true" outlineLevel="0" collapsed="false">
      <c r="A333" s="66" t="s">
        <v>2537</v>
      </c>
      <c r="B333" s="36" t="s">
        <v>3232</v>
      </c>
      <c r="C333" s="74" t="s">
        <v>3213</v>
      </c>
      <c r="D333" s="38" t="s">
        <v>3214</v>
      </c>
      <c r="E333" s="39" t="s">
        <v>3233</v>
      </c>
      <c r="F333" s="49" t="s">
        <v>538</v>
      </c>
      <c r="G333" s="41" t="s">
        <v>3234</v>
      </c>
      <c r="H333" s="42" t="s">
        <v>3235</v>
      </c>
      <c r="I333" s="43" t="s">
        <v>3236</v>
      </c>
      <c r="J333" s="44" t="s">
        <v>3237</v>
      </c>
      <c r="K333" s="45" t="s">
        <v>3238</v>
      </c>
      <c r="L333" s="46" t="s">
        <v>3239</v>
      </c>
      <c r="M333" s="47" t="s">
        <v>3240</v>
      </c>
    </row>
    <row r="334" customFormat="false" ht="57.75" hidden="false" customHeight="true" outlineLevel="0" collapsed="false">
      <c r="A334" s="66" t="s">
        <v>2537</v>
      </c>
      <c r="B334" s="36" t="s">
        <v>3241</v>
      </c>
      <c r="C334" s="74" t="s">
        <v>3213</v>
      </c>
      <c r="D334" s="38" t="s">
        <v>3242</v>
      </c>
      <c r="E334" s="39" t="s">
        <v>3243</v>
      </c>
      <c r="F334" s="40" t="s">
        <v>146</v>
      </c>
      <c r="G334" s="41" t="s">
        <v>3244</v>
      </c>
      <c r="H334" s="42" t="s">
        <v>3245</v>
      </c>
      <c r="I334" s="43" t="s">
        <v>3246</v>
      </c>
      <c r="J334" s="44" t="s">
        <v>3247</v>
      </c>
      <c r="K334" s="45" t="s">
        <v>3248</v>
      </c>
      <c r="L334" s="46" t="s">
        <v>3249</v>
      </c>
      <c r="M334" s="47" t="s">
        <v>3250</v>
      </c>
    </row>
    <row r="335" customFormat="false" ht="57.75" hidden="false" customHeight="true" outlineLevel="0" collapsed="false">
      <c r="A335" s="66" t="s">
        <v>2537</v>
      </c>
      <c r="B335" s="36" t="s">
        <v>3251</v>
      </c>
      <c r="C335" s="74" t="s">
        <v>3213</v>
      </c>
      <c r="D335" s="38" t="s">
        <v>3242</v>
      </c>
      <c r="E335" s="39" t="s">
        <v>3252</v>
      </c>
      <c r="F335" s="40" t="s">
        <v>146</v>
      </c>
      <c r="G335" s="41" t="s">
        <v>3253</v>
      </c>
      <c r="H335" s="42" t="s">
        <v>3254</v>
      </c>
      <c r="I335" s="43" t="s">
        <v>3255</v>
      </c>
      <c r="J335" s="44" t="s">
        <v>3256</v>
      </c>
      <c r="K335" s="45" t="s">
        <v>3257</v>
      </c>
      <c r="L335" s="46" t="s">
        <v>3258</v>
      </c>
      <c r="M335" s="47" t="s">
        <v>3259</v>
      </c>
    </row>
    <row r="336" customFormat="false" ht="57.75" hidden="false" customHeight="true" outlineLevel="0" collapsed="false">
      <c r="A336" s="66" t="s">
        <v>2537</v>
      </c>
      <c r="B336" s="36" t="s">
        <v>3260</v>
      </c>
      <c r="C336" s="74" t="s">
        <v>3213</v>
      </c>
      <c r="D336" s="38" t="s">
        <v>3242</v>
      </c>
      <c r="E336" s="39" t="s">
        <v>3261</v>
      </c>
      <c r="F336" s="40" t="s">
        <v>146</v>
      </c>
      <c r="G336" s="41" t="s">
        <v>3262</v>
      </c>
      <c r="H336" s="42" t="s">
        <v>3263</v>
      </c>
      <c r="I336" s="43" t="s">
        <v>3264</v>
      </c>
      <c r="J336" s="44" t="s">
        <v>3265</v>
      </c>
      <c r="K336" s="45" t="s">
        <v>3266</v>
      </c>
      <c r="L336" s="46" t="s">
        <v>3267</v>
      </c>
      <c r="M336" s="47" t="s">
        <v>3268</v>
      </c>
    </row>
    <row r="337" customFormat="false" ht="57.75" hidden="false" customHeight="true" outlineLevel="0" collapsed="false">
      <c r="A337" s="66" t="s">
        <v>2537</v>
      </c>
      <c r="B337" s="36" t="s">
        <v>3269</v>
      </c>
      <c r="C337" s="74" t="s">
        <v>3213</v>
      </c>
      <c r="D337" s="38" t="s">
        <v>3270</v>
      </c>
      <c r="E337" s="39" t="s">
        <v>3271</v>
      </c>
      <c r="F337" s="49" t="s">
        <v>538</v>
      </c>
      <c r="G337" s="41" t="s">
        <v>3272</v>
      </c>
      <c r="H337" s="42" t="s">
        <v>3273</v>
      </c>
      <c r="I337" s="43" t="s">
        <v>3274</v>
      </c>
      <c r="J337" s="44" t="s">
        <v>3275</v>
      </c>
      <c r="K337" s="45" t="s">
        <v>3276</v>
      </c>
      <c r="L337" s="46" t="s">
        <v>3277</v>
      </c>
      <c r="M337" s="47" t="s">
        <v>3278</v>
      </c>
    </row>
    <row r="338" customFormat="false" ht="57.75" hidden="false" customHeight="true" outlineLevel="0" collapsed="false">
      <c r="A338" s="66" t="s">
        <v>2537</v>
      </c>
      <c r="B338" s="36" t="s">
        <v>3279</v>
      </c>
      <c r="C338" s="74" t="s">
        <v>3213</v>
      </c>
      <c r="D338" s="38" t="s">
        <v>3270</v>
      </c>
      <c r="E338" s="39" t="s">
        <v>3280</v>
      </c>
      <c r="F338" s="49" t="s">
        <v>538</v>
      </c>
      <c r="G338" s="41" t="s">
        <v>3281</v>
      </c>
      <c r="H338" s="42" t="s">
        <v>3282</v>
      </c>
      <c r="I338" s="43" t="s">
        <v>3283</v>
      </c>
      <c r="J338" s="44" t="s">
        <v>3284</v>
      </c>
      <c r="K338" s="45" t="s">
        <v>3285</v>
      </c>
      <c r="L338" s="46" t="s">
        <v>3286</v>
      </c>
      <c r="M338" s="47" t="s">
        <v>3287</v>
      </c>
    </row>
    <row r="339" customFormat="false" ht="57.75" hidden="false" customHeight="true" outlineLevel="0" collapsed="false">
      <c r="A339" s="66" t="s">
        <v>2537</v>
      </c>
      <c r="B339" s="36" t="s">
        <v>3288</v>
      </c>
      <c r="C339" s="74" t="s">
        <v>3213</v>
      </c>
      <c r="D339" s="38" t="s">
        <v>3270</v>
      </c>
      <c r="E339" s="39" t="s">
        <v>3289</v>
      </c>
      <c r="F339" s="49" t="s">
        <v>538</v>
      </c>
      <c r="G339" s="41" t="s">
        <v>3290</v>
      </c>
      <c r="H339" s="42" t="s">
        <v>3291</v>
      </c>
      <c r="I339" s="43" t="s">
        <v>3292</v>
      </c>
      <c r="J339" s="44" t="s">
        <v>3293</v>
      </c>
      <c r="K339" s="45" t="s">
        <v>3294</v>
      </c>
      <c r="L339" s="46" t="s">
        <v>3295</v>
      </c>
      <c r="M339" s="47" t="s">
        <v>3296</v>
      </c>
    </row>
    <row r="340" customFormat="false" ht="57.75" hidden="false" customHeight="true" outlineLevel="0" collapsed="false">
      <c r="A340" s="66" t="s">
        <v>2537</v>
      </c>
      <c r="B340" s="36" t="s">
        <v>3297</v>
      </c>
      <c r="C340" s="74" t="s">
        <v>3213</v>
      </c>
      <c r="D340" s="38" t="s">
        <v>3270</v>
      </c>
      <c r="E340" s="39" t="s">
        <v>3298</v>
      </c>
      <c r="F340" s="49" t="s">
        <v>538</v>
      </c>
      <c r="G340" s="41" t="s">
        <v>3299</v>
      </c>
      <c r="H340" s="42" t="s">
        <v>3300</v>
      </c>
      <c r="I340" s="43" t="s">
        <v>3301</v>
      </c>
      <c r="J340" s="44" t="s">
        <v>3302</v>
      </c>
      <c r="K340" s="45" t="s">
        <v>3303</v>
      </c>
      <c r="L340" s="46" t="s">
        <v>3304</v>
      </c>
      <c r="M340" s="47" t="s">
        <v>3305</v>
      </c>
    </row>
    <row r="341" customFormat="false" ht="57.75" hidden="false" customHeight="true" outlineLevel="0" collapsed="false">
      <c r="A341" s="66" t="s">
        <v>2537</v>
      </c>
      <c r="B341" s="36" t="s">
        <v>3306</v>
      </c>
      <c r="C341" s="74" t="s">
        <v>3213</v>
      </c>
      <c r="D341" s="38" t="s">
        <v>3307</v>
      </c>
      <c r="E341" s="39" t="s">
        <v>3308</v>
      </c>
      <c r="F341" s="49" t="s">
        <v>538</v>
      </c>
      <c r="G341" s="41" t="s">
        <v>3309</v>
      </c>
      <c r="H341" s="42" t="s">
        <v>3310</v>
      </c>
      <c r="I341" s="43" t="s">
        <v>3311</v>
      </c>
      <c r="J341" s="44" t="s">
        <v>3312</v>
      </c>
      <c r="K341" s="45" t="s">
        <v>3313</v>
      </c>
      <c r="L341" s="46" t="s">
        <v>3314</v>
      </c>
      <c r="M341" s="47" t="s">
        <v>3315</v>
      </c>
    </row>
    <row r="342" customFormat="false" ht="57.75" hidden="false" customHeight="true" outlineLevel="0" collapsed="false">
      <c r="A342" s="66" t="s">
        <v>2537</v>
      </c>
      <c r="B342" s="36" t="s">
        <v>3316</v>
      </c>
      <c r="C342" s="74" t="s">
        <v>3213</v>
      </c>
      <c r="D342" s="38" t="s">
        <v>3307</v>
      </c>
      <c r="E342" s="39" t="s">
        <v>3317</v>
      </c>
      <c r="F342" s="49" t="s">
        <v>538</v>
      </c>
      <c r="G342" s="41" t="s">
        <v>3318</v>
      </c>
      <c r="H342" s="42" t="s">
        <v>3319</v>
      </c>
      <c r="I342" s="43" t="s">
        <v>3320</v>
      </c>
      <c r="J342" s="44" t="s">
        <v>3321</v>
      </c>
      <c r="K342" s="45" t="s">
        <v>3322</v>
      </c>
      <c r="L342" s="46" t="s">
        <v>3323</v>
      </c>
      <c r="M342" s="47" t="s">
        <v>3324</v>
      </c>
    </row>
    <row r="343" customFormat="false" ht="57.75" hidden="false" customHeight="true" outlineLevel="0" collapsed="false">
      <c r="A343" s="66" t="s">
        <v>2537</v>
      </c>
      <c r="B343" s="36" t="s">
        <v>3325</v>
      </c>
      <c r="C343" s="74" t="s">
        <v>3213</v>
      </c>
      <c r="D343" s="38" t="s">
        <v>3307</v>
      </c>
      <c r="E343" s="39" t="s">
        <v>3326</v>
      </c>
      <c r="F343" s="49" t="s">
        <v>538</v>
      </c>
      <c r="G343" s="41" t="s">
        <v>3327</v>
      </c>
      <c r="H343" s="42" t="s">
        <v>3328</v>
      </c>
      <c r="I343" s="43" t="s">
        <v>3329</v>
      </c>
      <c r="J343" s="44" t="s">
        <v>3330</v>
      </c>
      <c r="K343" s="45" t="s">
        <v>3331</v>
      </c>
      <c r="L343" s="46" t="s">
        <v>3332</v>
      </c>
      <c r="M343" s="47" t="s">
        <v>3333</v>
      </c>
    </row>
    <row r="344" customFormat="false" ht="57.75" hidden="false" customHeight="true" outlineLevel="0" collapsed="false">
      <c r="A344" s="66" t="s">
        <v>2537</v>
      </c>
      <c r="B344" s="36" t="s">
        <v>3334</v>
      </c>
      <c r="C344" s="74" t="s">
        <v>3213</v>
      </c>
      <c r="D344" s="38" t="s">
        <v>3335</v>
      </c>
      <c r="E344" s="39" t="s">
        <v>3336</v>
      </c>
      <c r="F344" s="40" t="s">
        <v>146</v>
      </c>
      <c r="G344" s="41" t="s">
        <v>3337</v>
      </c>
      <c r="H344" s="42" t="s">
        <v>3338</v>
      </c>
      <c r="I344" s="43" t="s">
        <v>3339</v>
      </c>
      <c r="J344" s="44" t="s">
        <v>3340</v>
      </c>
      <c r="K344" s="45" t="s">
        <v>3341</v>
      </c>
      <c r="L344" s="46" t="s">
        <v>3342</v>
      </c>
      <c r="M344" s="47" t="s">
        <v>3343</v>
      </c>
    </row>
    <row r="345" customFormat="false" ht="57.75" hidden="false" customHeight="true" outlineLevel="0" collapsed="false">
      <c r="A345" s="66" t="s">
        <v>2537</v>
      </c>
      <c r="B345" s="36" t="s">
        <v>3344</v>
      </c>
      <c r="C345" s="74" t="s">
        <v>3213</v>
      </c>
      <c r="D345" s="38" t="s">
        <v>3335</v>
      </c>
      <c r="E345" s="39" t="s">
        <v>3345</v>
      </c>
      <c r="F345" s="40" t="s">
        <v>146</v>
      </c>
      <c r="G345" s="41" t="s">
        <v>3346</v>
      </c>
      <c r="H345" s="42" t="s">
        <v>3347</v>
      </c>
      <c r="I345" s="43" t="s">
        <v>3348</v>
      </c>
      <c r="J345" s="44" t="s">
        <v>3349</v>
      </c>
      <c r="K345" s="45" t="s">
        <v>3350</v>
      </c>
      <c r="L345" s="46" t="s">
        <v>3351</v>
      </c>
      <c r="M345" s="47" t="s">
        <v>3352</v>
      </c>
    </row>
    <row r="346" customFormat="false" ht="57.75" hidden="false" customHeight="true" outlineLevel="0" collapsed="false">
      <c r="A346" s="66" t="s">
        <v>2537</v>
      </c>
      <c r="B346" s="36" t="s">
        <v>3353</v>
      </c>
      <c r="C346" s="74" t="s">
        <v>3213</v>
      </c>
      <c r="D346" s="38" t="s">
        <v>3335</v>
      </c>
      <c r="E346" s="39" t="s">
        <v>3354</v>
      </c>
      <c r="F346" s="40" t="s">
        <v>146</v>
      </c>
      <c r="G346" s="41" t="s">
        <v>3355</v>
      </c>
      <c r="H346" s="42" t="s">
        <v>3356</v>
      </c>
      <c r="I346" s="43" t="s">
        <v>3357</v>
      </c>
      <c r="J346" s="44" t="s">
        <v>3358</v>
      </c>
      <c r="K346" s="45" t="s">
        <v>3359</v>
      </c>
      <c r="L346" s="46" t="s">
        <v>3360</v>
      </c>
      <c r="M346" s="47" t="s">
        <v>3361</v>
      </c>
    </row>
    <row r="347" customFormat="false" ht="57.75" hidden="false" customHeight="true" outlineLevel="0" collapsed="false">
      <c r="A347" s="66" t="s">
        <v>2537</v>
      </c>
      <c r="B347" s="36" t="s">
        <v>3362</v>
      </c>
      <c r="C347" s="75" t="s">
        <v>3363</v>
      </c>
      <c r="D347" s="38" t="s">
        <v>3364</v>
      </c>
      <c r="E347" s="39" t="s">
        <v>3365</v>
      </c>
      <c r="F347" s="40" t="s">
        <v>146</v>
      </c>
      <c r="G347" s="41" t="s">
        <v>3366</v>
      </c>
      <c r="H347" s="42" t="s">
        <v>3367</v>
      </c>
      <c r="I347" s="43" t="s">
        <v>3368</v>
      </c>
      <c r="J347" s="44" t="s">
        <v>3369</v>
      </c>
      <c r="K347" s="45" t="s">
        <v>3370</v>
      </c>
      <c r="L347" s="46" t="s">
        <v>3371</v>
      </c>
      <c r="M347" s="47" t="s">
        <v>3372</v>
      </c>
    </row>
    <row r="348" customFormat="false" ht="57.75" hidden="false" customHeight="true" outlineLevel="0" collapsed="false">
      <c r="A348" s="66" t="s">
        <v>2537</v>
      </c>
      <c r="B348" s="36" t="s">
        <v>3373</v>
      </c>
      <c r="C348" s="75" t="s">
        <v>3363</v>
      </c>
      <c r="D348" s="38" t="s">
        <v>3364</v>
      </c>
      <c r="E348" s="39" t="s">
        <v>3374</v>
      </c>
      <c r="F348" s="40" t="s">
        <v>146</v>
      </c>
      <c r="G348" s="41" t="s">
        <v>3375</v>
      </c>
      <c r="H348" s="42" t="s">
        <v>3376</v>
      </c>
      <c r="I348" s="43" t="s">
        <v>3377</v>
      </c>
      <c r="J348" s="44" t="s">
        <v>3378</v>
      </c>
      <c r="K348" s="45" t="s">
        <v>3379</v>
      </c>
      <c r="L348" s="46" t="s">
        <v>3380</v>
      </c>
      <c r="M348" s="47" t="s">
        <v>3381</v>
      </c>
    </row>
    <row r="349" customFormat="false" ht="57.75" hidden="false" customHeight="true" outlineLevel="0" collapsed="false">
      <c r="A349" s="66" t="s">
        <v>2537</v>
      </c>
      <c r="B349" s="36" t="s">
        <v>3382</v>
      </c>
      <c r="C349" s="75" t="s">
        <v>3363</v>
      </c>
      <c r="D349" s="38" t="s">
        <v>3364</v>
      </c>
      <c r="E349" s="39" t="s">
        <v>3383</v>
      </c>
      <c r="F349" s="40" t="s">
        <v>146</v>
      </c>
      <c r="G349" s="41" t="s">
        <v>3384</v>
      </c>
      <c r="H349" s="42" t="s">
        <v>3385</v>
      </c>
      <c r="I349" s="43" t="s">
        <v>3386</v>
      </c>
      <c r="J349" s="44" t="s">
        <v>3387</v>
      </c>
      <c r="K349" s="45" t="s">
        <v>3388</v>
      </c>
      <c r="L349" s="46" t="s">
        <v>3389</v>
      </c>
      <c r="M349" s="47" t="s">
        <v>3390</v>
      </c>
    </row>
    <row r="350" customFormat="false" ht="57.75" hidden="false" customHeight="true" outlineLevel="0" collapsed="false">
      <c r="A350" s="66" t="s">
        <v>2537</v>
      </c>
      <c r="B350" s="36" t="s">
        <v>3391</v>
      </c>
      <c r="C350" s="75" t="s">
        <v>3363</v>
      </c>
      <c r="D350" s="38" t="s">
        <v>3392</v>
      </c>
      <c r="E350" s="39" t="s">
        <v>3393</v>
      </c>
      <c r="F350" s="40" t="s">
        <v>146</v>
      </c>
      <c r="G350" s="41" t="s">
        <v>3394</v>
      </c>
      <c r="H350" s="42" t="s">
        <v>3395</v>
      </c>
      <c r="I350" s="43" t="s">
        <v>3396</v>
      </c>
      <c r="J350" s="44" t="s">
        <v>3397</v>
      </c>
      <c r="K350" s="45" t="s">
        <v>3398</v>
      </c>
      <c r="L350" s="46" t="s">
        <v>3399</v>
      </c>
      <c r="M350" s="47" t="s">
        <v>3400</v>
      </c>
    </row>
    <row r="351" customFormat="false" ht="57.75" hidden="false" customHeight="true" outlineLevel="0" collapsed="false">
      <c r="A351" s="66" t="s">
        <v>2537</v>
      </c>
      <c r="B351" s="36" t="s">
        <v>3401</v>
      </c>
      <c r="C351" s="75" t="s">
        <v>3363</v>
      </c>
      <c r="D351" s="38" t="s">
        <v>3392</v>
      </c>
      <c r="E351" s="39" t="s">
        <v>3402</v>
      </c>
      <c r="F351" s="49" t="s">
        <v>538</v>
      </c>
      <c r="G351" s="41" t="s">
        <v>3403</v>
      </c>
      <c r="H351" s="42" t="s">
        <v>3404</v>
      </c>
      <c r="I351" s="43" t="s">
        <v>3405</v>
      </c>
      <c r="J351" s="44" t="s">
        <v>3406</v>
      </c>
      <c r="K351" s="45" t="s">
        <v>3407</v>
      </c>
      <c r="L351" s="46" t="s">
        <v>3408</v>
      </c>
      <c r="M351" s="47" t="s">
        <v>3409</v>
      </c>
    </row>
    <row r="352" customFormat="false" ht="57.75" hidden="false" customHeight="true" outlineLevel="0" collapsed="false">
      <c r="A352" s="66" t="s">
        <v>2537</v>
      </c>
      <c r="B352" s="36" t="s">
        <v>3410</v>
      </c>
      <c r="C352" s="75" t="s">
        <v>3363</v>
      </c>
      <c r="D352" s="38" t="s">
        <v>3411</v>
      </c>
      <c r="E352" s="39" t="s">
        <v>3412</v>
      </c>
      <c r="F352" s="49" t="s">
        <v>538</v>
      </c>
      <c r="G352" s="41" t="s">
        <v>3413</v>
      </c>
      <c r="H352" s="42" t="s">
        <v>3414</v>
      </c>
      <c r="I352" s="43" t="s">
        <v>3415</v>
      </c>
      <c r="J352" s="44" t="s">
        <v>3416</v>
      </c>
      <c r="K352" s="45" t="s">
        <v>3417</v>
      </c>
      <c r="L352" s="46" t="s">
        <v>3418</v>
      </c>
      <c r="M352" s="47" t="s">
        <v>3419</v>
      </c>
    </row>
    <row r="353" customFormat="false" ht="57.75" hidden="false" customHeight="true" outlineLevel="0" collapsed="false">
      <c r="A353" s="66" t="s">
        <v>2537</v>
      </c>
      <c r="B353" s="36" t="s">
        <v>3420</v>
      </c>
      <c r="C353" s="75" t="s">
        <v>3363</v>
      </c>
      <c r="D353" s="38" t="s">
        <v>3411</v>
      </c>
      <c r="E353" s="39" t="s">
        <v>3421</v>
      </c>
      <c r="F353" s="40" t="s">
        <v>146</v>
      </c>
      <c r="G353" s="41" t="s">
        <v>3422</v>
      </c>
      <c r="H353" s="42" t="s">
        <v>3423</v>
      </c>
      <c r="I353" s="43" t="s">
        <v>3424</v>
      </c>
      <c r="J353" s="44" t="s">
        <v>3425</v>
      </c>
      <c r="K353" s="45" t="s">
        <v>3426</v>
      </c>
      <c r="L353" s="46" t="s">
        <v>3427</v>
      </c>
      <c r="M353" s="47" t="s">
        <v>3428</v>
      </c>
    </row>
    <row r="354" customFormat="false" ht="57.75" hidden="false" customHeight="true" outlineLevel="0" collapsed="false">
      <c r="A354" s="66" t="s">
        <v>2537</v>
      </c>
      <c r="B354" s="36" t="s">
        <v>3429</v>
      </c>
      <c r="C354" s="75" t="s">
        <v>3363</v>
      </c>
      <c r="D354" s="38" t="s">
        <v>3430</v>
      </c>
      <c r="E354" s="39" t="s">
        <v>3431</v>
      </c>
      <c r="F354" s="40" t="s">
        <v>146</v>
      </c>
      <c r="G354" s="41" t="s">
        <v>3432</v>
      </c>
      <c r="H354" s="42" t="s">
        <v>3433</v>
      </c>
      <c r="I354" s="43" t="s">
        <v>3434</v>
      </c>
      <c r="J354" s="44" t="s">
        <v>3435</v>
      </c>
      <c r="K354" s="45" t="s">
        <v>3436</v>
      </c>
      <c r="L354" s="46" t="s">
        <v>3437</v>
      </c>
      <c r="M354" s="47" t="s">
        <v>3438</v>
      </c>
    </row>
    <row r="355" customFormat="false" ht="57.75" hidden="false" customHeight="true" outlineLevel="0" collapsed="false">
      <c r="A355" s="66" t="s">
        <v>2537</v>
      </c>
      <c r="B355" s="36" t="s">
        <v>3439</v>
      </c>
      <c r="C355" s="75" t="s">
        <v>3363</v>
      </c>
      <c r="D355" s="38" t="s">
        <v>3430</v>
      </c>
      <c r="E355" s="39" t="s">
        <v>3440</v>
      </c>
      <c r="F355" s="40" t="s">
        <v>146</v>
      </c>
      <c r="G355" s="41" t="s">
        <v>3441</v>
      </c>
      <c r="H355" s="42" t="s">
        <v>3442</v>
      </c>
      <c r="I355" s="43" t="s">
        <v>3443</v>
      </c>
      <c r="J355" s="44" t="s">
        <v>3444</v>
      </c>
      <c r="K355" s="45" t="s">
        <v>3445</v>
      </c>
      <c r="L355" s="46" t="s">
        <v>3446</v>
      </c>
      <c r="M355" s="47" t="s">
        <v>3447</v>
      </c>
    </row>
    <row r="356" customFormat="false" ht="57.75" hidden="false" customHeight="true" outlineLevel="0" collapsed="false">
      <c r="A356" s="66" t="s">
        <v>2537</v>
      </c>
      <c r="B356" s="36" t="s">
        <v>3448</v>
      </c>
      <c r="C356" s="76" t="s">
        <v>3449</v>
      </c>
      <c r="D356" s="38" t="s">
        <v>3450</v>
      </c>
      <c r="E356" s="39" t="s">
        <v>3451</v>
      </c>
      <c r="F356" s="40" t="s">
        <v>146</v>
      </c>
      <c r="G356" s="41" t="s">
        <v>3452</v>
      </c>
      <c r="H356" s="42" t="s">
        <v>3453</v>
      </c>
      <c r="I356" s="43" t="s">
        <v>3454</v>
      </c>
      <c r="J356" s="44" t="s">
        <v>3455</v>
      </c>
      <c r="K356" s="45" t="s">
        <v>3456</v>
      </c>
      <c r="L356" s="46" t="s">
        <v>3457</v>
      </c>
      <c r="M356" s="47" t="s">
        <v>3458</v>
      </c>
    </row>
    <row r="357" customFormat="false" ht="57.75" hidden="false" customHeight="true" outlineLevel="0" collapsed="false">
      <c r="A357" s="66" t="s">
        <v>2537</v>
      </c>
      <c r="B357" s="36" t="s">
        <v>3459</v>
      </c>
      <c r="C357" s="76" t="s">
        <v>3449</v>
      </c>
      <c r="D357" s="38" t="s">
        <v>3450</v>
      </c>
      <c r="E357" s="39" t="s">
        <v>3460</v>
      </c>
      <c r="F357" s="40" t="s">
        <v>146</v>
      </c>
      <c r="G357" s="41" t="s">
        <v>3461</v>
      </c>
      <c r="H357" s="42" t="s">
        <v>3462</v>
      </c>
      <c r="I357" s="43" t="s">
        <v>3463</v>
      </c>
      <c r="J357" s="44" t="s">
        <v>3464</v>
      </c>
      <c r="K357" s="45" t="s">
        <v>3465</v>
      </c>
      <c r="L357" s="46" t="s">
        <v>3466</v>
      </c>
      <c r="M357" s="47" t="s">
        <v>3467</v>
      </c>
    </row>
    <row r="358" customFormat="false" ht="57.75" hidden="false" customHeight="true" outlineLevel="0" collapsed="false">
      <c r="A358" s="66" t="s">
        <v>2537</v>
      </c>
      <c r="B358" s="36" t="s">
        <v>3468</v>
      </c>
      <c r="C358" s="76" t="s">
        <v>3449</v>
      </c>
      <c r="D358" s="38" t="s">
        <v>3450</v>
      </c>
      <c r="E358" s="39" t="s">
        <v>3469</v>
      </c>
      <c r="F358" s="40" t="s">
        <v>146</v>
      </c>
      <c r="G358" s="41" t="s">
        <v>3470</v>
      </c>
      <c r="H358" s="42" t="s">
        <v>3471</v>
      </c>
      <c r="I358" s="43" t="s">
        <v>3472</v>
      </c>
      <c r="J358" s="44" t="s">
        <v>3473</v>
      </c>
      <c r="K358" s="45" t="s">
        <v>3474</v>
      </c>
      <c r="L358" s="46" t="s">
        <v>3475</v>
      </c>
      <c r="M358" s="47" t="s">
        <v>3476</v>
      </c>
    </row>
    <row r="359" customFormat="false" ht="57.75" hidden="false" customHeight="true" outlineLevel="0" collapsed="false">
      <c r="A359" s="66" t="s">
        <v>2537</v>
      </c>
      <c r="B359" s="36" t="s">
        <v>3477</v>
      </c>
      <c r="C359" s="76" t="s">
        <v>3449</v>
      </c>
      <c r="D359" s="38" t="s">
        <v>3478</v>
      </c>
      <c r="E359" s="39" t="s">
        <v>3479</v>
      </c>
      <c r="F359" s="40" t="s">
        <v>146</v>
      </c>
      <c r="G359" s="41" t="s">
        <v>3480</v>
      </c>
      <c r="H359" s="42" t="s">
        <v>3481</v>
      </c>
      <c r="I359" s="43" t="s">
        <v>3482</v>
      </c>
      <c r="J359" s="44" t="s">
        <v>3483</v>
      </c>
      <c r="K359" s="45" t="s">
        <v>3484</v>
      </c>
      <c r="L359" s="46" t="s">
        <v>3485</v>
      </c>
      <c r="M359" s="47" t="s">
        <v>3486</v>
      </c>
    </row>
    <row r="360" customFormat="false" ht="57.75" hidden="false" customHeight="true" outlineLevel="0" collapsed="false">
      <c r="A360" s="66" t="s">
        <v>2537</v>
      </c>
      <c r="B360" s="36" t="s">
        <v>3487</v>
      </c>
      <c r="C360" s="76" t="s">
        <v>3449</v>
      </c>
      <c r="D360" s="38" t="s">
        <v>3478</v>
      </c>
      <c r="E360" s="39" t="s">
        <v>3488</v>
      </c>
      <c r="F360" s="40" t="s">
        <v>146</v>
      </c>
      <c r="G360" s="41" t="s">
        <v>3489</v>
      </c>
      <c r="H360" s="42" t="s">
        <v>3490</v>
      </c>
      <c r="I360" s="43" t="s">
        <v>3491</v>
      </c>
      <c r="J360" s="44" t="s">
        <v>3492</v>
      </c>
      <c r="K360" s="45" t="s">
        <v>3493</v>
      </c>
      <c r="L360" s="46" t="s">
        <v>3494</v>
      </c>
      <c r="M360" s="47" t="s">
        <v>3495</v>
      </c>
    </row>
    <row r="361" customFormat="false" ht="57.75" hidden="false" customHeight="true" outlineLevel="0" collapsed="false">
      <c r="A361" s="66" t="s">
        <v>2537</v>
      </c>
      <c r="B361" s="36" t="s">
        <v>3496</v>
      </c>
      <c r="C361" s="76" t="s">
        <v>3449</v>
      </c>
      <c r="D361" s="38" t="s">
        <v>3478</v>
      </c>
      <c r="E361" s="39" t="s">
        <v>3497</v>
      </c>
      <c r="F361" s="40" t="s">
        <v>146</v>
      </c>
      <c r="G361" s="41" t="s">
        <v>3498</v>
      </c>
      <c r="H361" s="42" t="s">
        <v>3499</v>
      </c>
      <c r="I361" s="43" t="s">
        <v>3500</v>
      </c>
      <c r="J361" s="44" t="s">
        <v>3501</v>
      </c>
      <c r="K361" s="45" t="s">
        <v>3502</v>
      </c>
      <c r="L361" s="46" t="s">
        <v>3503</v>
      </c>
      <c r="M361" s="47" t="s">
        <v>3504</v>
      </c>
    </row>
    <row r="362" customFormat="false" ht="57.75" hidden="false" customHeight="true" outlineLevel="0" collapsed="false">
      <c r="A362" s="66" t="s">
        <v>2537</v>
      </c>
      <c r="B362" s="36" t="s">
        <v>3505</v>
      </c>
      <c r="C362" s="76" t="s">
        <v>3449</v>
      </c>
      <c r="D362" s="38" t="s">
        <v>3478</v>
      </c>
      <c r="E362" s="39" t="s">
        <v>3506</v>
      </c>
      <c r="F362" s="40" t="s">
        <v>146</v>
      </c>
      <c r="G362" s="41" t="s">
        <v>3507</v>
      </c>
      <c r="H362" s="42" t="s">
        <v>3508</v>
      </c>
      <c r="I362" s="43" t="s">
        <v>3509</v>
      </c>
      <c r="J362" s="44" t="s">
        <v>3510</v>
      </c>
      <c r="K362" s="45" t="s">
        <v>3511</v>
      </c>
      <c r="L362" s="46" t="s">
        <v>3512</v>
      </c>
      <c r="M362" s="47" t="s">
        <v>3513</v>
      </c>
    </row>
    <row r="363" customFormat="false" ht="57.75" hidden="false" customHeight="true" outlineLevel="0" collapsed="false">
      <c r="A363" s="66" t="s">
        <v>2537</v>
      </c>
      <c r="B363" s="36" t="s">
        <v>3514</v>
      </c>
      <c r="C363" s="76" t="s">
        <v>3449</v>
      </c>
      <c r="D363" s="38" t="s">
        <v>3515</v>
      </c>
      <c r="E363" s="39" t="s">
        <v>3516</v>
      </c>
      <c r="F363" s="40" t="s">
        <v>146</v>
      </c>
      <c r="G363" s="41" t="s">
        <v>3517</v>
      </c>
      <c r="H363" s="42" t="s">
        <v>3518</v>
      </c>
      <c r="I363" s="43" t="s">
        <v>3519</v>
      </c>
      <c r="J363" s="44" t="s">
        <v>3520</v>
      </c>
      <c r="K363" s="45" t="s">
        <v>3521</v>
      </c>
      <c r="L363" s="46" t="s">
        <v>3522</v>
      </c>
      <c r="M363" s="47" t="s">
        <v>3523</v>
      </c>
    </row>
    <row r="364" customFormat="false" ht="57.75" hidden="false" customHeight="true" outlineLevel="0" collapsed="false">
      <c r="A364" s="66" t="s">
        <v>2537</v>
      </c>
      <c r="B364" s="36" t="s">
        <v>3524</v>
      </c>
      <c r="C364" s="76" t="s">
        <v>3449</v>
      </c>
      <c r="D364" s="38" t="s">
        <v>3515</v>
      </c>
      <c r="E364" s="39" t="s">
        <v>3525</v>
      </c>
      <c r="F364" s="40" t="s">
        <v>146</v>
      </c>
      <c r="G364" s="41" t="s">
        <v>3526</v>
      </c>
      <c r="H364" s="42" t="s">
        <v>3527</v>
      </c>
      <c r="I364" s="43" t="s">
        <v>3528</v>
      </c>
      <c r="J364" s="44" t="s">
        <v>3529</v>
      </c>
      <c r="K364" s="45" t="s">
        <v>3530</v>
      </c>
      <c r="L364" s="46" t="s">
        <v>3531</v>
      </c>
      <c r="M364" s="47" t="s">
        <v>3532</v>
      </c>
    </row>
    <row r="365" customFormat="false" ht="57.75" hidden="false" customHeight="true" outlineLevel="0" collapsed="false">
      <c r="A365" s="66" t="s">
        <v>2537</v>
      </c>
      <c r="B365" s="36" t="s">
        <v>3533</v>
      </c>
      <c r="C365" s="76" t="s">
        <v>3449</v>
      </c>
      <c r="D365" s="38" t="s">
        <v>3534</v>
      </c>
      <c r="E365" s="39" t="s">
        <v>3535</v>
      </c>
      <c r="F365" s="40" t="s">
        <v>146</v>
      </c>
      <c r="G365" s="41" t="s">
        <v>3536</v>
      </c>
      <c r="H365" s="42" t="s">
        <v>3537</v>
      </c>
      <c r="I365" s="43" t="s">
        <v>3538</v>
      </c>
      <c r="J365" s="44" t="s">
        <v>3539</v>
      </c>
      <c r="K365" s="45" t="s">
        <v>3540</v>
      </c>
      <c r="L365" s="46" t="s">
        <v>3541</v>
      </c>
      <c r="M365" s="47" t="s">
        <v>3542</v>
      </c>
    </row>
    <row r="366" customFormat="false" ht="57.75" hidden="false" customHeight="true" outlineLevel="0" collapsed="false">
      <c r="A366" s="66" t="s">
        <v>2537</v>
      </c>
      <c r="B366" s="36" t="s">
        <v>3543</v>
      </c>
      <c r="C366" s="76" t="s">
        <v>3449</v>
      </c>
      <c r="D366" s="38" t="s">
        <v>3534</v>
      </c>
      <c r="E366" s="39" t="s">
        <v>3544</v>
      </c>
      <c r="F366" s="40" t="s">
        <v>146</v>
      </c>
      <c r="G366" s="41" t="s">
        <v>3545</v>
      </c>
      <c r="H366" s="42" t="s">
        <v>3546</v>
      </c>
      <c r="I366" s="43" t="s">
        <v>3547</v>
      </c>
      <c r="J366" s="44" t="s">
        <v>3548</v>
      </c>
      <c r="K366" s="45" t="s">
        <v>3549</v>
      </c>
      <c r="L366" s="46" t="s">
        <v>3550</v>
      </c>
      <c r="M366" s="47" t="s">
        <v>3551</v>
      </c>
    </row>
    <row r="367" customFormat="false" ht="57.75" hidden="false" customHeight="true" outlineLevel="0" collapsed="false">
      <c r="A367" s="66" t="s">
        <v>2537</v>
      </c>
      <c r="B367" s="36" t="s">
        <v>3552</v>
      </c>
      <c r="C367" s="76" t="s">
        <v>3449</v>
      </c>
      <c r="D367" s="38" t="s">
        <v>3553</v>
      </c>
      <c r="E367" s="39" t="s">
        <v>3554</v>
      </c>
      <c r="F367" s="40" t="s">
        <v>146</v>
      </c>
      <c r="G367" s="41" t="s">
        <v>3555</v>
      </c>
      <c r="H367" s="42" t="s">
        <v>3556</v>
      </c>
      <c r="I367" s="43" t="s">
        <v>3557</v>
      </c>
      <c r="J367" s="44" t="s">
        <v>3558</v>
      </c>
      <c r="K367" s="45" t="s">
        <v>3559</v>
      </c>
      <c r="L367" s="46" t="s">
        <v>3560</v>
      </c>
      <c r="M367" s="47" t="s">
        <v>3561</v>
      </c>
    </row>
    <row r="368" customFormat="false" ht="57.75" hidden="false" customHeight="true" outlineLevel="0" collapsed="false">
      <c r="A368" s="66" t="s">
        <v>2537</v>
      </c>
      <c r="B368" s="36" t="s">
        <v>3562</v>
      </c>
      <c r="C368" s="76" t="s">
        <v>3449</v>
      </c>
      <c r="D368" s="38" t="s">
        <v>3553</v>
      </c>
      <c r="E368" s="39" t="s">
        <v>3563</v>
      </c>
      <c r="F368" s="49" t="s">
        <v>538</v>
      </c>
      <c r="G368" s="41" t="s">
        <v>3564</v>
      </c>
      <c r="H368" s="42" t="s">
        <v>3565</v>
      </c>
      <c r="I368" s="43" t="s">
        <v>3566</v>
      </c>
      <c r="J368" s="44" t="s">
        <v>3567</v>
      </c>
      <c r="K368" s="45" t="s">
        <v>3568</v>
      </c>
      <c r="L368" s="46" t="s">
        <v>3569</v>
      </c>
      <c r="M368" s="47" t="s">
        <v>3570</v>
      </c>
    </row>
    <row r="369" customFormat="false" ht="57.75" hidden="false" customHeight="true" outlineLevel="0" collapsed="false">
      <c r="A369" s="66" t="s">
        <v>2537</v>
      </c>
      <c r="B369" s="36" t="s">
        <v>3571</v>
      </c>
      <c r="C369" s="77" t="s">
        <v>3572</v>
      </c>
      <c r="D369" s="38" t="s">
        <v>3573</v>
      </c>
      <c r="E369" s="39" t="s">
        <v>3574</v>
      </c>
      <c r="F369" s="40" t="s">
        <v>146</v>
      </c>
      <c r="G369" s="41" t="s">
        <v>3575</v>
      </c>
      <c r="H369" s="42" t="s">
        <v>3576</v>
      </c>
      <c r="I369" s="43" t="s">
        <v>3577</v>
      </c>
      <c r="J369" s="44" t="s">
        <v>3578</v>
      </c>
      <c r="K369" s="45" t="s">
        <v>3579</v>
      </c>
      <c r="L369" s="46" t="s">
        <v>3580</v>
      </c>
      <c r="M369" s="47" t="s">
        <v>3581</v>
      </c>
    </row>
    <row r="370" customFormat="false" ht="57.75" hidden="false" customHeight="true" outlineLevel="0" collapsed="false">
      <c r="A370" s="66" t="s">
        <v>2537</v>
      </c>
      <c r="B370" s="36" t="s">
        <v>3582</v>
      </c>
      <c r="C370" s="77" t="s">
        <v>3572</v>
      </c>
      <c r="D370" s="38" t="s">
        <v>3573</v>
      </c>
      <c r="E370" s="39" t="s">
        <v>3583</v>
      </c>
      <c r="F370" s="40" t="s">
        <v>146</v>
      </c>
      <c r="G370" s="41" t="s">
        <v>3584</v>
      </c>
      <c r="H370" s="42" t="s">
        <v>3585</v>
      </c>
      <c r="I370" s="43" t="s">
        <v>3586</v>
      </c>
      <c r="J370" s="44" t="s">
        <v>3587</v>
      </c>
      <c r="K370" s="45" t="s">
        <v>3588</v>
      </c>
      <c r="L370" s="46" t="s">
        <v>3589</v>
      </c>
      <c r="M370" s="47" t="s">
        <v>3590</v>
      </c>
    </row>
    <row r="371" customFormat="false" ht="57.75" hidden="false" customHeight="true" outlineLevel="0" collapsed="false">
      <c r="A371" s="66" t="s">
        <v>2537</v>
      </c>
      <c r="B371" s="36" t="s">
        <v>3591</v>
      </c>
      <c r="C371" s="77" t="s">
        <v>3572</v>
      </c>
      <c r="D371" s="38" t="s">
        <v>3573</v>
      </c>
      <c r="E371" s="39" t="s">
        <v>3592</v>
      </c>
      <c r="F371" s="40" t="s">
        <v>146</v>
      </c>
      <c r="G371" s="41" t="s">
        <v>3593</v>
      </c>
      <c r="H371" s="42" t="s">
        <v>3594</v>
      </c>
      <c r="I371" s="43" t="s">
        <v>3595</v>
      </c>
      <c r="J371" s="44" t="s">
        <v>3596</v>
      </c>
      <c r="K371" s="45" t="s">
        <v>3597</v>
      </c>
      <c r="L371" s="46" t="s">
        <v>3598</v>
      </c>
      <c r="M371" s="47" t="s">
        <v>3599</v>
      </c>
    </row>
    <row r="372" customFormat="false" ht="57.75" hidden="false" customHeight="true" outlineLevel="0" collapsed="false">
      <c r="A372" s="66" t="s">
        <v>2537</v>
      </c>
      <c r="B372" s="36" t="s">
        <v>3600</v>
      </c>
      <c r="C372" s="77" t="s">
        <v>3572</v>
      </c>
      <c r="D372" s="38" t="s">
        <v>3601</v>
      </c>
      <c r="E372" s="39" t="s">
        <v>3602</v>
      </c>
      <c r="F372" s="40" t="s">
        <v>146</v>
      </c>
      <c r="G372" s="41" t="s">
        <v>3603</v>
      </c>
      <c r="H372" s="42" t="s">
        <v>3604</v>
      </c>
      <c r="I372" s="43" t="s">
        <v>3605</v>
      </c>
      <c r="J372" s="44" t="s">
        <v>3606</v>
      </c>
      <c r="K372" s="45" t="s">
        <v>3607</v>
      </c>
      <c r="L372" s="46" t="s">
        <v>3608</v>
      </c>
      <c r="M372" s="47" t="s">
        <v>3609</v>
      </c>
    </row>
    <row r="373" customFormat="false" ht="57.75" hidden="false" customHeight="true" outlineLevel="0" collapsed="false">
      <c r="A373" s="66" t="s">
        <v>2537</v>
      </c>
      <c r="B373" s="36" t="s">
        <v>3610</v>
      </c>
      <c r="C373" s="77" t="s">
        <v>3572</v>
      </c>
      <c r="D373" s="38" t="s">
        <v>3601</v>
      </c>
      <c r="E373" s="39" t="s">
        <v>3611</v>
      </c>
      <c r="F373" s="40" t="s">
        <v>146</v>
      </c>
      <c r="G373" s="41" t="s">
        <v>3612</v>
      </c>
      <c r="H373" s="42" t="s">
        <v>3613</v>
      </c>
      <c r="I373" s="43" t="s">
        <v>3614</v>
      </c>
      <c r="J373" s="44" t="s">
        <v>3615</v>
      </c>
      <c r="K373" s="45" t="s">
        <v>3616</v>
      </c>
      <c r="L373" s="46" t="s">
        <v>3617</v>
      </c>
      <c r="M373" s="47" t="s">
        <v>3618</v>
      </c>
    </row>
    <row r="374" customFormat="false" ht="57.75" hidden="false" customHeight="true" outlineLevel="0" collapsed="false">
      <c r="A374" s="66" t="s">
        <v>2537</v>
      </c>
      <c r="B374" s="36" t="s">
        <v>3619</v>
      </c>
      <c r="C374" s="77" t="s">
        <v>3572</v>
      </c>
      <c r="D374" s="38" t="s">
        <v>3620</v>
      </c>
      <c r="E374" s="39" t="s">
        <v>3621</v>
      </c>
      <c r="F374" s="40" t="s">
        <v>146</v>
      </c>
      <c r="G374" s="41" t="s">
        <v>3622</v>
      </c>
      <c r="H374" s="42" t="s">
        <v>3623</v>
      </c>
      <c r="I374" s="43" t="s">
        <v>3624</v>
      </c>
      <c r="J374" s="44" t="s">
        <v>3625</v>
      </c>
      <c r="K374" s="45" t="s">
        <v>3626</v>
      </c>
      <c r="L374" s="46" t="s">
        <v>3627</v>
      </c>
      <c r="M374" s="47" t="s">
        <v>3628</v>
      </c>
    </row>
    <row r="375" customFormat="false" ht="57.75" hidden="false" customHeight="true" outlineLevel="0" collapsed="false">
      <c r="A375" s="66" t="s">
        <v>2537</v>
      </c>
      <c r="B375" s="36" t="s">
        <v>3629</v>
      </c>
      <c r="C375" s="77" t="s">
        <v>3572</v>
      </c>
      <c r="D375" s="38" t="s">
        <v>3620</v>
      </c>
      <c r="E375" s="39" t="s">
        <v>3630</v>
      </c>
      <c r="F375" s="40" t="s">
        <v>146</v>
      </c>
      <c r="G375" s="41" t="s">
        <v>3631</v>
      </c>
      <c r="H375" s="42" t="s">
        <v>3632</v>
      </c>
      <c r="I375" s="43" t="s">
        <v>3633</v>
      </c>
      <c r="J375" s="44" t="s">
        <v>3634</v>
      </c>
      <c r="K375" s="45" t="s">
        <v>3635</v>
      </c>
      <c r="L375" s="46" t="s">
        <v>3636</v>
      </c>
      <c r="M375" s="47" t="s">
        <v>3637</v>
      </c>
    </row>
    <row r="376" customFormat="false" ht="57.75" hidden="false" customHeight="true" outlineLevel="0" collapsed="false">
      <c r="A376" s="66" t="s">
        <v>2537</v>
      </c>
      <c r="B376" s="36" t="s">
        <v>3638</v>
      </c>
      <c r="C376" s="77" t="s">
        <v>3572</v>
      </c>
      <c r="D376" s="38" t="s">
        <v>3639</v>
      </c>
      <c r="E376" s="39" t="s">
        <v>3640</v>
      </c>
      <c r="F376" s="40" t="s">
        <v>146</v>
      </c>
      <c r="G376" s="41" t="s">
        <v>3641</v>
      </c>
      <c r="H376" s="42" t="s">
        <v>3642</v>
      </c>
      <c r="I376" s="43" t="s">
        <v>3643</v>
      </c>
      <c r="J376" s="44" t="s">
        <v>3644</v>
      </c>
      <c r="K376" s="45" t="s">
        <v>3645</v>
      </c>
      <c r="L376" s="46" t="s">
        <v>3646</v>
      </c>
      <c r="M376" s="47" t="s">
        <v>3647</v>
      </c>
    </row>
    <row r="377" customFormat="false" ht="57.75" hidden="false" customHeight="true" outlineLevel="0" collapsed="false">
      <c r="A377" s="66" t="s">
        <v>2537</v>
      </c>
      <c r="B377" s="36" t="s">
        <v>3648</v>
      </c>
      <c r="C377" s="77" t="s">
        <v>3572</v>
      </c>
      <c r="D377" s="38" t="s">
        <v>3639</v>
      </c>
      <c r="E377" s="39" t="s">
        <v>3649</v>
      </c>
      <c r="F377" s="49" t="s">
        <v>538</v>
      </c>
      <c r="G377" s="41" t="s">
        <v>3650</v>
      </c>
      <c r="H377" s="42" t="s">
        <v>3651</v>
      </c>
      <c r="I377" s="43" t="s">
        <v>3652</v>
      </c>
      <c r="J377" s="44" t="s">
        <v>3653</v>
      </c>
      <c r="K377" s="45" t="s">
        <v>3654</v>
      </c>
      <c r="L377" s="46" t="s">
        <v>3655</v>
      </c>
      <c r="M377" s="47" t="s">
        <v>3656</v>
      </c>
    </row>
    <row r="378" customFormat="false" ht="57.75" hidden="false" customHeight="true" outlineLevel="0" collapsed="false">
      <c r="A378" s="66" t="s">
        <v>2537</v>
      </c>
      <c r="B378" s="36" t="s">
        <v>3657</v>
      </c>
      <c r="C378" s="77" t="s">
        <v>3572</v>
      </c>
      <c r="D378" s="38" t="s">
        <v>3639</v>
      </c>
      <c r="E378" s="39" t="s">
        <v>3658</v>
      </c>
      <c r="F378" s="40" t="s">
        <v>146</v>
      </c>
      <c r="G378" s="41" t="s">
        <v>3659</v>
      </c>
      <c r="H378" s="42" t="s">
        <v>3660</v>
      </c>
      <c r="I378" s="43" t="s">
        <v>3661</v>
      </c>
      <c r="J378" s="44" t="s">
        <v>3662</v>
      </c>
      <c r="K378" s="45" t="s">
        <v>3663</v>
      </c>
      <c r="L378" s="46" t="s">
        <v>3664</v>
      </c>
      <c r="M378" s="47" t="s">
        <v>3665</v>
      </c>
    </row>
    <row r="379" customFormat="false" ht="57.75" hidden="false" customHeight="true" outlineLevel="0" collapsed="false">
      <c r="A379" s="66" t="s">
        <v>2537</v>
      </c>
      <c r="B379" s="36" t="s">
        <v>3666</v>
      </c>
      <c r="C379" s="77" t="s">
        <v>3572</v>
      </c>
      <c r="D379" s="38" t="s">
        <v>1435</v>
      </c>
      <c r="E379" s="39" t="s">
        <v>3667</v>
      </c>
      <c r="F379" s="40" t="s">
        <v>146</v>
      </c>
      <c r="G379" s="41" t="s">
        <v>3668</v>
      </c>
      <c r="H379" s="42" t="s">
        <v>3669</v>
      </c>
      <c r="I379" s="43" t="s">
        <v>3670</v>
      </c>
      <c r="J379" s="44" t="s">
        <v>3671</v>
      </c>
      <c r="K379" s="45" t="s">
        <v>3672</v>
      </c>
      <c r="L379" s="46" t="s">
        <v>3673</v>
      </c>
      <c r="M379" s="47" t="s">
        <v>3674</v>
      </c>
    </row>
    <row r="380" customFormat="false" ht="57.75" hidden="false" customHeight="true" outlineLevel="0" collapsed="false">
      <c r="A380" s="66" t="s">
        <v>2537</v>
      </c>
      <c r="B380" s="36" t="s">
        <v>3675</v>
      </c>
      <c r="C380" s="77" t="s">
        <v>3572</v>
      </c>
      <c r="D380" s="38" t="s">
        <v>1435</v>
      </c>
      <c r="E380" s="39" t="s">
        <v>3676</v>
      </c>
      <c r="F380" s="49" t="s">
        <v>538</v>
      </c>
      <c r="G380" s="41" t="s">
        <v>3677</v>
      </c>
      <c r="H380" s="42" t="s">
        <v>3678</v>
      </c>
      <c r="I380" s="43" t="s">
        <v>3679</v>
      </c>
      <c r="J380" s="44" t="s">
        <v>3680</v>
      </c>
      <c r="K380" s="45" t="s">
        <v>3681</v>
      </c>
      <c r="L380" s="46" t="s">
        <v>3682</v>
      </c>
      <c r="M380" s="47" t="s">
        <v>3683</v>
      </c>
    </row>
    <row r="381" customFormat="false" ht="57.75" hidden="false" customHeight="true" outlineLevel="0" collapsed="false">
      <c r="A381" s="66" t="s">
        <v>2537</v>
      </c>
      <c r="B381" s="36" t="s">
        <v>3684</v>
      </c>
      <c r="C381" s="78" t="s">
        <v>3685</v>
      </c>
      <c r="D381" s="38" t="s">
        <v>3686</v>
      </c>
      <c r="E381" s="39" t="s">
        <v>3687</v>
      </c>
      <c r="F381" s="49" t="s">
        <v>538</v>
      </c>
      <c r="G381" s="41" t="s">
        <v>3688</v>
      </c>
      <c r="H381" s="42" t="s">
        <v>3689</v>
      </c>
      <c r="I381" s="43" t="s">
        <v>3690</v>
      </c>
      <c r="J381" s="44" t="s">
        <v>3691</v>
      </c>
      <c r="K381" s="45" t="s">
        <v>3692</v>
      </c>
      <c r="L381" s="46" t="s">
        <v>3693</v>
      </c>
      <c r="M381" s="47" t="s">
        <v>3694</v>
      </c>
    </row>
    <row r="382" customFormat="false" ht="57.75" hidden="false" customHeight="true" outlineLevel="0" collapsed="false">
      <c r="A382" s="66" t="s">
        <v>2537</v>
      </c>
      <c r="B382" s="36" t="s">
        <v>3695</v>
      </c>
      <c r="C382" s="78" t="s">
        <v>3685</v>
      </c>
      <c r="D382" s="38" t="s">
        <v>3686</v>
      </c>
      <c r="E382" s="39" t="s">
        <v>3696</v>
      </c>
      <c r="F382" s="49" t="s">
        <v>538</v>
      </c>
      <c r="G382" s="41" t="s">
        <v>3697</v>
      </c>
      <c r="H382" s="42" t="s">
        <v>3698</v>
      </c>
      <c r="I382" s="43" t="s">
        <v>3699</v>
      </c>
      <c r="J382" s="44" t="s">
        <v>3700</v>
      </c>
      <c r="K382" s="45" t="s">
        <v>3701</v>
      </c>
      <c r="L382" s="46" t="s">
        <v>3702</v>
      </c>
      <c r="M382" s="47" t="s">
        <v>3703</v>
      </c>
    </row>
    <row r="383" customFormat="false" ht="57.75" hidden="false" customHeight="true" outlineLevel="0" collapsed="false">
      <c r="A383" s="66" t="s">
        <v>2537</v>
      </c>
      <c r="B383" s="36" t="s">
        <v>3704</v>
      </c>
      <c r="C383" s="78" t="s">
        <v>3685</v>
      </c>
      <c r="D383" s="38" t="s">
        <v>3686</v>
      </c>
      <c r="E383" s="39" t="s">
        <v>3705</v>
      </c>
      <c r="F383" s="49" t="s">
        <v>538</v>
      </c>
      <c r="G383" s="41" t="s">
        <v>3706</v>
      </c>
      <c r="H383" s="42" t="s">
        <v>3707</v>
      </c>
      <c r="I383" s="43" t="s">
        <v>3708</v>
      </c>
      <c r="J383" s="44" t="s">
        <v>3709</v>
      </c>
      <c r="K383" s="45" t="s">
        <v>3710</v>
      </c>
      <c r="L383" s="46" t="s">
        <v>3711</v>
      </c>
      <c r="M383" s="47" t="s">
        <v>3712</v>
      </c>
    </row>
    <row r="384" customFormat="false" ht="57.75" hidden="false" customHeight="true" outlineLevel="0" collapsed="false">
      <c r="A384" s="66" t="s">
        <v>2537</v>
      </c>
      <c r="B384" s="36" t="s">
        <v>3713</v>
      </c>
      <c r="C384" s="78" t="s">
        <v>3685</v>
      </c>
      <c r="D384" s="38" t="s">
        <v>3686</v>
      </c>
      <c r="E384" s="39" t="s">
        <v>3714</v>
      </c>
      <c r="F384" s="40" t="s">
        <v>146</v>
      </c>
      <c r="G384" s="41" t="s">
        <v>3715</v>
      </c>
      <c r="H384" s="42" t="s">
        <v>3716</v>
      </c>
      <c r="I384" s="43" t="s">
        <v>3717</v>
      </c>
      <c r="J384" s="44" t="s">
        <v>3718</v>
      </c>
      <c r="K384" s="45" t="s">
        <v>3719</v>
      </c>
      <c r="L384" s="46" t="s">
        <v>3720</v>
      </c>
      <c r="M384" s="47" t="s">
        <v>3721</v>
      </c>
    </row>
    <row r="385" customFormat="false" ht="57.75" hidden="false" customHeight="true" outlineLevel="0" collapsed="false">
      <c r="A385" s="66" t="s">
        <v>2537</v>
      </c>
      <c r="B385" s="36" t="s">
        <v>3722</v>
      </c>
      <c r="C385" s="78" t="s">
        <v>3685</v>
      </c>
      <c r="D385" s="38" t="s">
        <v>3723</v>
      </c>
      <c r="E385" s="39" t="s">
        <v>3724</v>
      </c>
      <c r="F385" s="40" t="s">
        <v>146</v>
      </c>
      <c r="G385" s="41" t="s">
        <v>3725</v>
      </c>
      <c r="H385" s="42" t="s">
        <v>3726</v>
      </c>
      <c r="I385" s="43" t="s">
        <v>3727</v>
      </c>
      <c r="J385" s="44" t="s">
        <v>3728</v>
      </c>
      <c r="K385" s="45" t="s">
        <v>3729</v>
      </c>
      <c r="L385" s="46" t="s">
        <v>3730</v>
      </c>
      <c r="M385" s="47" t="s">
        <v>3731</v>
      </c>
    </row>
    <row r="386" customFormat="false" ht="57.75" hidden="false" customHeight="true" outlineLevel="0" collapsed="false">
      <c r="A386" s="66" t="s">
        <v>2537</v>
      </c>
      <c r="B386" s="36" t="s">
        <v>3732</v>
      </c>
      <c r="C386" s="78" t="s">
        <v>3685</v>
      </c>
      <c r="D386" s="38" t="s">
        <v>3733</v>
      </c>
      <c r="E386" s="39" t="s">
        <v>3734</v>
      </c>
      <c r="F386" s="40" t="s">
        <v>146</v>
      </c>
      <c r="G386" s="41" t="s">
        <v>3735</v>
      </c>
      <c r="H386" s="42" t="s">
        <v>3736</v>
      </c>
      <c r="I386" s="43" t="s">
        <v>3737</v>
      </c>
      <c r="J386" s="44" t="s">
        <v>3738</v>
      </c>
      <c r="K386" s="45" t="s">
        <v>3739</v>
      </c>
      <c r="L386" s="46" t="s">
        <v>3740</v>
      </c>
      <c r="M386" s="47" t="s">
        <v>3741</v>
      </c>
    </row>
    <row r="387" customFormat="false" ht="57.75" hidden="false" customHeight="true" outlineLevel="0" collapsed="false">
      <c r="A387" s="66" t="s">
        <v>2537</v>
      </c>
      <c r="B387" s="36" t="s">
        <v>3742</v>
      </c>
      <c r="C387" s="78" t="s">
        <v>3685</v>
      </c>
      <c r="D387" s="38" t="s">
        <v>3733</v>
      </c>
      <c r="E387" s="39" t="s">
        <v>3743</v>
      </c>
      <c r="F387" s="40" t="s">
        <v>146</v>
      </c>
      <c r="G387" s="41" t="s">
        <v>3744</v>
      </c>
      <c r="H387" s="42" t="s">
        <v>3745</v>
      </c>
      <c r="I387" s="43" t="s">
        <v>3746</v>
      </c>
      <c r="J387" s="44" t="s">
        <v>3747</v>
      </c>
      <c r="K387" s="45" t="s">
        <v>3748</v>
      </c>
      <c r="L387" s="46" t="s">
        <v>3749</v>
      </c>
      <c r="M387" s="47" t="s">
        <v>3750</v>
      </c>
    </row>
    <row r="388" customFormat="false" ht="57.75" hidden="false" customHeight="true" outlineLevel="0" collapsed="false">
      <c r="A388" s="66" t="s">
        <v>2537</v>
      </c>
      <c r="B388" s="36" t="s">
        <v>3751</v>
      </c>
      <c r="C388" s="78" t="s">
        <v>3685</v>
      </c>
      <c r="D388" s="38" t="s">
        <v>3733</v>
      </c>
      <c r="E388" s="39" t="s">
        <v>3752</v>
      </c>
      <c r="F388" s="40" t="s">
        <v>146</v>
      </c>
      <c r="G388" s="41" t="s">
        <v>3753</v>
      </c>
      <c r="H388" s="42" t="s">
        <v>3754</v>
      </c>
      <c r="I388" s="43" t="s">
        <v>3755</v>
      </c>
      <c r="J388" s="44" t="s">
        <v>3756</v>
      </c>
      <c r="K388" s="45" t="s">
        <v>3757</v>
      </c>
      <c r="L388" s="46" t="s">
        <v>3758</v>
      </c>
      <c r="M388" s="47" t="s">
        <v>3759</v>
      </c>
    </row>
    <row r="389" customFormat="false" ht="57.75" hidden="false" customHeight="true" outlineLevel="0" collapsed="false">
      <c r="A389" s="66" t="s">
        <v>2537</v>
      </c>
      <c r="B389" s="36" t="s">
        <v>3760</v>
      </c>
      <c r="C389" s="78" t="s">
        <v>3685</v>
      </c>
      <c r="D389" s="38" t="s">
        <v>3761</v>
      </c>
      <c r="E389" s="39" t="s">
        <v>3762</v>
      </c>
      <c r="F389" s="49" t="s">
        <v>538</v>
      </c>
      <c r="G389" s="41" t="s">
        <v>3763</v>
      </c>
      <c r="H389" s="42" t="s">
        <v>3764</v>
      </c>
      <c r="I389" s="43" t="s">
        <v>3765</v>
      </c>
      <c r="J389" s="44" t="s">
        <v>3766</v>
      </c>
      <c r="K389" s="45" t="s">
        <v>3767</v>
      </c>
      <c r="L389" s="46" t="s">
        <v>3768</v>
      </c>
      <c r="M389" s="47" t="s">
        <v>3769</v>
      </c>
    </row>
    <row r="390" customFormat="false" ht="57.75" hidden="false" customHeight="true" outlineLevel="0" collapsed="false">
      <c r="A390" s="66" t="s">
        <v>2537</v>
      </c>
      <c r="B390" s="36" t="s">
        <v>3770</v>
      </c>
      <c r="C390" s="78" t="s">
        <v>3685</v>
      </c>
      <c r="D390" s="38" t="s">
        <v>3761</v>
      </c>
      <c r="E390" s="39" t="s">
        <v>3771</v>
      </c>
      <c r="F390" s="49" t="s">
        <v>538</v>
      </c>
      <c r="G390" s="41" t="s">
        <v>3772</v>
      </c>
      <c r="H390" s="42" t="s">
        <v>3773</v>
      </c>
      <c r="I390" s="43" t="s">
        <v>3774</v>
      </c>
      <c r="J390" s="44" t="s">
        <v>3775</v>
      </c>
      <c r="K390" s="45" t="s">
        <v>3776</v>
      </c>
      <c r="L390" s="46" t="s">
        <v>3777</v>
      </c>
      <c r="M390" s="47" t="s">
        <v>3778</v>
      </c>
    </row>
    <row r="391" customFormat="false" ht="57.75" hidden="false" customHeight="true" outlineLevel="0" collapsed="false">
      <c r="A391" s="66" t="s">
        <v>2537</v>
      </c>
      <c r="B391" s="36" t="s">
        <v>3779</v>
      </c>
      <c r="C391" s="79" t="s">
        <v>3780</v>
      </c>
      <c r="D391" s="38" t="s">
        <v>3781</v>
      </c>
      <c r="E391" s="39" t="s">
        <v>3782</v>
      </c>
      <c r="F391" s="49" t="s">
        <v>538</v>
      </c>
      <c r="G391" s="41" t="s">
        <v>3783</v>
      </c>
      <c r="H391" s="42" t="s">
        <v>3784</v>
      </c>
      <c r="I391" s="43" t="s">
        <v>3785</v>
      </c>
      <c r="J391" s="44" t="s">
        <v>3786</v>
      </c>
      <c r="K391" s="45" t="s">
        <v>3787</v>
      </c>
      <c r="L391" s="46" t="s">
        <v>3788</v>
      </c>
      <c r="M391" s="47" t="s">
        <v>3789</v>
      </c>
    </row>
    <row r="392" customFormat="false" ht="57.75" hidden="false" customHeight="true" outlineLevel="0" collapsed="false">
      <c r="A392" s="66" t="s">
        <v>2537</v>
      </c>
      <c r="B392" s="36" t="s">
        <v>3790</v>
      </c>
      <c r="C392" s="79" t="s">
        <v>3780</v>
      </c>
      <c r="D392" s="38" t="s">
        <v>3781</v>
      </c>
      <c r="E392" s="39" t="s">
        <v>3791</v>
      </c>
      <c r="F392" s="49" t="s">
        <v>538</v>
      </c>
      <c r="G392" s="41" t="s">
        <v>3792</v>
      </c>
      <c r="H392" s="42" t="s">
        <v>3793</v>
      </c>
      <c r="I392" s="43" t="s">
        <v>3794</v>
      </c>
      <c r="J392" s="44" t="s">
        <v>3795</v>
      </c>
      <c r="K392" s="45" t="s">
        <v>3796</v>
      </c>
      <c r="L392" s="46" t="s">
        <v>3797</v>
      </c>
      <c r="M392" s="47" t="s">
        <v>3798</v>
      </c>
    </row>
    <row r="393" customFormat="false" ht="57.75" hidden="false" customHeight="true" outlineLevel="0" collapsed="false">
      <c r="A393" s="66" t="s">
        <v>2537</v>
      </c>
      <c r="B393" s="36" t="s">
        <v>3799</v>
      </c>
      <c r="C393" s="79" t="s">
        <v>3780</v>
      </c>
      <c r="D393" s="38" t="s">
        <v>3781</v>
      </c>
      <c r="E393" s="39" t="s">
        <v>3800</v>
      </c>
      <c r="F393" s="49" t="s">
        <v>538</v>
      </c>
      <c r="G393" s="41" t="s">
        <v>3801</v>
      </c>
      <c r="H393" s="42" t="s">
        <v>3802</v>
      </c>
      <c r="I393" s="43" t="s">
        <v>3803</v>
      </c>
      <c r="J393" s="44" t="s">
        <v>3804</v>
      </c>
      <c r="K393" s="45" t="s">
        <v>3805</v>
      </c>
      <c r="L393" s="46" t="s">
        <v>3806</v>
      </c>
      <c r="M393" s="47" t="s">
        <v>3807</v>
      </c>
    </row>
    <row r="394" customFormat="false" ht="57.75" hidden="false" customHeight="true" outlineLevel="0" collapsed="false">
      <c r="A394" s="66" t="s">
        <v>2537</v>
      </c>
      <c r="B394" s="36" t="s">
        <v>3808</v>
      </c>
      <c r="C394" s="79" t="s">
        <v>3780</v>
      </c>
      <c r="D394" s="38" t="s">
        <v>3809</v>
      </c>
      <c r="E394" s="39" t="s">
        <v>3810</v>
      </c>
      <c r="F394" s="40" t="s">
        <v>146</v>
      </c>
      <c r="G394" s="41" t="s">
        <v>3811</v>
      </c>
      <c r="H394" s="42" t="s">
        <v>3812</v>
      </c>
      <c r="I394" s="43" t="s">
        <v>3813</v>
      </c>
      <c r="J394" s="44" t="s">
        <v>3814</v>
      </c>
      <c r="K394" s="45" t="s">
        <v>3815</v>
      </c>
      <c r="L394" s="46" t="s">
        <v>3816</v>
      </c>
      <c r="M394" s="47" t="s">
        <v>3817</v>
      </c>
    </row>
    <row r="395" customFormat="false" ht="57.75" hidden="false" customHeight="true" outlineLevel="0" collapsed="false">
      <c r="A395" s="66" t="s">
        <v>2537</v>
      </c>
      <c r="B395" s="36" t="s">
        <v>3818</v>
      </c>
      <c r="C395" s="79" t="s">
        <v>3780</v>
      </c>
      <c r="D395" s="38" t="s">
        <v>3809</v>
      </c>
      <c r="E395" s="39" t="s">
        <v>3819</v>
      </c>
      <c r="F395" s="40" t="s">
        <v>146</v>
      </c>
      <c r="G395" s="41" t="s">
        <v>3820</v>
      </c>
      <c r="H395" s="42" t="s">
        <v>3821</v>
      </c>
      <c r="I395" s="43" t="s">
        <v>3822</v>
      </c>
      <c r="J395" s="44" t="s">
        <v>3823</v>
      </c>
      <c r="K395" s="45" t="s">
        <v>3824</v>
      </c>
      <c r="L395" s="46" t="s">
        <v>3825</v>
      </c>
      <c r="M395" s="47" t="s">
        <v>3826</v>
      </c>
    </row>
    <row r="396" customFormat="false" ht="57.75" hidden="false" customHeight="true" outlineLevel="0" collapsed="false">
      <c r="A396" s="66" t="s">
        <v>2537</v>
      </c>
      <c r="B396" s="36" t="s">
        <v>3827</v>
      </c>
      <c r="C396" s="79" t="s">
        <v>3780</v>
      </c>
      <c r="D396" s="38" t="s">
        <v>3809</v>
      </c>
      <c r="E396" s="39" t="s">
        <v>3828</v>
      </c>
      <c r="F396" s="40" t="s">
        <v>146</v>
      </c>
      <c r="G396" s="41" t="s">
        <v>3829</v>
      </c>
      <c r="H396" s="42" t="s">
        <v>3830</v>
      </c>
      <c r="I396" s="43" t="s">
        <v>3831</v>
      </c>
      <c r="J396" s="44" t="s">
        <v>3832</v>
      </c>
      <c r="K396" s="45" t="s">
        <v>3833</v>
      </c>
      <c r="L396" s="46" t="s">
        <v>3834</v>
      </c>
      <c r="M396" s="47" t="s">
        <v>3835</v>
      </c>
    </row>
    <row r="397" customFormat="false" ht="57.75" hidden="false" customHeight="true" outlineLevel="0" collapsed="false">
      <c r="A397" s="66" t="s">
        <v>2537</v>
      </c>
      <c r="B397" s="36" t="s">
        <v>3836</v>
      </c>
      <c r="C397" s="79" t="s">
        <v>3780</v>
      </c>
      <c r="D397" s="38" t="s">
        <v>3837</v>
      </c>
      <c r="E397" s="39" t="s">
        <v>3838</v>
      </c>
      <c r="F397" s="40" t="s">
        <v>146</v>
      </c>
      <c r="G397" s="41" t="s">
        <v>3839</v>
      </c>
      <c r="H397" s="42" t="s">
        <v>3840</v>
      </c>
      <c r="I397" s="43" t="s">
        <v>3841</v>
      </c>
      <c r="J397" s="44" t="s">
        <v>3842</v>
      </c>
      <c r="K397" s="45" t="s">
        <v>3843</v>
      </c>
      <c r="L397" s="46" t="s">
        <v>3844</v>
      </c>
      <c r="M397" s="47" t="s">
        <v>3845</v>
      </c>
    </row>
    <row r="398" customFormat="false" ht="57.75" hidden="false" customHeight="true" outlineLevel="0" collapsed="false">
      <c r="A398" s="66" t="s">
        <v>2537</v>
      </c>
      <c r="B398" s="36" t="s">
        <v>3846</v>
      </c>
      <c r="C398" s="79" t="s">
        <v>3780</v>
      </c>
      <c r="D398" s="38" t="s">
        <v>3837</v>
      </c>
      <c r="E398" s="39" t="s">
        <v>3847</v>
      </c>
      <c r="F398" s="40" t="s">
        <v>146</v>
      </c>
      <c r="G398" s="41" t="s">
        <v>3848</v>
      </c>
      <c r="H398" s="42" t="s">
        <v>3849</v>
      </c>
      <c r="I398" s="43" t="s">
        <v>3850</v>
      </c>
      <c r="J398" s="44" t="s">
        <v>3851</v>
      </c>
      <c r="K398" s="45" t="s">
        <v>3852</v>
      </c>
      <c r="L398" s="46" t="s">
        <v>3853</v>
      </c>
      <c r="M398" s="47" t="s">
        <v>3854</v>
      </c>
    </row>
    <row r="399" customFormat="false" ht="57.75" hidden="false" customHeight="true" outlineLevel="0" collapsed="false">
      <c r="A399" s="66" t="s">
        <v>2537</v>
      </c>
      <c r="B399" s="36" t="s">
        <v>3855</v>
      </c>
      <c r="C399" s="79" t="s">
        <v>3780</v>
      </c>
      <c r="D399" s="38" t="s">
        <v>3856</v>
      </c>
      <c r="E399" s="39" t="s">
        <v>3857</v>
      </c>
      <c r="F399" s="40" t="s">
        <v>146</v>
      </c>
      <c r="G399" s="41" t="s">
        <v>3858</v>
      </c>
      <c r="H399" s="42" t="s">
        <v>3859</v>
      </c>
      <c r="I399" s="43" t="s">
        <v>3860</v>
      </c>
      <c r="J399" s="44" t="s">
        <v>3861</v>
      </c>
      <c r="K399" s="45" t="s">
        <v>3862</v>
      </c>
      <c r="L399" s="46" t="s">
        <v>3863</v>
      </c>
      <c r="M399" s="47" t="s">
        <v>3864</v>
      </c>
    </row>
    <row r="400" customFormat="false" ht="57.75" hidden="false" customHeight="true" outlineLevel="0" collapsed="false">
      <c r="A400" s="66" t="s">
        <v>2537</v>
      </c>
      <c r="B400" s="36" t="s">
        <v>3865</v>
      </c>
      <c r="C400" s="79" t="s">
        <v>3780</v>
      </c>
      <c r="D400" s="38" t="s">
        <v>3856</v>
      </c>
      <c r="E400" s="39" t="s">
        <v>3866</v>
      </c>
      <c r="F400" s="40" t="s">
        <v>146</v>
      </c>
      <c r="G400" s="41" t="s">
        <v>3867</v>
      </c>
      <c r="H400" s="42" t="s">
        <v>3868</v>
      </c>
      <c r="I400" s="43" t="s">
        <v>3869</v>
      </c>
      <c r="J400" s="44" t="s">
        <v>3870</v>
      </c>
      <c r="K400" s="45" t="s">
        <v>3871</v>
      </c>
      <c r="L400" s="46" t="s">
        <v>3872</v>
      </c>
      <c r="M400" s="47" t="s">
        <v>3873</v>
      </c>
    </row>
    <row r="401" customFormat="false" ht="57.75" hidden="false" customHeight="true" outlineLevel="0" collapsed="false">
      <c r="A401" s="66" t="s">
        <v>2537</v>
      </c>
      <c r="B401" s="36" t="s">
        <v>3874</v>
      </c>
      <c r="C401" s="80" t="s">
        <v>3875</v>
      </c>
      <c r="D401" s="38" t="s">
        <v>3876</v>
      </c>
      <c r="E401" s="39" t="s">
        <v>3877</v>
      </c>
      <c r="F401" s="49" t="s">
        <v>538</v>
      </c>
      <c r="G401" s="41" t="s">
        <v>3878</v>
      </c>
      <c r="H401" s="42" t="s">
        <v>3879</v>
      </c>
      <c r="I401" s="43" t="s">
        <v>3880</v>
      </c>
      <c r="J401" s="44" t="s">
        <v>3881</v>
      </c>
      <c r="K401" s="45" t="s">
        <v>3882</v>
      </c>
      <c r="L401" s="46" t="s">
        <v>3883</v>
      </c>
      <c r="M401" s="47" t="s">
        <v>3884</v>
      </c>
    </row>
    <row r="402" customFormat="false" ht="57.75" hidden="false" customHeight="true" outlineLevel="0" collapsed="false">
      <c r="A402" s="66" t="s">
        <v>2537</v>
      </c>
      <c r="B402" s="36" t="s">
        <v>3885</v>
      </c>
      <c r="C402" s="80" t="s">
        <v>3875</v>
      </c>
      <c r="D402" s="38" t="s">
        <v>3876</v>
      </c>
      <c r="E402" s="39" t="s">
        <v>3886</v>
      </c>
      <c r="F402" s="40" t="s">
        <v>146</v>
      </c>
      <c r="G402" s="41" t="s">
        <v>3887</v>
      </c>
      <c r="H402" s="42" t="s">
        <v>3888</v>
      </c>
      <c r="I402" s="43" t="s">
        <v>3889</v>
      </c>
      <c r="J402" s="44" t="s">
        <v>3890</v>
      </c>
      <c r="K402" s="45" t="s">
        <v>3891</v>
      </c>
      <c r="L402" s="46" t="s">
        <v>3892</v>
      </c>
      <c r="M402" s="47" t="s">
        <v>3893</v>
      </c>
    </row>
    <row r="403" customFormat="false" ht="57.75" hidden="false" customHeight="true" outlineLevel="0" collapsed="false">
      <c r="A403" s="66" t="s">
        <v>2537</v>
      </c>
      <c r="B403" s="36" t="s">
        <v>3894</v>
      </c>
      <c r="C403" s="80" t="s">
        <v>3875</v>
      </c>
      <c r="D403" s="38" t="s">
        <v>3876</v>
      </c>
      <c r="E403" s="39" t="s">
        <v>3895</v>
      </c>
      <c r="F403" s="40" t="s">
        <v>146</v>
      </c>
      <c r="G403" s="41" t="s">
        <v>3896</v>
      </c>
      <c r="H403" s="42" t="s">
        <v>3897</v>
      </c>
      <c r="I403" s="43" t="s">
        <v>3898</v>
      </c>
      <c r="J403" s="44" t="s">
        <v>3899</v>
      </c>
      <c r="K403" s="45" t="s">
        <v>3900</v>
      </c>
      <c r="L403" s="46" t="s">
        <v>3901</v>
      </c>
      <c r="M403" s="47" t="s">
        <v>3902</v>
      </c>
    </row>
    <row r="404" customFormat="false" ht="57.75" hidden="false" customHeight="true" outlineLevel="0" collapsed="false">
      <c r="A404" s="66" t="s">
        <v>2537</v>
      </c>
      <c r="B404" s="36" t="s">
        <v>3903</v>
      </c>
      <c r="C404" s="80" t="s">
        <v>3875</v>
      </c>
      <c r="D404" s="38" t="s">
        <v>3904</v>
      </c>
      <c r="E404" s="39" t="s">
        <v>3905</v>
      </c>
      <c r="F404" s="49" t="s">
        <v>538</v>
      </c>
      <c r="G404" s="41" t="s">
        <v>3906</v>
      </c>
      <c r="H404" s="42" t="s">
        <v>3907</v>
      </c>
      <c r="I404" s="43" t="s">
        <v>3908</v>
      </c>
      <c r="J404" s="44" t="s">
        <v>3909</v>
      </c>
      <c r="K404" s="45" t="s">
        <v>3910</v>
      </c>
      <c r="L404" s="46" t="s">
        <v>3911</v>
      </c>
      <c r="M404" s="47" t="s">
        <v>3912</v>
      </c>
    </row>
    <row r="405" customFormat="false" ht="57.75" hidden="false" customHeight="true" outlineLevel="0" collapsed="false">
      <c r="A405" s="66" t="s">
        <v>2537</v>
      </c>
      <c r="B405" s="36" t="s">
        <v>3913</v>
      </c>
      <c r="C405" s="80" t="s">
        <v>3875</v>
      </c>
      <c r="D405" s="38" t="s">
        <v>3904</v>
      </c>
      <c r="E405" s="39" t="s">
        <v>3914</v>
      </c>
      <c r="F405" s="40" t="s">
        <v>146</v>
      </c>
      <c r="G405" s="41" t="s">
        <v>3915</v>
      </c>
      <c r="H405" s="42" t="s">
        <v>3916</v>
      </c>
      <c r="I405" s="43" t="s">
        <v>3917</v>
      </c>
      <c r="J405" s="44" t="s">
        <v>3918</v>
      </c>
      <c r="K405" s="45" t="s">
        <v>3919</v>
      </c>
      <c r="L405" s="46" t="s">
        <v>3920</v>
      </c>
      <c r="M405" s="47" t="s">
        <v>3921</v>
      </c>
    </row>
    <row r="406" customFormat="false" ht="57.75" hidden="false" customHeight="true" outlineLevel="0" collapsed="false">
      <c r="A406" s="66" t="s">
        <v>2537</v>
      </c>
      <c r="B406" s="36" t="s">
        <v>3922</v>
      </c>
      <c r="C406" s="80" t="s">
        <v>3875</v>
      </c>
      <c r="D406" s="38" t="s">
        <v>3904</v>
      </c>
      <c r="E406" s="39" t="s">
        <v>3923</v>
      </c>
      <c r="F406" s="40" t="s">
        <v>146</v>
      </c>
      <c r="G406" s="41" t="s">
        <v>3924</v>
      </c>
      <c r="H406" s="42" t="s">
        <v>3925</v>
      </c>
      <c r="I406" s="43" t="s">
        <v>3926</v>
      </c>
      <c r="J406" s="44" t="s">
        <v>3927</v>
      </c>
      <c r="K406" s="45" t="s">
        <v>3928</v>
      </c>
      <c r="L406" s="46" t="s">
        <v>3929</v>
      </c>
      <c r="M406" s="47" t="s">
        <v>3930</v>
      </c>
    </row>
    <row r="407" customFormat="false" ht="57.75" hidden="false" customHeight="true" outlineLevel="0" collapsed="false">
      <c r="A407" s="66" t="s">
        <v>2537</v>
      </c>
      <c r="B407" s="36" t="s">
        <v>3931</v>
      </c>
      <c r="C407" s="80" t="s">
        <v>3875</v>
      </c>
      <c r="D407" s="38" t="s">
        <v>3932</v>
      </c>
      <c r="E407" s="39" t="s">
        <v>3933</v>
      </c>
      <c r="F407" s="40" t="s">
        <v>146</v>
      </c>
      <c r="G407" s="41" t="s">
        <v>3934</v>
      </c>
      <c r="H407" s="42" t="s">
        <v>3935</v>
      </c>
      <c r="I407" s="43" t="s">
        <v>3936</v>
      </c>
      <c r="J407" s="44" t="s">
        <v>3937</v>
      </c>
      <c r="K407" s="45" t="s">
        <v>3938</v>
      </c>
      <c r="L407" s="46" t="s">
        <v>3939</v>
      </c>
      <c r="M407" s="47" t="s">
        <v>3940</v>
      </c>
    </row>
    <row r="408" customFormat="false" ht="57.75" hidden="false" customHeight="true" outlineLevel="0" collapsed="false">
      <c r="A408" s="66" t="s">
        <v>2537</v>
      </c>
      <c r="B408" s="36" t="s">
        <v>3941</v>
      </c>
      <c r="C408" s="80" t="s">
        <v>3875</v>
      </c>
      <c r="D408" s="38" t="s">
        <v>3932</v>
      </c>
      <c r="E408" s="39" t="s">
        <v>3942</v>
      </c>
      <c r="F408" s="40" t="s">
        <v>146</v>
      </c>
      <c r="G408" s="41" t="s">
        <v>3943</v>
      </c>
      <c r="H408" s="42" t="s">
        <v>3944</v>
      </c>
      <c r="I408" s="43" t="s">
        <v>3945</v>
      </c>
      <c r="J408" s="44" t="s">
        <v>3946</v>
      </c>
      <c r="K408" s="45" t="s">
        <v>3947</v>
      </c>
      <c r="L408" s="46" t="s">
        <v>3948</v>
      </c>
      <c r="M408" s="47" t="s">
        <v>3949</v>
      </c>
    </row>
    <row r="409" customFormat="false" ht="57.75" hidden="false" customHeight="true" outlineLevel="0" collapsed="false">
      <c r="A409" s="66" t="s">
        <v>2537</v>
      </c>
      <c r="B409" s="36" t="s">
        <v>3950</v>
      </c>
      <c r="C409" s="81" t="s">
        <v>3951</v>
      </c>
      <c r="D409" s="38" t="s">
        <v>3952</v>
      </c>
      <c r="E409" s="39" t="s">
        <v>3953</v>
      </c>
      <c r="F409" s="40" t="s">
        <v>146</v>
      </c>
      <c r="G409" s="41" t="s">
        <v>3954</v>
      </c>
      <c r="H409" s="42" t="s">
        <v>3955</v>
      </c>
      <c r="I409" s="43" t="s">
        <v>3956</v>
      </c>
      <c r="J409" s="44" t="s">
        <v>3957</v>
      </c>
      <c r="K409" s="45" t="s">
        <v>3958</v>
      </c>
      <c r="L409" s="46" t="s">
        <v>3959</v>
      </c>
      <c r="M409" s="47" t="s">
        <v>3960</v>
      </c>
    </row>
    <row r="410" customFormat="false" ht="57.75" hidden="false" customHeight="true" outlineLevel="0" collapsed="false">
      <c r="A410" s="66" t="s">
        <v>2537</v>
      </c>
      <c r="B410" s="36" t="s">
        <v>3961</v>
      </c>
      <c r="C410" s="81" t="s">
        <v>3951</v>
      </c>
      <c r="D410" s="38" t="s">
        <v>3952</v>
      </c>
      <c r="E410" s="39" t="s">
        <v>3962</v>
      </c>
      <c r="F410" s="40" t="s">
        <v>146</v>
      </c>
      <c r="G410" s="41" t="s">
        <v>3963</v>
      </c>
      <c r="H410" s="42" t="s">
        <v>3964</v>
      </c>
      <c r="I410" s="43" t="s">
        <v>3965</v>
      </c>
      <c r="J410" s="44" t="s">
        <v>3966</v>
      </c>
      <c r="K410" s="45" t="s">
        <v>3967</v>
      </c>
      <c r="L410" s="46" t="s">
        <v>3968</v>
      </c>
      <c r="M410" s="47" t="s">
        <v>3969</v>
      </c>
    </row>
    <row r="411" customFormat="false" ht="57.75" hidden="false" customHeight="true" outlineLevel="0" collapsed="false">
      <c r="A411" s="66" t="s">
        <v>2537</v>
      </c>
      <c r="B411" s="36" t="s">
        <v>3970</v>
      </c>
      <c r="C411" s="81" t="s">
        <v>3951</v>
      </c>
      <c r="D411" s="38" t="s">
        <v>3952</v>
      </c>
      <c r="E411" s="39" t="s">
        <v>3971</v>
      </c>
      <c r="F411" s="49" t="s">
        <v>538</v>
      </c>
      <c r="G411" s="41" t="s">
        <v>3972</v>
      </c>
      <c r="H411" s="42" t="s">
        <v>3973</v>
      </c>
      <c r="I411" s="43" t="s">
        <v>3974</v>
      </c>
      <c r="J411" s="44" t="s">
        <v>3975</v>
      </c>
      <c r="K411" s="45" t="s">
        <v>3976</v>
      </c>
      <c r="L411" s="46" t="s">
        <v>3977</v>
      </c>
      <c r="M411" s="47" t="s">
        <v>3978</v>
      </c>
    </row>
    <row r="412" customFormat="false" ht="57.75" hidden="false" customHeight="true" outlineLevel="0" collapsed="false">
      <c r="A412" s="66" t="s">
        <v>2537</v>
      </c>
      <c r="B412" s="36" t="s">
        <v>3979</v>
      </c>
      <c r="C412" s="81" t="s">
        <v>3951</v>
      </c>
      <c r="D412" s="38" t="s">
        <v>3952</v>
      </c>
      <c r="E412" s="39" t="s">
        <v>3980</v>
      </c>
      <c r="F412" s="40" t="s">
        <v>146</v>
      </c>
      <c r="G412" s="41" t="s">
        <v>3981</v>
      </c>
      <c r="H412" s="42" t="s">
        <v>3982</v>
      </c>
      <c r="I412" s="43" t="s">
        <v>3983</v>
      </c>
      <c r="J412" s="44" t="s">
        <v>3984</v>
      </c>
      <c r="K412" s="45" t="s">
        <v>3985</v>
      </c>
      <c r="L412" s="46" t="s">
        <v>3986</v>
      </c>
      <c r="M412" s="47" t="s">
        <v>3987</v>
      </c>
    </row>
    <row r="413" customFormat="false" ht="57.75" hidden="false" customHeight="true" outlineLevel="0" collapsed="false">
      <c r="A413" s="66" t="s">
        <v>2537</v>
      </c>
      <c r="B413" s="36" t="s">
        <v>3988</v>
      </c>
      <c r="C413" s="81" t="s">
        <v>3951</v>
      </c>
      <c r="D413" s="38" t="s">
        <v>3989</v>
      </c>
      <c r="E413" s="39" t="s">
        <v>3990</v>
      </c>
      <c r="F413" s="40" t="s">
        <v>146</v>
      </c>
      <c r="G413" s="41" t="s">
        <v>3991</v>
      </c>
      <c r="H413" s="42" t="s">
        <v>3992</v>
      </c>
      <c r="I413" s="43" t="s">
        <v>3993</v>
      </c>
      <c r="J413" s="44" t="s">
        <v>3994</v>
      </c>
      <c r="K413" s="45" t="s">
        <v>3995</v>
      </c>
      <c r="L413" s="46" t="s">
        <v>3996</v>
      </c>
      <c r="M413" s="47" t="s">
        <v>3997</v>
      </c>
    </row>
    <row r="414" customFormat="false" ht="57.75" hidden="false" customHeight="true" outlineLevel="0" collapsed="false">
      <c r="A414" s="66" t="s">
        <v>2537</v>
      </c>
      <c r="B414" s="36" t="s">
        <v>3998</v>
      </c>
      <c r="C414" s="81" t="s">
        <v>3951</v>
      </c>
      <c r="D414" s="38" t="s">
        <v>3989</v>
      </c>
      <c r="E414" s="39" t="s">
        <v>3999</v>
      </c>
      <c r="F414" s="40" t="s">
        <v>146</v>
      </c>
      <c r="G414" s="41" t="s">
        <v>4000</v>
      </c>
      <c r="H414" s="42" t="s">
        <v>4001</v>
      </c>
      <c r="I414" s="43" t="s">
        <v>4002</v>
      </c>
      <c r="J414" s="44" t="s">
        <v>4003</v>
      </c>
      <c r="K414" s="45" t="s">
        <v>4004</v>
      </c>
      <c r="L414" s="46" t="s">
        <v>4005</v>
      </c>
      <c r="M414" s="47" t="s">
        <v>4006</v>
      </c>
    </row>
    <row r="415" customFormat="false" ht="57.75" hidden="false" customHeight="true" outlineLevel="0" collapsed="false">
      <c r="A415" s="66" t="s">
        <v>2537</v>
      </c>
      <c r="B415" s="36" t="s">
        <v>4007</v>
      </c>
      <c r="C415" s="81" t="s">
        <v>3951</v>
      </c>
      <c r="D415" s="38" t="s">
        <v>4008</v>
      </c>
      <c r="E415" s="39" t="s">
        <v>4009</v>
      </c>
      <c r="F415" s="40" t="s">
        <v>146</v>
      </c>
      <c r="G415" s="41" t="s">
        <v>4010</v>
      </c>
      <c r="H415" s="42" t="s">
        <v>4011</v>
      </c>
      <c r="I415" s="43" t="s">
        <v>4012</v>
      </c>
      <c r="J415" s="44" t="s">
        <v>4013</v>
      </c>
      <c r="K415" s="45" t="s">
        <v>4014</v>
      </c>
      <c r="L415" s="46" t="s">
        <v>4015</v>
      </c>
      <c r="M415" s="47" t="s">
        <v>4016</v>
      </c>
    </row>
    <row r="416" customFormat="false" ht="57.75" hidden="false" customHeight="true" outlineLevel="0" collapsed="false">
      <c r="A416" s="66" t="s">
        <v>2537</v>
      </c>
      <c r="B416" s="36" t="s">
        <v>4017</v>
      </c>
      <c r="C416" s="81" t="s">
        <v>3951</v>
      </c>
      <c r="D416" s="38" t="s">
        <v>4008</v>
      </c>
      <c r="E416" s="39" t="s">
        <v>4018</v>
      </c>
      <c r="F416" s="40" t="s">
        <v>146</v>
      </c>
      <c r="G416" s="41" t="s">
        <v>4019</v>
      </c>
      <c r="H416" s="42" t="s">
        <v>4020</v>
      </c>
      <c r="I416" s="43" t="s">
        <v>4021</v>
      </c>
      <c r="J416" s="44" t="s">
        <v>4022</v>
      </c>
      <c r="K416" s="45" t="s">
        <v>4023</v>
      </c>
      <c r="L416" s="46" t="s">
        <v>4024</v>
      </c>
      <c r="M416" s="47" t="s">
        <v>4025</v>
      </c>
    </row>
    <row r="417" customFormat="false" ht="57.75" hidden="false" customHeight="true" outlineLevel="0" collapsed="false">
      <c r="A417" s="66" t="s">
        <v>2537</v>
      </c>
      <c r="B417" s="36" t="s">
        <v>4026</v>
      </c>
      <c r="C417" s="81" t="s">
        <v>3951</v>
      </c>
      <c r="D417" s="38" t="s">
        <v>4008</v>
      </c>
      <c r="E417" s="39" t="s">
        <v>4027</v>
      </c>
      <c r="F417" s="40" t="s">
        <v>146</v>
      </c>
      <c r="G417" s="41" t="s">
        <v>4028</v>
      </c>
      <c r="H417" s="42" t="s">
        <v>4029</v>
      </c>
      <c r="I417" s="43" t="s">
        <v>4030</v>
      </c>
      <c r="J417" s="44" t="s">
        <v>4031</v>
      </c>
      <c r="K417" s="45" t="s">
        <v>4032</v>
      </c>
      <c r="L417" s="46" t="s">
        <v>4033</v>
      </c>
      <c r="M417" s="47" t="s">
        <v>4034</v>
      </c>
    </row>
    <row r="418" customFormat="false" ht="57.75" hidden="false" customHeight="true" outlineLevel="0" collapsed="false">
      <c r="A418" s="66" t="s">
        <v>2537</v>
      </c>
      <c r="B418" s="36" t="s">
        <v>4035</v>
      </c>
      <c r="C418" s="81" t="s">
        <v>3951</v>
      </c>
      <c r="D418" s="38" t="s">
        <v>4008</v>
      </c>
      <c r="E418" s="39" t="s">
        <v>4036</v>
      </c>
      <c r="F418" s="40" t="s">
        <v>146</v>
      </c>
      <c r="G418" s="41" t="s">
        <v>4037</v>
      </c>
      <c r="H418" s="42" t="s">
        <v>4038</v>
      </c>
      <c r="I418" s="43" t="s">
        <v>4039</v>
      </c>
      <c r="J418" s="44" t="s">
        <v>4040</v>
      </c>
      <c r="K418" s="45" t="s">
        <v>4041</v>
      </c>
      <c r="L418" s="46" t="s">
        <v>4042</v>
      </c>
      <c r="M418" s="47" t="s">
        <v>4043</v>
      </c>
    </row>
    <row r="419" customFormat="false" ht="57.75" hidden="false" customHeight="true" outlineLevel="0" collapsed="false">
      <c r="A419" s="66" t="s">
        <v>2537</v>
      </c>
      <c r="B419" s="36" t="s">
        <v>4044</v>
      </c>
      <c r="C419" s="81" t="s">
        <v>3951</v>
      </c>
      <c r="D419" s="38" t="s">
        <v>4045</v>
      </c>
      <c r="E419" s="39" t="s">
        <v>4046</v>
      </c>
      <c r="F419" s="40" t="s">
        <v>146</v>
      </c>
      <c r="G419" s="41" t="s">
        <v>4047</v>
      </c>
      <c r="H419" s="42" t="s">
        <v>4048</v>
      </c>
      <c r="I419" s="43" t="s">
        <v>4049</v>
      </c>
      <c r="J419" s="44" t="s">
        <v>4050</v>
      </c>
      <c r="K419" s="45" t="s">
        <v>4051</v>
      </c>
      <c r="L419" s="46" t="s">
        <v>4052</v>
      </c>
      <c r="M419" s="47" t="s">
        <v>4053</v>
      </c>
    </row>
    <row r="420" customFormat="false" ht="57.75" hidden="false" customHeight="true" outlineLevel="0" collapsed="false">
      <c r="A420" s="66" t="s">
        <v>2537</v>
      </c>
      <c r="B420" s="36" t="s">
        <v>4054</v>
      </c>
      <c r="C420" s="81" t="s">
        <v>3951</v>
      </c>
      <c r="D420" s="38" t="s">
        <v>4045</v>
      </c>
      <c r="E420" s="39" t="s">
        <v>4055</v>
      </c>
      <c r="F420" s="40" t="s">
        <v>146</v>
      </c>
      <c r="G420" s="41" t="s">
        <v>4056</v>
      </c>
      <c r="H420" s="42" t="s">
        <v>4057</v>
      </c>
      <c r="I420" s="43" t="s">
        <v>4058</v>
      </c>
      <c r="J420" s="44" t="s">
        <v>4059</v>
      </c>
      <c r="K420" s="45" t="s">
        <v>4060</v>
      </c>
      <c r="L420" s="46" t="s">
        <v>4061</v>
      </c>
      <c r="M420" s="47" t="s">
        <v>4062</v>
      </c>
    </row>
    <row r="421" customFormat="false" ht="57.75" hidden="false" customHeight="true" outlineLevel="0" collapsed="false">
      <c r="A421" s="66" t="s">
        <v>2537</v>
      </c>
      <c r="B421" s="36" t="s">
        <v>4063</v>
      </c>
      <c r="C421" s="81" t="s">
        <v>3951</v>
      </c>
      <c r="D421" s="38" t="s">
        <v>4045</v>
      </c>
      <c r="E421" s="39" t="s">
        <v>4064</v>
      </c>
      <c r="F421" s="40" t="s">
        <v>146</v>
      </c>
      <c r="G421" s="41" t="s">
        <v>4065</v>
      </c>
      <c r="H421" s="42" t="s">
        <v>4066</v>
      </c>
      <c r="I421" s="43" t="s">
        <v>4067</v>
      </c>
      <c r="J421" s="44" t="s">
        <v>4068</v>
      </c>
      <c r="K421" s="45" t="s">
        <v>4069</v>
      </c>
      <c r="L421" s="46" t="s">
        <v>4070</v>
      </c>
      <c r="M421" s="47" t="s">
        <v>4071</v>
      </c>
    </row>
    <row r="422" customFormat="false" ht="57.75" hidden="false" customHeight="true" outlineLevel="0" collapsed="false">
      <c r="A422" s="66" t="s">
        <v>2537</v>
      </c>
      <c r="B422" s="36" t="s">
        <v>4072</v>
      </c>
      <c r="C422" s="81" t="s">
        <v>3951</v>
      </c>
      <c r="D422" s="38" t="s">
        <v>4073</v>
      </c>
      <c r="E422" s="39" t="s">
        <v>4074</v>
      </c>
      <c r="F422" s="40" t="s">
        <v>146</v>
      </c>
      <c r="G422" s="41" t="s">
        <v>4075</v>
      </c>
      <c r="H422" s="42" t="s">
        <v>4076</v>
      </c>
      <c r="I422" s="43" t="s">
        <v>4077</v>
      </c>
      <c r="J422" s="44" t="s">
        <v>4078</v>
      </c>
      <c r="K422" s="45" t="s">
        <v>4079</v>
      </c>
      <c r="L422" s="46" t="s">
        <v>4080</v>
      </c>
      <c r="M422" s="47" t="s">
        <v>4081</v>
      </c>
    </row>
    <row r="423" customFormat="false" ht="57.75" hidden="false" customHeight="true" outlineLevel="0" collapsed="false">
      <c r="A423" s="66" t="s">
        <v>2537</v>
      </c>
      <c r="B423" s="36" t="s">
        <v>4082</v>
      </c>
      <c r="C423" s="81" t="s">
        <v>3951</v>
      </c>
      <c r="D423" s="38" t="s">
        <v>4073</v>
      </c>
      <c r="E423" s="39" t="s">
        <v>4083</v>
      </c>
      <c r="F423" s="49" t="s">
        <v>538</v>
      </c>
      <c r="G423" s="41" t="s">
        <v>4084</v>
      </c>
      <c r="H423" s="42" t="s">
        <v>4085</v>
      </c>
      <c r="I423" s="43" t="s">
        <v>4086</v>
      </c>
      <c r="J423" s="44" t="s">
        <v>4087</v>
      </c>
      <c r="K423" s="45" t="s">
        <v>4088</v>
      </c>
      <c r="L423" s="46" t="s">
        <v>4089</v>
      </c>
      <c r="M423" s="47" t="s">
        <v>4090</v>
      </c>
    </row>
    <row r="424" customFormat="false" ht="57.75" hidden="false" customHeight="true" outlineLevel="0" collapsed="false">
      <c r="A424" s="66" t="s">
        <v>2537</v>
      </c>
      <c r="B424" s="36" t="s">
        <v>4091</v>
      </c>
      <c r="C424" s="82" t="s">
        <v>4092</v>
      </c>
      <c r="D424" s="38" t="s">
        <v>4093</v>
      </c>
      <c r="E424" s="39" t="s">
        <v>4094</v>
      </c>
      <c r="F424" s="40" t="s">
        <v>146</v>
      </c>
      <c r="G424" s="41" t="s">
        <v>4095</v>
      </c>
      <c r="H424" s="42" t="s">
        <v>4096</v>
      </c>
      <c r="I424" s="43" t="s">
        <v>4097</v>
      </c>
      <c r="J424" s="44" t="s">
        <v>4098</v>
      </c>
      <c r="K424" s="45" t="s">
        <v>4099</v>
      </c>
      <c r="L424" s="46" t="s">
        <v>4100</v>
      </c>
      <c r="M424" s="47" t="s">
        <v>4101</v>
      </c>
    </row>
    <row r="425" customFormat="false" ht="57.75" hidden="false" customHeight="true" outlineLevel="0" collapsed="false">
      <c r="A425" s="66" t="s">
        <v>2537</v>
      </c>
      <c r="B425" s="36" t="s">
        <v>4102</v>
      </c>
      <c r="C425" s="82" t="s">
        <v>4092</v>
      </c>
      <c r="D425" s="38" t="s">
        <v>4093</v>
      </c>
      <c r="E425" s="39" t="s">
        <v>4103</v>
      </c>
      <c r="F425" s="40" t="s">
        <v>146</v>
      </c>
      <c r="G425" s="41" t="s">
        <v>4104</v>
      </c>
      <c r="H425" s="42" t="s">
        <v>4105</v>
      </c>
      <c r="I425" s="43" t="s">
        <v>4106</v>
      </c>
      <c r="J425" s="44" t="s">
        <v>4107</v>
      </c>
      <c r="K425" s="45" t="s">
        <v>4108</v>
      </c>
      <c r="L425" s="46" t="s">
        <v>4109</v>
      </c>
      <c r="M425" s="47" t="s">
        <v>4110</v>
      </c>
    </row>
    <row r="426" customFormat="false" ht="57.75" hidden="false" customHeight="true" outlineLevel="0" collapsed="false">
      <c r="A426" s="66" t="s">
        <v>2537</v>
      </c>
      <c r="B426" s="36" t="s">
        <v>4111</v>
      </c>
      <c r="C426" s="82" t="s">
        <v>4092</v>
      </c>
      <c r="D426" s="38" t="s">
        <v>4093</v>
      </c>
      <c r="E426" s="39" t="s">
        <v>4112</v>
      </c>
      <c r="F426" s="49" t="s">
        <v>538</v>
      </c>
      <c r="G426" s="41" t="s">
        <v>4113</v>
      </c>
      <c r="H426" s="42" t="s">
        <v>4114</v>
      </c>
      <c r="I426" s="43" t="s">
        <v>4115</v>
      </c>
      <c r="J426" s="44" t="s">
        <v>4116</v>
      </c>
      <c r="K426" s="45" t="s">
        <v>4117</v>
      </c>
      <c r="L426" s="46" t="s">
        <v>4118</v>
      </c>
      <c r="M426" s="47" t="s">
        <v>4119</v>
      </c>
    </row>
    <row r="427" customFormat="false" ht="57.75" hidden="false" customHeight="true" outlineLevel="0" collapsed="false">
      <c r="A427" s="66" t="s">
        <v>2537</v>
      </c>
      <c r="B427" s="36" t="s">
        <v>4120</v>
      </c>
      <c r="C427" s="82" t="s">
        <v>4092</v>
      </c>
      <c r="D427" s="38" t="s">
        <v>4121</v>
      </c>
      <c r="E427" s="39" t="s">
        <v>4122</v>
      </c>
      <c r="F427" s="40" t="s">
        <v>146</v>
      </c>
      <c r="G427" s="41" t="s">
        <v>4123</v>
      </c>
      <c r="H427" s="42" t="s">
        <v>4124</v>
      </c>
      <c r="I427" s="43" t="s">
        <v>4125</v>
      </c>
      <c r="J427" s="44" t="s">
        <v>4126</v>
      </c>
      <c r="K427" s="45" t="s">
        <v>4127</v>
      </c>
      <c r="L427" s="46" t="s">
        <v>4128</v>
      </c>
      <c r="M427" s="47" t="s">
        <v>4129</v>
      </c>
    </row>
    <row r="428" customFormat="false" ht="57.75" hidden="false" customHeight="true" outlineLevel="0" collapsed="false">
      <c r="A428" s="66" t="s">
        <v>2537</v>
      </c>
      <c r="B428" s="36" t="s">
        <v>4130</v>
      </c>
      <c r="C428" s="82" t="s">
        <v>4092</v>
      </c>
      <c r="D428" s="38" t="s">
        <v>4121</v>
      </c>
      <c r="E428" s="39" t="s">
        <v>4131</v>
      </c>
      <c r="F428" s="40" t="s">
        <v>146</v>
      </c>
      <c r="G428" s="41" t="s">
        <v>4132</v>
      </c>
      <c r="H428" s="42" t="s">
        <v>4133</v>
      </c>
      <c r="I428" s="43" t="s">
        <v>4134</v>
      </c>
      <c r="J428" s="44" t="s">
        <v>4135</v>
      </c>
      <c r="K428" s="45" t="s">
        <v>4136</v>
      </c>
      <c r="L428" s="46" t="s">
        <v>4137</v>
      </c>
      <c r="M428" s="47" t="s">
        <v>4138</v>
      </c>
    </row>
    <row r="429" customFormat="false" ht="57.75" hidden="false" customHeight="true" outlineLevel="0" collapsed="false">
      <c r="A429" s="66" t="s">
        <v>2537</v>
      </c>
      <c r="B429" s="36" t="s">
        <v>4139</v>
      </c>
      <c r="C429" s="82" t="s">
        <v>4092</v>
      </c>
      <c r="D429" s="38" t="s">
        <v>4140</v>
      </c>
      <c r="E429" s="39" t="s">
        <v>4141</v>
      </c>
      <c r="F429" s="40" t="s">
        <v>146</v>
      </c>
      <c r="G429" s="41" t="s">
        <v>4142</v>
      </c>
      <c r="H429" s="42" t="s">
        <v>4143</v>
      </c>
      <c r="I429" s="43" t="s">
        <v>4144</v>
      </c>
      <c r="J429" s="44" t="s">
        <v>4145</v>
      </c>
      <c r="K429" s="45" t="s">
        <v>4146</v>
      </c>
      <c r="L429" s="46" t="s">
        <v>4147</v>
      </c>
      <c r="M429" s="47" t="s">
        <v>4148</v>
      </c>
    </row>
    <row r="430" customFormat="false" ht="57.75" hidden="false" customHeight="true" outlineLevel="0" collapsed="false">
      <c r="A430" s="66" t="s">
        <v>2537</v>
      </c>
      <c r="B430" s="36" t="s">
        <v>4149</v>
      </c>
      <c r="C430" s="82" t="s">
        <v>4092</v>
      </c>
      <c r="D430" s="38" t="s">
        <v>4140</v>
      </c>
      <c r="E430" s="39" t="s">
        <v>4150</v>
      </c>
      <c r="F430" s="40" t="s">
        <v>146</v>
      </c>
      <c r="G430" s="41" t="s">
        <v>4151</v>
      </c>
      <c r="H430" s="42" t="s">
        <v>4152</v>
      </c>
      <c r="I430" s="43" t="s">
        <v>4153</v>
      </c>
      <c r="J430" s="44" t="s">
        <v>4154</v>
      </c>
      <c r="K430" s="45" t="s">
        <v>4155</v>
      </c>
      <c r="L430" s="46" t="s">
        <v>4156</v>
      </c>
      <c r="M430" s="47" t="s">
        <v>4157</v>
      </c>
    </row>
    <row r="431" customFormat="false" ht="57.75" hidden="false" customHeight="true" outlineLevel="0" collapsed="false">
      <c r="A431" s="66" t="s">
        <v>2537</v>
      </c>
      <c r="B431" s="36" t="s">
        <v>4158</v>
      </c>
      <c r="C431" s="82" t="s">
        <v>4092</v>
      </c>
      <c r="D431" s="38" t="s">
        <v>4159</v>
      </c>
      <c r="E431" s="39" t="s">
        <v>4160</v>
      </c>
      <c r="F431" s="40" t="s">
        <v>146</v>
      </c>
      <c r="G431" s="41" t="s">
        <v>4161</v>
      </c>
      <c r="H431" s="42" t="s">
        <v>4162</v>
      </c>
      <c r="I431" s="43" t="s">
        <v>4163</v>
      </c>
      <c r="J431" s="44" t="s">
        <v>4164</v>
      </c>
      <c r="K431" s="45" t="s">
        <v>4165</v>
      </c>
      <c r="L431" s="46" t="s">
        <v>4166</v>
      </c>
      <c r="M431" s="47" t="s">
        <v>4167</v>
      </c>
    </row>
    <row r="432" customFormat="false" ht="57.75" hidden="false" customHeight="true" outlineLevel="0" collapsed="false">
      <c r="A432" s="66" t="s">
        <v>2537</v>
      </c>
      <c r="B432" s="36" t="s">
        <v>4168</v>
      </c>
      <c r="C432" s="82" t="s">
        <v>4092</v>
      </c>
      <c r="D432" s="38" t="s">
        <v>4159</v>
      </c>
      <c r="E432" s="39" t="s">
        <v>4169</v>
      </c>
      <c r="F432" s="40" t="s">
        <v>146</v>
      </c>
      <c r="G432" s="41" t="s">
        <v>4170</v>
      </c>
      <c r="H432" s="42" t="s">
        <v>4171</v>
      </c>
      <c r="I432" s="43" t="s">
        <v>4172</v>
      </c>
      <c r="J432" s="44" t="s">
        <v>4173</v>
      </c>
      <c r="K432" s="45" t="s">
        <v>4174</v>
      </c>
      <c r="L432" s="46" t="s">
        <v>4175</v>
      </c>
      <c r="M432" s="47" t="s">
        <v>4176</v>
      </c>
    </row>
    <row r="433" customFormat="false" ht="57.75" hidden="false" customHeight="true" outlineLevel="0" collapsed="false">
      <c r="A433" s="66" t="s">
        <v>2537</v>
      </c>
      <c r="B433" s="36" t="s">
        <v>4177</v>
      </c>
      <c r="C433" s="82" t="s">
        <v>4092</v>
      </c>
      <c r="D433" s="38" t="s">
        <v>4178</v>
      </c>
      <c r="E433" s="39" t="s">
        <v>4179</v>
      </c>
      <c r="F433" s="40" t="s">
        <v>146</v>
      </c>
      <c r="G433" s="41" t="s">
        <v>4180</v>
      </c>
      <c r="H433" s="42" t="s">
        <v>4181</v>
      </c>
      <c r="I433" s="43" t="s">
        <v>4182</v>
      </c>
      <c r="J433" s="44" t="s">
        <v>4183</v>
      </c>
      <c r="K433" s="45" t="s">
        <v>4184</v>
      </c>
      <c r="L433" s="46" t="s">
        <v>4185</v>
      </c>
      <c r="M433" s="47" t="s">
        <v>4186</v>
      </c>
    </row>
  </sheetData>
  <autoFilter ref="A4:M433"/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7" min="7" style="0" width="15"/>
    <col collapsed="false" customWidth="true" hidden="false" outlineLevel="0" max="8" min="8" style="0" width="22"/>
    <col collapsed="false" customWidth="true" hidden="false" outlineLevel="0" max="9" min="9" style="0" width="26"/>
  </cols>
  <sheetData>
    <row r="1" customFormat="false" ht="25.5" hidden="false" customHeight="true" outlineLevel="0" collapsed="false">
      <c r="A1" s="1" t="s">
        <v>4187</v>
      </c>
      <c r="B1" s="1"/>
      <c r="C1" s="1"/>
      <c r="D1" s="1"/>
      <c r="E1" s="1"/>
      <c r="F1" s="1"/>
      <c r="G1" s="1"/>
      <c r="H1" s="1"/>
      <c r="I1" s="1"/>
    </row>
    <row r="2" customFormat="false" ht="33.75" hidden="false" customHeight="true" outlineLevel="0" collapsed="false">
      <c r="A2" s="2" t="s">
        <v>4188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true" outlineLevel="0" collapsed="false">
      <c r="A4" s="83" t="s">
        <v>4189</v>
      </c>
      <c r="B4" s="84" t="s">
        <v>4190</v>
      </c>
      <c r="C4" s="84"/>
      <c r="D4" s="84"/>
      <c r="E4" s="84"/>
      <c r="G4" s="85" t="s">
        <v>4191</v>
      </c>
      <c r="H4" s="86" t="n">
        <f aca="false">COUNTA(B11:B40)</f>
        <v>14</v>
      </c>
    </row>
    <row r="5" customFormat="false" ht="15" hidden="false" customHeight="false" outlineLevel="0" collapsed="false">
      <c r="G5" s="85" t="s">
        <v>4192</v>
      </c>
      <c r="H5" s="86" t="n">
        <f aca="false">COUNTIF(G11:G40,"Covered")</f>
        <v>8</v>
      </c>
    </row>
    <row r="6" customFormat="false" ht="15" hidden="false" customHeight="false" outlineLevel="0" collapsed="false">
      <c r="G6" s="85" t="s">
        <v>4193</v>
      </c>
      <c r="H6" s="86" t="n">
        <f aca="false">COUNTIF(G11:G40,"Accepted gap")</f>
        <v>2</v>
      </c>
    </row>
    <row r="7" customFormat="false" ht="15" hidden="false" customHeight="false" outlineLevel="0" collapsed="false">
      <c r="G7" s="85" t="s">
        <v>4194</v>
      </c>
      <c r="H7" s="86" t="n">
        <f aca="false">COUNTIF(G11:G40,"Open gap")+COUNTIF(G11:G40,"Partial")</f>
        <v>4</v>
      </c>
    </row>
    <row r="8" customFormat="false" ht="15" hidden="false" customHeight="false" outlineLevel="0" collapsed="false">
      <c r="G8" s="85" t="s">
        <v>4195</v>
      </c>
      <c r="H8" s="87" t="n">
        <f aca="false">IF(H4=0,0,H5/H4)</f>
        <v>0.571428571428571</v>
      </c>
    </row>
    <row r="10" customFormat="false" ht="30" hidden="false" customHeight="true" outlineLevel="0" collapsed="false">
      <c r="A10" s="34" t="s">
        <v>99</v>
      </c>
      <c r="B10" s="34" t="s">
        <v>4196</v>
      </c>
      <c r="C10" s="34" t="s">
        <v>132</v>
      </c>
      <c r="D10" s="34" t="s">
        <v>4197</v>
      </c>
      <c r="E10" s="34" t="s">
        <v>4198</v>
      </c>
      <c r="F10" s="34" t="s">
        <v>4199</v>
      </c>
      <c r="G10" s="34" t="s">
        <v>4200</v>
      </c>
      <c r="H10" s="34" t="s">
        <v>4201</v>
      </c>
      <c r="I10" s="34" t="s">
        <v>4202</v>
      </c>
    </row>
    <row r="11" customFormat="false" ht="27.75" hidden="false" customHeight="true" outlineLevel="0" collapsed="false">
      <c r="A11" s="54" t="s">
        <v>1025</v>
      </c>
      <c r="B11" s="36" t="s">
        <v>1024</v>
      </c>
      <c r="C11" s="88" t="s">
        <v>1027</v>
      </c>
      <c r="D11" s="89" t="n">
        <v>5</v>
      </c>
      <c r="E11" s="90" t="s">
        <v>4203</v>
      </c>
      <c r="F11" s="90" t="s">
        <v>4204</v>
      </c>
      <c r="G11" s="91" t="s">
        <v>4205</v>
      </c>
      <c r="H11" s="38" t="s">
        <v>4206</v>
      </c>
      <c r="I11" s="41" t="s">
        <v>4207</v>
      </c>
    </row>
    <row r="12" customFormat="false" ht="27.75" hidden="false" customHeight="true" outlineLevel="0" collapsed="false">
      <c r="A12" s="54" t="s">
        <v>1025</v>
      </c>
      <c r="B12" s="36" t="s">
        <v>1035</v>
      </c>
      <c r="C12" s="88" t="s">
        <v>1036</v>
      </c>
      <c r="D12" s="89" t="n">
        <v>4</v>
      </c>
      <c r="E12" s="90" t="s">
        <v>4203</v>
      </c>
      <c r="F12" s="90" t="s">
        <v>4204</v>
      </c>
      <c r="G12" s="91" t="s">
        <v>4205</v>
      </c>
      <c r="H12" s="38" t="s">
        <v>4208</v>
      </c>
      <c r="I12" s="41"/>
    </row>
    <row r="13" customFormat="false" ht="27.75" hidden="false" customHeight="true" outlineLevel="0" collapsed="false">
      <c r="A13" s="54" t="s">
        <v>1025</v>
      </c>
      <c r="B13" s="36" t="s">
        <v>1053</v>
      </c>
      <c r="C13" s="88" t="s">
        <v>1055</v>
      </c>
      <c r="D13" s="89" t="n">
        <v>4</v>
      </c>
      <c r="E13" s="90" t="s">
        <v>4203</v>
      </c>
      <c r="F13" s="90" t="s">
        <v>4204</v>
      </c>
      <c r="G13" s="91" t="s">
        <v>4209</v>
      </c>
      <c r="H13" s="38" t="s">
        <v>4210</v>
      </c>
      <c r="I13" s="41" t="s">
        <v>4211</v>
      </c>
    </row>
    <row r="14" customFormat="false" ht="27.75" hidden="false" customHeight="true" outlineLevel="0" collapsed="false">
      <c r="A14" s="54" t="s">
        <v>1025</v>
      </c>
      <c r="B14" s="36" t="s">
        <v>1063</v>
      </c>
      <c r="C14" s="88" t="s">
        <v>1064</v>
      </c>
      <c r="D14" s="89" t="n">
        <v>3</v>
      </c>
      <c r="E14" s="90" t="s">
        <v>4212</v>
      </c>
      <c r="F14" s="90" t="s">
        <v>4204</v>
      </c>
      <c r="G14" s="91" t="s">
        <v>4213</v>
      </c>
      <c r="H14" s="38" t="s">
        <v>4214</v>
      </c>
      <c r="I14" s="41" t="s">
        <v>4215</v>
      </c>
    </row>
    <row r="15" customFormat="false" ht="27.75" hidden="false" customHeight="true" outlineLevel="0" collapsed="false">
      <c r="A15" s="53" t="s">
        <v>839</v>
      </c>
      <c r="B15" s="36" t="s">
        <v>838</v>
      </c>
      <c r="C15" s="88" t="s">
        <v>841</v>
      </c>
      <c r="D15" s="89" t="n">
        <v>4</v>
      </c>
      <c r="E15" s="90" t="s">
        <v>4203</v>
      </c>
      <c r="F15" s="90" t="s">
        <v>4216</v>
      </c>
      <c r="G15" s="91" t="s">
        <v>4205</v>
      </c>
      <c r="H15" s="38" t="s">
        <v>4217</v>
      </c>
      <c r="I15" s="41" t="s">
        <v>4218</v>
      </c>
    </row>
    <row r="16" customFormat="false" ht="27.75" hidden="false" customHeight="true" outlineLevel="0" collapsed="false">
      <c r="A16" s="53" t="s">
        <v>839</v>
      </c>
      <c r="B16" s="36" t="s">
        <v>913</v>
      </c>
      <c r="C16" s="88" t="s">
        <v>915</v>
      </c>
      <c r="D16" s="89" t="n">
        <v>3</v>
      </c>
      <c r="E16" s="90" t="s">
        <v>4212</v>
      </c>
      <c r="F16" s="90" t="s">
        <v>4216</v>
      </c>
      <c r="G16" s="91" t="s">
        <v>4205</v>
      </c>
      <c r="H16" s="38" t="s">
        <v>4219</v>
      </c>
      <c r="I16" s="41"/>
    </row>
    <row r="17" customFormat="false" ht="27.75" hidden="false" customHeight="true" outlineLevel="0" collapsed="false">
      <c r="A17" s="53" t="s">
        <v>839</v>
      </c>
      <c r="B17" s="36" t="s">
        <v>923</v>
      </c>
      <c r="C17" s="88" t="s">
        <v>924</v>
      </c>
      <c r="D17" s="89" t="n">
        <v>3</v>
      </c>
      <c r="E17" s="90" t="s">
        <v>4220</v>
      </c>
      <c r="F17" s="90" t="s">
        <v>4216</v>
      </c>
      <c r="G17" s="91" t="s">
        <v>4221</v>
      </c>
      <c r="H17" s="38" t="s">
        <v>4214</v>
      </c>
      <c r="I17" s="41" t="s">
        <v>4222</v>
      </c>
    </row>
    <row r="18" customFormat="false" ht="27.75" hidden="false" customHeight="true" outlineLevel="0" collapsed="false">
      <c r="A18" s="55" t="s">
        <v>1212</v>
      </c>
      <c r="B18" s="36" t="s">
        <v>1240</v>
      </c>
      <c r="C18" s="88" t="s">
        <v>1242</v>
      </c>
      <c r="D18" s="89" t="n">
        <v>4</v>
      </c>
      <c r="E18" s="90" t="s">
        <v>4203</v>
      </c>
      <c r="F18" s="90" t="s">
        <v>4223</v>
      </c>
      <c r="G18" s="91" t="s">
        <v>4205</v>
      </c>
      <c r="H18" s="38" t="s">
        <v>4224</v>
      </c>
      <c r="I18" s="41" t="s">
        <v>4225</v>
      </c>
    </row>
    <row r="19" customFormat="false" ht="27.75" hidden="false" customHeight="true" outlineLevel="0" collapsed="false">
      <c r="A19" s="55" t="s">
        <v>1212</v>
      </c>
      <c r="B19" s="36" t="s">
        <v>1398</v>
      </c>
      <c r="C19" s="88" t="s">
        <v>1399</v>
      </c>
      <c r="D19" s="89" t="n">
        <v>3</v>
      </c>
      <c r="E19" s="90" t="s">
        <v>4212</v>
      </c>
      <c r="F19" s="90" t="s">
        <v>4226</v>
      </c>
      <c r="G19" s="91" t="s">
        <v>4205</v>
      </c>
      <c r="H19" s="38" t="s">
        <v>4227</v>
      </c>
      <c r="I19" s="41" t="s">
        <v>4228</v>
      </c>
    </row>
    <row r="20" customFormat="false" ht="27.75" hidden="false" customHeight="true" outlineLevel="0" collapsed="false">
      <c r="A20" s="55" t="s">
        <v>1212</v>
      </c>
      <c r="B20" s="36" t="s">
        <v>1434</v>
      </c>
      <c r="C20" s="88" t="s">
        <v>1436</v>
      </c>
      <c r="D20" s="89" t="n">
        <v>3</v>
      </c>
      <c r="E20" s="90" t="s">
        <v>4212</v>
      </c>
      <c r="F20" s="90" t="s">
        <v>4226</v>
      </c>
      <c r="G20" s="91" t="s">
        <v>4209</v>
      </c>
      <c r="H20" s="38" t="s">
        <v>4229</v>
      </c>
      <c r="I20" s="41" t="s">
        <v>4230</v>
      </c>
    </row>
    <row r="21" customFormat="false" ht="27.75" hidden="false" customHeight="true" outlineLevel="0" collapsed="false">
      <c r="A21" s="56" t="s">
        <v>1482</v>
      </c>
      <c r="B21" s="36" t="s">
        <v>1519</v>
      </c>
      <c r="C21" s="88" t="s">
        <v>1521</v>
      </c>
      <c r="D21" s="89" t="n">
        <v>4</v>
      </c>
      <c r="E21" s="90" t="s">
        <v>4203</v>
      </c>
      <c r="F21" s="90" t="s">
        <v>1278</v>
      </c>
      <c r="G21" s="91" t="s">
        <v>4213</v>
      </c>
      <c r="H21" s="38" t="s">
        <v>4214</v>
      </c>
      <c r="I21" s="41" t="s">
        <v>4231</v>
      </c>
    </row>
    <row r="22" customFormat="false" ht="27.75" hidden="false" customHeight="true" outlineLevel="0" collapsed="false">
      <c r="A22" s="56" t="s">
        <v>1482</v>
      </c>
      <c r="B22" s="36" t="s">
        <v>1481</v>
      </c>
      <c r="C22" s="88" t="s">
        <v>1484</v>
      </c>
      <c r="D22" s="89" t="n">
        <v>3</v>
      </c>
      <c r="E22" s="90" t="s">
        <v>4212</v>
      </c>
      <c r="F22" s="90" t="s">
        <v>1278</v>
      </c>
      <c r="G22" s="91" t="s">
        <v>4221</v>
      </c>
      <c r="H22" s="38" t="s">
        <v>4214</v>
      </c>
      <c r="I22" s="41" t="s">
        <v>4232</v>
      </c>
    </row>
    <row r="23" customFormat="false" ht="27.75" hidden="false" customHeight="true" outlineLevel="0" collapsed="false">
      <c r="A23" s="62" t="s">
        <v>2046</v>
      </c>
      <c r="B23" s="36" t="s">
        <v>2074</v>
      </c>
      <c r="C23" s="88" t="s">
        <v>2076</v>
      </c>
      <c r="D23" s="89" t="n">
        <v>4</v>
      </c>
      <c r="E23" s="90" t="s">
        <v>4203</v>
      </c>
      <c r="F23" s="90" t="s">
        <v>4233</v>
      </c>
      <c r="G23" s="91" t="s">
        <v>4205</v>
      </c>
      <c r="H23" s="38" t="s">
        <v>4234</v>
      </c>
      <c r="I23" s="41" t="s">
        <v>4235</v>
      </c>
    </row>
    <row r="24" customFormat="false" ht="27.75" hidden="false" customHeight="true" outlineLevel="0" collapsed="false">
      <c r="A24" s="62" t="s">
        <v>2046</v>
      </c>
      <c r="B24" s="36" t="s">
        <v>2130</v>
      </c>
      <c r="C24" s="88" t="s">
        <v>2132</v>
      </c>
      <c r="D24" s="89" t="n">
        <v>3</v>
      </c>
      <c r="E24" s="90" t="s">
        <v>4212</v>
      </c>
      <c r="F24" s="90" t="s">
        <v>4233</v>
      </c>
      <c r="G24" s="91" t="s">
        <v>4205</v>
      </c>
      <c r="H24" s="38" t="s">
        <v>4236</v>
      </c>
      <c r="I24" s="41" t="s">
        <v>4237</v>
      </c>
    </row>
    <row r="26" customFormat="false" ht="42" hidden="false" customHeight="true" outlineLevel="0" collapsed="false">
      <c r="A26" s="33" t="s">
        <v>4238</v>
      </c>
      <c r="B26" s="33"/>
      <c r="C26" s="33"/>
      <c r="D26" s="33"/>
      <c r="E26" s="33"/>
      <c r="F26" s="33"/>
      <c r="G26" s="33"/>
      <c r="H26" s="33"/>
      <c r="I26" s="33"/>
    </row>
  </sheetData>
  <mergeCells count="4">
    <mergeCell ref="A1:I1"/>
    <mergeCell ref="A2:I2"/>
    <mergeCell ref="B4:E4"/>
    <mergeCell ref="A26:I26"/>
  </mergeCells>
  <conditionalFormatting sqref="G11:G24">
    <cfRule type="cellIs" priority="2" operator="equal" aboveAverage="0" equalAverage="0" bottom="0" percent="0" rank="0" text="" dxfId="51">
      <formula>"Covered"</formula>
    </cfRule>
    <cfRule type="cellIs" priority="3" operator="equal" aboveAverage="0" equalAverage="0" bottom="0" percent="0" rank="0" text="" dxfId="52">
      <formula>"Accepted gap"</formula>
    </cfRule>
    <cfRule type="cellIs" priority="4" operator="equal" aboveAverage="0" equalAverage="0" bottom="0" percent="0" rank="0" text="" dxfId="53">
      <formula>"Open gap"</formula>
    </cfRule>
    <cfRule type="cellIs" priority="5" operator="equal" aboveAverage="0" equalAverage="0" bottom="0" percent="0" rank="0" text="" dxfId="54">
      <formula>"Partial"</formula>
    </cfRule>
  </conditionalFormatting>
  <dataValidations count="3">
    <dataValidation allowBlank="true" errorStyle="stop" operator="between" showDropDown="false" showErrorMessage="false" showInputMessage="false" sqref="G11:G24" type="list">
      <formula1>"Covered,Partial,Open gap,Accepted gap"</formula1>
      <formula2>0</formula2>
    </dataValidation>
    <dataValidation allowBlank="true" errorStyle="stop" operator="between" showDropDown="false" showErrorMessage="false" showInputMessage="false" sqref="D11:D24" type="list">
      <formula1>"1,2,3,4,5,6"</formula1>
      <formula2>0</formula2>
    </dataValidation>
    <dataValidation allowBlank="true" errorStyle="stop" operator="between" showDropDown="false" showErrorMessage="false" showInputMessage="false" sqref="E9:E24" type="list">
      <formula1>"Critical,High,Medium,Low"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21"/>
    <col collapsed="false" customWidth="true" hidden="false" outlineLevel="0" max="8" min="8" style="0" width="29"/>
    <col collapsed="false" customWidth="true" hidden="false" outlineLevel="0" max="9" min="9" style="0" width="9"/>
    <col collapsed="false" customWidth="true" hidden="false" outlineLevel="0" max="10" min="10" style="0" width="7"/>
    <col collapsed="false" customWidth="true" hidden="false" outlineLevel="0" max="11" min="11" style="0" width="9"/>
  </cols>
  <sheetData>
    <row r="1" customFormat="false" ht="25.5" hidden="false" customHeight="true" outlineLevel="0" collapsed="false">
      <c r="A1" s="1" t="s">
        <v>4239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3.75" hidden="false" customHeight="true" outlineLevel="0" collapsed="false">
      <c r="A2" s="2" t="s">
        <v>4240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true" outlineLevel="0" collapsed="false">
      <c r="A4" s="83" t="s">
        <v>4241</v>
      </c>
      <c r="B4" s="84" t="s">
        <v>4242</v>
      </c>
      <c r="C4" s="84"/>
      <c r="D4" s="84"/>
      <c r="E4" s="84"/>
      <c r="G4" s="85" t="s">
        <v>4243</v>
      </c>
      <c r="H4" s="86" t="n">
        <f aca="false">COUNTA(A11:A40)</f>
        <v>15</v>
      </c>
    </row>
    <row r="5" customFormat="false" ht="22.35" hidden="false" customHeight="true" outlineLevel="0" collapsed="false">
      <c r="A5" s="83" t="s">
        <v>4244</v>
      </c>
      <c r="B5" s="84" t="s">
        <v>4245</v>
      </c>
      <c r="C5" s="84"/>
      <c r="D5" s="84"/>
      <c r="E5" s="84"/>
      <c r="G5" s="85" t="s">
        <v>4246</v>
      </c>
      <c r="H5" s="86" t="n">
        <f aca="false">COUNTIF(K11:K40,"PASS")</f>
        <v>12</v>
      </c>
    </row>
    <row r="6" customFormat="false" ht="22.35" hidden="false" customHeight="true" outlineLevel="0" collapsed="false">
      <c r="A6" s="83" t="s">
        <v>4247</v>
      </c>
      <c r="B6" s="92" t="s">
        <v>4248</v>
      </c>
      <c r="C6" s="92"/>
      <c r="D6" s="92"/>
      <c r="E6" s="92"/>
      <c r="G6" s="85" t="s">
        <v>4249</v>
      </c>
      <c r="H6" s="86" t="n">
        <f aca="false">COUNTIF(K11:K40,"GAP")</f>
        <v>3</v>
      </c>
    </row>
    <row r="7" customFormat="false" ht="22.35" hidden="false" customHeight="true" outlineLevel="0" collapsed="false">
      <c r="A7" s="83" t="s">
        <v>4250</v>
      </c>
      <c r="B7" s="92" t="s">
        <v>4251</v>
      </c>
      <c r="C7" s="92"/>
      <c r="D7" s="92"/>
      <c r="E7" s="92"/>
      <c r="G7" s="85" t="s">
        <v>4252</v>
      </c>
      <c r="H7" s="87" t="n">
        <f aca="false">IF(COUNTA(A11:A40)=0,0,H5/H4)</f>
        <v>0.8</v>
      </c>
    </row>
    <row r="10" customFormat="false" ht="30" hidden="false" customHeight="true" outlineLevel="0" collapsed="false">
      <c r="A10" s="34" t="s">
        <v>4253</v>
      </c>
      <c r="B10" s="34" t="s">
        <v>99</v>
      </c>
      <c r="C10" s="34" t="s">
        <v>131</v>
      </c>
      <c r="D10" s="34" t="s">
        <v>132</v>
      </c>
      <c r="E10" s="34" t="s">
        <v>4254</v>
      </c>
      <c r="F10" s="34" t="s">
        <v>4198</v>
      </c>
      <c r="G10" s="34" t="s">
        <v>4255</v>
      </c>
      <c r="H10" s="34" t="s">
        <v>4256</v>
      </c>
      <c r="I10" s="34" t="s">
        <v>4257</v>
      </c>
      <c r="J10" s="34" t="s">
        <v>4258</v>
      </c>
      <c r="K10" s="34" t="s">
        <v>4259</v>
      </c>
    </row>
    <row r="11" customFormat="false" ht="30" hidden="false" customHeight="true" outlineLevel="0" collapsed="false">
      <c r="A11" s="36" t="s">
        <v>1024</v>
      </c>
      <c r="B11" s="38" t="s">
        <v>1025</v>
      </c>
      <c r="C11" s="38" t="s">
        <v>1026</v>
      </c>
      <c r="D11" s="39" t="s">
        <v>1027</v>
      </c>
      <c r="E11" s="89" t="n">
        <v>4</v>
      </c>
      <c r="F11" s="93" t="s">
        <v>4203</v>
      </c>
      <c r="G11" s="90" t="s">
        <v>4260</v>
      </c>
      <c r="H11" s="41" t="s">
        <v>4261</v>
      </c>
      <c r="I11" s="89" t="n">
        <v>4</v>
      </c>
      <c r="J11" s="94" t="n">
        <f aca="false">IF(I11="","",I11-E11)</f>
        <v>0</v>
      </c>
      <c r="K11" s="91" t="str">
        <f aca="false">IF(I11="","—",IF(I11&gt;=E11,"PASS","GAP"))</f>
        <v>PASS</v>
      </c>
    </row>
    <row r="12" customFormat="false" ht="30" hidden="false" customHeight="true" outlineLevel="0" collapsed="false">
      <c r="A12" s="36" t="s">
        <v>1035</v>
      </c>
      <c r="B12" s="38" t="s">
        <v>1025</v>
      </c>
      <c r="C12" s="38" t="s">
        <v>1026</v>
      </c>
      <c r="D12" s="39" t="s">
        <v>1036</v>
      </c>
      <c r="E12" s="89" t="n">
        <v>4</v>
      </c>
      <c r="F12" s="93" t="s">
        <v>4203</v>
      </c>
      <c r="G12" s="90" t="s">
        <v>4262</v>
      </c>
      <c r="H12" s="41" t="s">
        <v>4263</v>
      </c>
      <c r="I12" s="89" t="n">
        <v>3</v>
      </c>
      <c r="J12" s="94" t="n">
        <f aca="false">IF(I12="","",I12-E12)</f>
        <v>-1</v>
      </c>
      <c r="K12" s="91" t="str">
        <f aca="false">IF(I12="","—",IF(I12&gt;=E12,"PASS","GAP"))</f>
        <v>GAP</v>
      </c>
    </row>
    <row r="13" customFormat="false" ht="30" hidden="false" customHeight="true" outlineLevel="0" collapsed="false">
      <c r="A13" s="36" t="s">
        <v>1044</v>
      </c>
      <c r="B13" s="38" t="s">
        <v>1025</v>
      </c>
      <c r="C13" s="38" t="s">
        <v>1026</v>
      </c>
      <c r="D13" s="39" t="s">
        <v>1045</v>
      </c>
      <c r="E13" s="89" t="n">
        <v>3</v>
      </c>
      <c r="F13" s="93" t="s">
        <v>4203</v>
      </c>
      <c r="G13" s="90" t="s">
        <v>4264</v>
      </c>
      <c r="H13" s="41" t="s">
        <v>4265</v>
      </c>
      <c r="I13" s="89" t="n">
        <v>3</v>
      </c>
      <c r="J13" s="94" t="n">
        <f aca="false">IF(I13="","",I13-E13)</f>
        <v>0</v>
      </c>
      <c r="K13" s="91" t="str">
        <f aca="false">IF(I13="","—",IF(I13&gt;=E13,"PASS","GAP"))</f>
        <v>PASS</v>
      </c>
    </row>
    <row r="14" customFormat="false" ht="30" hidden="false" customHeight="true" outlineLevel="0" collapsed="false">
      <c r="A14" s="36" t="s">
        <v>1053</v>
      </c>
      <c r="B14" s="38" t="s">
        <v>1025</v>
      </c>
      <c r="C14" s="38" t="s">
        <v>1054</v>
      </c>
      <c r="D14" s="39" t="s">
        <v>1055</v>
      </c>
      <c r="E14" s="89" t="n">
        <v>3</v>
      </c>
      <c r="F14" s="93" t="s">
        <v>4203</v>
      </c>
      <c r="G14" s="90" t="s">
        <v>4266</v>
      </c>
      <c r="H14" s="41" t="s">
        <v>4267</v>
      </c>
      <c r="I14" s="89" t="n">
        <v>4</v>
      </c>
      <c r="J14" s="94" t="n">
        <f aca="false">IF(I14="","",I14-E14)</f>
        <v>1</v>
      </c>
      <c r="K14" s="91" t="str">
        <f aca="false">IF(I14="","—",IF(I14&gt;=E14,"PASS","GAP"))</f>
        <v>PASS</v>
      </c>
    </row>
    <row r="15" customFormat="false" ht="30" hidden="false" customHeight="true" outlineLevel="0" collapsed="false">
      <c r="A15" s="36" t="s">
        <v>1063</v>
      </c>
      <c r="B15" s="38" t="s">
        <v>1025</v>
      </c>
      <c r="C15" s="38" t="s">
        <v>1054</v>
      </c>
      <c r="D15" s="39" t="s">
        <v>1064</v>
      </c>
      <c r="E15" s="89" t="n">
        <v>3</v>
      </c>
      <c r="F15" s="95" t="s">
        <v>4212</v>
      </c>
      <c r="G15" s="90" t="s">
        <v>4268</v>
      </c>
      <c r="H15" s="41" t="s">
        <v>4269</v>
      </c>
      <c r="I15" s="89" t="n">
        <v>3</v>
      </c>
      <c r="J15" s="94" t="n">
        <f aca="false">IF(I15="","",I15-E15)</f>
        <v>0</v>
      </c>
      <c r="K15" s="91" t="str">
        <f aca="false">IF(I15="","—",IF(I15&gt;=E15,"PASS","GAP"))</f>
        <v>PASS</v>
      </c>
    </row>
    <row r="16" customFormat="false" ht="30" hidden="false" customHeight="true" outlineLevel="0" collapsed="false">
      <c r="A16" s="36" t="s">
        <v>142</v>
      </c>
      <c r="B16" s="38" t="s">
        <v>143</v>
      </c>
      <c r="C16" s="38" t="s">
        <v>144</v>
      </c>
      <c r="D16" s="39" t="s">
        <v>145</v>
      </c>
      <c r="E16" s="89" t="n">
        <v>3</v>
      </c>
      <c r="F16" s="95" t="s">
        <v>4212</v>
      </c>
      <c r="G16" s="90" t="s">
        <v>4270</v>
      </c>
      <c r="H16" s="41" t="s">
        <v>4271</v>
      </c>
      <c r="I16" s="89" t="n">
        <v>3</v>
      </c>
      <c r="J16" s="94" t="n">
        <f aca="false">IF(I16="","",I16-E16)</f>
        <v>0</v>
      </c>
      <c r="K16" s="91" t="str">
        <f aca="false">IF(I16="","—",IF(I16&gt;=E16,"PASS","GAP"))</f>
        <v>PASS</v>
      </c>
    </row>
    <row r="17" customFormat="false" ht="30" hidden="false" customHeight="true" outlineLevel="0" collapsed="false">
      <c r="A17" s="36" t="s">
        <v>181</v>
      </c>
      <c r="B17" s="38" t="s">
        <v>143</v>
      </c>
      <c r="C17" s="38" t="s">
        <v>182</v>
      </c>
      <c r="D17" s="39" t="s">
        <v>183</v>
      </c>
      <c r="E17" s="89" t="n">
        <v>3</v>
      </c>
      <c r="F17" s="95" t="s">
        <v>4212</v>
      </c>
      <c r="G17" s="90" t="s">
        <v>4264</v>
      </c>
      <c r="H17" s="41" t="s">
        <v>4272</v>
      </c>
      <c r="I17" s="89" t="n">
        <v>3</v>
      </c>
      <c r="J17" s="94" t="n">
        <f aca="false">IF(I17="","",I17-E17)</f>
        <v>0</v>
      </c>
      <c r="K17" s="91" t="str">
        <f aca="false">IF(I17="","—",IF(I17&gt;=E17,"PASS","GAP"))</f>
        <v>PASS</v>
      </c>
    </row>
    <row r="18" customFormat="false" ht="30" hidden="false" customHeight="true" outlineLevel="0" collapsed="false">
      <c r="A18" s="36" t="s">
        <v>163</v>
      </c>
      <c r="B18" s="38" t="s">
        <v>143</v>
      </c>
      <c r="C18" s="38" t="s">
        <v>144</v>
      </c>
      <c r="D18" s="39" t="s">
        <v>164</v>
      </c>
      <c r="E18" s="89" t="n">
        <v>3</v>
      </c>
      <c r="F18" s="95" t="s">
        <v>4212</v>
      </c>
      <c r="G18" s="90" t="s">
        <v>4266</v>
      </c>
      <c r="H18" s="41" t="s">
        <v>4273</v>
      </c>
      <c r="I18" s="89" t="n">
        <v>2</v>
      </c>
      <c r="J18" s="94" t="n">
        <f aca="false">IF(I18="","",I18-E18)</f>
        <v>-1</v>
      </c>
      <c r="K18" s="91" t="str">
        <f aca="false">IF(I18="","—",IF(I18&gt;=E18,"PASS","GAP"))</f>
        <v>GAP</v>
      </c>
    </row>
    <row r="19" customFormat="false" ht="30" hidden="false" customHeight="true" outlineLevel="0" collapsed="false">
      <c r="A19" s="36" t="s">
        <v>1240</v>
      </c>
      <c r="B19" s="38" t="s">
        <v>1212</v>
      </c>
      <c r="C19" s="38" t="s">
        <v>1241</v>
      </c>
      <c r="D19" s="39" t="s">
        <v>1242</v>
      </c>
      <c r="E19" s="89" t="n">
        <v>3</v>
      </c>
      <c r="F19" s="96" t="s">
        <v>4220</v>
      </c>
      <c r="G19" s="90" t="s">
        <v>4274</v>
      </c>
      <c r="H19" s="41" t="s">
        <v>4275</v>
      </c>
      <c r="I19" s="89" t="n">
        <v>3</v>
      </c>
      <c r="J19" s="94" t="n">
        <f aca="false">IF(I19="","",I19-E19)</f>
        <v>0</v>
      </c>
      <c r="K19" s="91" t="str">
        <f aca="false">IF(I19="","—",IF(I19&gt;=E19,"PASS","GAP"))</f>
        <v>PASS</v>
      </c>
    </row>
    <row r="20" customFormat="false" ht="30" hidden="false" customHeight="true" outlineLevel="0" collapsed="false">
      <c r="A20" s="36" t="s">
        <v>1277</v>
      </c>
      <c r="B20" s="38" t="s">
        <v>1212</v>
      </c>
      <c r="C20" s="38" t="s">
        <v>1278</v>
      </c>
      <c r="D20" s="39" t="s">
        <v>1279</v>
      </c>
      <c r="E20" s="89" t="n">
        <v>2</v>
      </c>
      <c r="F20" s="96" t="s">
        <v>4220</v>
      </c>
      <c r="G20" s="90" t="s">
        <v>538</v>
      </c>
      <c r="H20" s="41" t="s">
        <v>4276</v>
      </c>
      <c r="I20" s="89" t="n">
        <v>2</v>
      </c>
      <c r="J20" s="94" t="n">
        <f aca="false">IF(I20="","",I20-E20)</f>
        <v>0</v>
      </c>
      <c r="K20" s="91" t="str">
        <f aca="false">IF(I20="","—",IF(I20&gt;=E20,"PASS","GAP"))</f>
        <v>PASS</v>
      </c>
    </row>
    <row r="21" customFormat="false" ht="30" hidden="false" customHeight="true" outlineLevel="0" collapsed="false">
      <c r="A21" s="36" t="s">
        <v>2423</v>
      </c>
      <c r="B21" s="38" t="s">
        <v>2385</v>
      </c>
      <c r="C21" s="38" t="s">
        <v>2414</v>
      </c>
      <c r="D21" s="39" t="s">
        <v>2424</v>
      </c>
      <c r="E21" s="89" t="n">
        <v>3</v>
      </c>
      <c r="F21" s="95" t="s">
        <v>4212</v>
      </c>
      <c r="G21" s="90" t="s">
        <v>4274</v>
      </c>
      <c r="H21" s="41" t="s">
        <v>4277</v>
      </c>
      <c r="I21" s="89" t="n">
        <v>3</v>
      </c>
      <c r="J21" s="94" t="n">
        <f aca="false">IF(I21="","",I21-E21)</f>
        <v>0</v>
      </c>
      <c r="K21" s="91" t="str">
        <f aca="false">IF(I21="","—",IF(I21&gt;=E21,"PASS","GAP"))</f>
        <v>PASS</v>
      </c>
    </row>
    <row r="22" customFormat="false" ht="30" hidden="false" customHeight="true" outlineLevel="0" collapsed="false">
      <c r="A22" s="36" t="s">
        <v>2384</v>
      </c>
      <c r="B22" s="38" t="s">
        <v>2385</v>
      </c>
      <c r="C22" s="38" t="s">
        <v>2386</v>
      </c>
      <c r="D22" s="39" t="s">
        <v>2387</v>
      </c>
      <c r="E22" s="89" t="n">
        <v>3</v>
      </c>
      <c r="F22" s="96" t="s">
        <v>4220</v>
      </c>
      <c r="G22" s="90" t="s">
        <v>538</v>
      </c>
      <c r="H22" s="41" t="s">
        <v>4278</v>
      </c>
      <c r="I22" s="89" t="n">
        <v>3</v>
      </c>
      <c r="J22" s="94" t="n">
        <f aca="false">IF(I22="","",I22-E22)</f>
        <v>0</v>
      </c>
      <c r="K22" s="91" t="str">
        <f aca="false">IF(I22="","—",IF(I22&gt;=E22,"PASS","GAP"))</f>
        <v>PASS</v>
      </c>
    </row>
    <row r="23" customFormat="false" ht="30" hidden="false" customHeight="true" outlineLevel="0" collapsed="false">
      <c r="A23" s="36" t="s">
        <v>2441</v>
      </c>
      <c r="B23" s="38" t="s">
        <v>2442</v>
      </c>
      <c r="C23" s="38" t="s">
        <v>2443</v>
      </c>
      <c r="D23" s="39" t="s">
        <v>2444</v>
      </c>
      <c r="E23" s="89" t="n">
        <v>3</v>
      </c>
      <c r="F23" s="95" t="s">
        <v>4212</v>
      </c>
      <c r="G23" s="90" t="s">
        <v>4279</v>
      </c>
      <c r="H23" s="41" t="s">
        <v>4280</v>
      </c>
      <c r="I23" s="89" t="n">
        <v>3</v>
      </c>
      <c r="J23" s="94" t="n">
        <f aca="false">IF(I23="","",I23-E23)</f>
        <v>0</v>
      </c>
      <c r="K23" s="91" t="str">
        <f aca="false">IF(I23="","—",IF(I23&gt;=E23,"PASS","GAP"))</f>
        <v>PASS</v>
      </c>
    </row>
    <row r="24" customFormat="false" ht="30" hidden="false" customHeight="true" outlineLevel="0" collapsed="false">
      <c r="A24" s="36" t="s">
        <v>2489</v>
      </c>
      <c r="B24" s="38" t="s">
        <v>2490</v>
      </c>
      <c r="C24" s="38" t="s">
        <v>2491</v>
      </c>
      <c r="D24" s="39" t="s">
        <v>2492</v>
      </c>
      <c r="E24" s="89" t="n">
        <v>3</v>
      </c>
      <c r="F24" s="96" t="s">
        <v>4220</v>
      </c>
      <c r="G24" s="90" t="s">
        <v>4281</v>
      </c>
      <c r="H24" s="41" t="s">
        <v>4282</v>
      </c>
      <c r="I24" s="89" t="n">
        <v>2</v>
      </c>
      <c r="J24" s="94" t="n">
        <f aca="false">IF(I24="","",I24-E24)</f>
        <v>-1</v>
      </c>
      <c r="K24" s="91" t="str">
        <f aca="false">IF(I24="","—",IF(I24&gt;=E24,"PASS","GAP"))</f>
        <v>GAP</v>
      </c>
    </row>
    <row r="25" customFormat="false" ht="30" hidden="false" customHeight="true" outlineLevel="0" collapsed="false">
      <c r="A25" s="36" t="s">
        <v>2519</v>
      </c>
      <c r="B25" s="38" t="s">
        <v>2490</v>
      </c>
      <c r="C25" s="38" t="s">
        <v>2510</v>
      </c>
      <c r="D25" s="39" t="s">
        <v>2520</v>
      </c>
      <c r="E25" s="89" t="n">
        <v>3</v>
      </c>
      <c r="F25" s="96" t="s">
        <v>4220</v>
      </c>
      <c r="G25" s="90" t="s">
        <v>4281</v>
      </c>
      <c r="H25" s="41" t="s">
        <v>4283</v>
      </c>
      <c r="I25" s="89" t="n">
        <v>3</v>
      </c>
      <c r="J25" s="94" t="n">
        <f aca="false">IF(I25="","",I25-E25)</f>
        <v>0</v>
      </c>
      <c r="K25" s="91" t="str">
        <f aca="false">IF(I25="","—",IF(I25&gt;=E25,"PASS","GAP"))</f>
        <v>PASS</v>
      </c>
    </row>
  </sheetData>
  <mergeCells count="6">
    <mergeCell ref="A1:K1"/>
    <mergeCell ref="A2:K2"/>
    <mergeCell ref="B4:E4"/>
    <mergeCell ref="B5:E5"/>
    <mergeCell ref="B6:E6"/>
    <mergeCell ref="B7:E7"/>
  </mergeCells>
  <conditionalFormatting sqref="K11:K25">
    <cfRule type="cellIs" priority="2" operator="equal" aboveAverage="0" equalAverage="0" bottom="0" percent="0" rank="0" text="" dxfId="51">
      <formula>"PASS"</formula>
    </cfRule>
    <cfRule type="cellIs" priority="3" operator="equal" aboveAverage="0" equalAverage="0" bottom="0" percent="0" rank="0" text="" dxfId="53">
      <formula>"GAP"</formula>
    </cfRule>
  </conditionalFormatting>
  <conditionalFormatting sqref="J11:J25">
    <cfRule type="cellIs" priority="4" operator="lessThan" aboveAverage="0" equalAverage="0" bottom="0" percent="0" rank="0" text="" dxfId="55">
      <formula>0</formula>
    </cfRule>
  </conditionalFormatting>
  <dataValidations count="2">
    <dataValidation allowBlank="true" errorStyle="stop" operator="between" showDropDown="false" showErrorMessage="false" showInputMessage="false" sqref="E11:E25 I11:I25" type="list">
      <formula1>"1,2,3,4,5,6"</formula1>
      <formula2>0</formula2>
    </dataValidation>
    <dataValidation allowBlank="true" errorStyle="stop" operator="between" showDropDown="false" showErrorMessage="false" showInputMessage="false" sqref="F11:F25" type="list">
      <formula1>"Critical,High,Medium,Low"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34"/>
    <col collapsed="false" customWidth="true" hidden="false" outlineLevel="0" max="4" min="4" style="0" width="24"/>
  </cols>
  <sheetData>
    <row r="1" customFormat="false" ht="25.5" hidden="false" customHeight="true" outlineLevel="0" collapsed="false">
      <c r="A1" s="1" t="s">
        <v>22</v>
      </c>
      <c r="B1" s="1"/>
      <c r="C1" s="1"/>
      <c r="D1" s="1"/>
    </row>
    <row r="2" customFormat="false" ht="33.75" hidden="false" customHeight="true" outlineLevel="0" collapsed="false">
      <c r="A2" s="2" t="s">
        <v>4284</v>
      </c>
      <c r="B2" s="2"/>
      <c r="C2" s="2"/>
      <c r="D2" s="2"/>
    </row>
    <row r="4" customFormat="false" ht="21.75" hidden="false" customHeight="true" outlineLevel="0" collapsed="false">
      <c r="A4" s="4" t="s">
        <v>4285</v>
      </c>
      <c r="B4" s="4"/>
      <c r="C4" s="4"/>
      <c r="D4" s="4"/>
    </row>
    <row r="5" customFormat="false" ht="57.75" hidden="false" customHeight="true" outlineLevel="0" collapsed="false">
      <c r="B5" s="6" t="s">
        <v>4286</v>
      </c>
      <c r="C5" s="97" t="s">
        <v>4287</v>
      </c>
      <c r="D5" s="97"/>
    </row>
    <row r="6" customFormat="false" ht="57.75" hidden="false" customHeight="true" outlineLevel="0" collapsed="false">
      <c r="B6" s="6" t="s">
        <v>4288</v>
      </c>
      <c r="C6" s="97" t="s">
        <v>4289</v>
      </c>
      <c r="D6" s="97"/>
    </row>
    <row r="7" customFormat="false" ht="57.75" hidden="false" customHeight="true" outlineLevel="0" collapsed="false">
      <c r="B7" s="6" t="s">
        <v>4290</v>
      </c>
      <c r="C7" s="97" t="s">
        <v>4291</v>
      </c>
      <c r="D7" s="97"/>
    </row>
    <row r="8" customFormat="false" ht="57.75" hidden="false" customHeight="true" outlineLevel="0" collapsed="false">
      <c r="B8" s="6" t="s">
        <v>4292</v>
      </c>
      <c r="C8" s="97" t="s">
        <v>4293</v>
      </c>
      <c r="D8" s="97"/>
    </row>
    <row r="9" customFormat="false" ht="57.75" hidden="false" customHeight="true" outlineLevel="0" collapsed="false">
      <c r="B9" s="6" t="s">
        <v>4294</v>
      </c>
      <c r="C9" s="97" t="s">
        <v>4295</v>
      </c>
      <c r="D9" s="97"/>
    </row>
    <row r="10" customFormat="false" ht="57.75" hidden="false" customHeight="true" outlineLevel="0" collapsed="false">
      <c r="B10" s="6" t="s">
        <v>4296</v>
      </c>
      <c r="C10" s="97" t="s">
        <v>4297</v>
      </c>
      <c r="D10" s="97"/>
    </row>
    <row r="11" customFormat="false" ht="57.75" hidden="false" customHeight="true" outlineLevel="0" collapsed="false">
      <c r="B11" s="6" t="s">
        <v>4298</v>
      </c>
      <c r="C11" s="97" t="s">
        <v>4299</v>
      </c>
      <c r="D11" s="97"/>
    </row>
    <row r="12" customFormat="false" ht="21.75" hidden="false" customHeight="true" outlineLevel="0" collapsed="false">
      <c r="A12" s="4" t="s">
        <v>4300</v>
      </c>
      <c r="B12" s="4"/>
      <c r="C12" s="4"/>
      <c r="D12" s="4"/>
    </row>
    <row r="13" customFormat="false" ht="15" hidden="false" customHeight="false" outlineLevel="0" collapsed="false">
      <c r="A13" s="34" t="s">
        <v>4301</v>
      </c>
      <c r="B13" s="34" t="s">
        <v>4302</v>
      </c>
      <c r="C13" s="34" t="s">
        <v>4303</v>
      </c>
      <c r="D13" s="34" t="s">
        <v>4304</v>
      </c>
    </row>
    <row r="14" customFormat="false" ht="42" hidden="false" customHeight="true" outlineLevel="0" collapsed="false">
      <c r="A14" s="98" t="n">
        <v>1</v>
      </c>
      <c r="B14" s="99" t="s">
        <v>4305</v>
      </c>
      <c r="C14" s="100" t="s">
        <v>4306</v>
      </c>
      <c r="D14" s="101" t="s">
        <v>4307</v>
      </c>
    </row>
    <row r="15" customFormat="false" ht="42" hidden="false" customHeight="true" outlineLevel="0" collapsed="false">
      <c r="A15" s="102" t="n">
        <v>2</v>
      </c>
      <c r="B15" s="103" t="s">
        <v>4308</v>
      </c>
      <c r="C15" s="32" t="s">
        <v>4309</v>
      </c>
      <c r="D15" s="104" t="s">
        <v>4310</v>
      </c>
    </row>
    <row r="16" customFormat="false" ht="42" hidden="false" customHeight="true" outlineLevel="0" collapsed="false">
      <c r="A16" s="98" t="n">
        <v>3</v>
      </c>
      <c r="B16" s="99" t="s">
        <v>4311</v>
      </c>
      <c r="C16" s="100" t="s">
        <v>4312</v>
      </c>
      <c r="D16" s="101" t="s">
        <v>4313</v>
      </c>
    </row>
    <row r="17" customFormat="false" ht="42" hidden="false" customHeight="true" outlineLevel="0" collapsed="false">
      <c r="A17" s="102" t="n">
        <v>4</v>
      </c>
      <c r="B17" s="103" t="s">
        <v>4314</v>
      </c>
      <c r="C17" s="32" t="s">
        <v>4315</v>
      </c>
      <c r="D17" s="104" t="s">
        <v>4316</v>
      </c>
    </row>
    <row r="18" customFormat="false" ht="42" hidden="false" customHeight="true" outlineLevel="0" collapsed="false">
      <c r="A18" s="98" t="n">
        <v>5</v>
      </c>
      <c r="B18" s="99" t="s">
        <v>4317</v>
      </c>
      <c r="C18" s="100" t="s">
        <v>4318</v>
      </c>
      <c r="D18" s="101" t="s">
        <v>4319</v>
      </c>
    </row>
    <row r="19" customFormat="false" ht="42" hidden="false" customHeight="true" outlineLevel="0" collapsed="false">
      <c r="A19" s="102" t="n">
        <v>6</v>
      </c>
      <c r="B19" s="103" t="s">
        <v>4320</v>
      </c>
      <c r="C19" s="32" t="s">
        <v>4321</v>
      </c>
      <c r="D19" s="104" t="s">
        <v>4322</v>
      </c>
    </row>
    <row r="20" customFormat="false" ht="42" hidden="false" customHeight="true" outlineLevel="0" collapsed="false">
      <c r="A20" s="98" t="n">
        <v>7</v>
      </c>
      <c r="B20" s="99" t="s">
        <v>4323</v>
      </c>
      <c r="C20" s="100" t="s">
        <v>4324</v>
      </c>
      <c r="D20" s="101" t="s">
        <v>4325</v>
      </c>
    </row>
    <row r="21" customFormat="false" ht="42" hidden="false" customHeight="true" outlineLevel="0" collapsed="false">
      <c r="A21" s="102" t="n">
        <v>8</v>
      </c>
      <c r="B21" s="103" t="s">
        <v>4326</v>
      </c>
      <c r="C21" s="32" t="s">
        <v>4327</v>
      </c>
      <c r="D21" s="104" t="s">
        <v>4328</v>
      </c>
    </row>
    <row r="22" customFormat="false" ht="42" hidden="false" customHeight="true" outlineLevel="0" collapsed="false">
      <c r="A22" s="98" t="n">
        <v>9</v>
      </c>
      <c r="B22" s="99" t="s">
        <v>4329</v>
      </c>
      <c r="C22" s="100" t="s">
        <v>4330</v>
      </c>
      <c r="D22" s="101" t="s">
        <v>4331</v>
      </c>
    </row>
  </sheetData>
  <mergeCells count="11">
    <mergeCell ref="A1:D1"/>
    <mergeCell ref="A2:D2"/>
    <mergeCell ref="A4:D4"/>
    <mergeCell ref="C5:D5"/>
    <mergeCell ref="C6:D6"/>
    <mergeCell ref="C7:D7"/>
    <mergeCell ref="C8:D8"/>
    <mergeCell ref="C9:D9"/>
    <mergeCell ref="C10:D10"/>
    <mergeCell ref="C11:D11"/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2026-06-29T23:03:47Z</dcterms:created>
  <dc:creator>openpyxl</dc:creator>
  <dc:description/>
  <dc:language>en-US</dc:language>
  <cp:lastModifiedBy/>
  <dcterms:modified xsi:type="dcterms:W3CDTF">2026-06-29T23:03:47Z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