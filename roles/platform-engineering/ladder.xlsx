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ompetency Matrix" sheetId="2" state="visible" r:id="rId2"/>
    <sheet name="Rating Template" sheetId="3" state="visible" r:id="rId3"/>
    <sheet name="Sourc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FF0563C1"/>
      <sz val="10"/>
      <u val="single"/>
    </font>
    <font>
      <name val="Arial"/>
      <color rgb="FF0000CC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jmresearch/open-capability-framework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jmresearch/open-capability-framework/blob/main/data/capabilities.md#pm-01" TargetMode="External" Id="rId1" /><Relationship Type="http://schemas.openxmlformats.org/officeDocument/2006/relationships/hyperlink" Target="https://github.com/jmresearch/open-capability-framework/blob/main/data/capabilities.md#pm-10" TargetMode="External" Id="rId2" /><Relationship Type="http://schemas.openxmlformats.org/officeDocument/2006/relationships/hyperlink" Target="https://github.com/jmresearch/open-capability-framework/blob/main/data/capabilities.md#ops-31" TargetMode="External" Id="rId3" /><Relationship Type="http://schemas.openxmlformats.org/officeDocument/2006/relationships/hyperlink" Target="https://github.com/jmresearch/open-capability-framework/blob/main/data/capabilities.md#pm-05" TargetMode="External" Id="rId4" /><Relationship Type="http://schemas.openxmlformats.org/officeDocument/2006/relationships/hyperlink" Target="https://github.com/jmresearch/open-capability-framework/blob/main/data/capabilities.md#ops-27" TargetMode="External" Id="rId5" /><Relationship Type="http://schemas.openxmlformats.org/officeDocument/2006/relationships/hyperlink" Target="https://github.com/jmresearch/open-capability-framework/blob/main/data/capabilities.md#ops-32" TargetMode="External" Id="rId6" /><Relationship Type="http://schemas.openxmlformats.org/officeDocument/2006/relationships/hyperlink" Target="https://github.com/jmresearch/open-capability-framework/blob/main/data/capabilities.md#swe-05" TargetMode="External" Id="rId7" /><Relationship Type="http://schemas.openxmlformats.org/officeDocument/2006/relationships/hyperlink" Target="https://github.com/jmresearch/open-capability-framework/blob/main/data/capabilities.md#swe-07" TargetMode="External" Id="rId8" /><Relationship Type="http://schemas.openxmlformats.org/officeDocument/2006/relationships/hyperlink" Target="https://github.com/jmresearch/open-capability-framework/blob/main/data/capabilities.md#swe-02" TargetMode="External" Id="rId9" /><Relationship Type="http://schemas.openxmlformats.org/officeDocument/2006/relationships/hyperlink" Target="https://github.com/jmresearch/open-capability-framework/blob/main/data/capabilities.md#swe-04" TargetMode="External" Id="rId10" /><Relationship Type="http://schemas.openxmlformats.org/officeDocument/2006/relationships/hyperlink" Target="https://github.com/jmresearch/open-capability-framework/blob/main/data/capabilities.md#swe-03" TargetMode="External" Id="rId11" /><Relationship Type="http://schemas.openxmlformats.org/officeDocument/2006/relationships/hyperlink" Target="https://github.com/jmresearch/open-capability-framework/blob/main/data/capabilities.md#ops-02" TargetMode="External" Id="rId12" /><Relationship Type="http://schemas.openxmlformats.org/officeDocument/2006/relationships/hyperlink" Target="https://github.com/jmresearch/open-capability-framework/blob/main/data/capabilities.md#ops-30" TargetMode="External" Id="rId13" /><Relationship Type="http://schemas.openxmlformats.org/officeDocument/2006/relationships/hyperlink" Target="https://github.com/jmresearch/open-capability-framework/blob/main/data/capabilities.md#ops-01" TargetMode="External" Id="rId14" /><Relationship Type="http://schemas.openxmlformats.org/officeDocument/2006/relationships/hyperlink" Target="https://github.com/jmresearch/open-capability-framework/blob/main/data/capabilities.md#ops-14" TargetMode="External" Id="rId15" /><Relationship Type="http://schemas.openxmlformats.org/officeDocument/2006/relationships/hyperlink" Target="https://github.com/jmresearch/open-capability-framework/blob/main/data/capabilities.md#ops-19" TargetMode="External" Id="rId16" /><Relationship Type="http://schemas.openxmlformats.org/officeDocument/2006/relationships/hyperlink" Target="https://github.com/jmresearch/open-capability-framework/blob/main/data/capabilities.md#ops-10" TargetMode="External" Id="rId17" /><Relationship Type="http://schemas.openxmlformats.org/officeDocument/2006/relationships/hyperlink" Target="https://github.com/jmresearch/open-capability-framework/blob/main/data/capabilities.md#ops-27" TargetMode="External" Id="rId18" /><Relationship Type="http://schemas.openxmlformats.org/officeDocument/2006/relationships/hyperlink" Target="https://github.com/jmresearch/open-capability-framework/blob/main/data/capabilities.md#ops-05" TargetMode="External" Id="rId19" /><Relationship Type="http://schemas.openxmlformats.org/officeDocument/2006/relationships/hyperlink" Target="https://github.com/jmresearch/open-capability-framework/blob/main/data/capabilities.md#ops-04" TargetMode="External" Id="rId20" /><Relationship Type="http://schemas.openxmlformats.org/officeDocument/2006/relationships/hyperlink" Target="https://github.com/jmresearch/open-capability-framework/blob/main/data/capabilities.md#ops-06" TargetMode="External" Id="rId21" /><Relationship Type="http://schemas.openxmlformats.org/officeDocument/2006/relationships/hyperlink" Target="https://github.com/jmresearch/open-capability-framework/blob/main/data/capabilities.md#ops-06" TargetMode="External" Id="rId22" /><Relationship Type="http://schemas.openxmlformats.org/officeDocument/2006/relationships/hyperlink" Target="https://github.com/jmresearch/open-capability-framework/blob/main/data/capabilities.md#ops-07" TargetMode="External" Id="rId23" /><Relationship Type="http://schemas.openxmlformats.org/officeDocument/2006/relationships/hyperlink" Target="https://github.com/jmresearch/open-capability-framework/blob/main/data/capabilities.md#ops-28" TargetMode="External" Id="rId24" /><Relationship Type="http://schemas.openxmlformats.org/officeDocument/2006/relationships/hyperlink" Target="https://github.com/jmresearch/open-capability-framework/blob/main/data/capabilities.md#sec-18" TargetMode="External" Id="rId25" /><Relationship Type="http://schemas.openxmlformats.org/officeDocument/2006/relationships/hyperlink" Target="https://github.com/jmresearch/open-capability-framework/blob/main/data/capabilities.md#sec-01" TargetMode="External" Id="rId26" /><Relationship Type="http://schemas.openxmlformats.org/officeDocument/2006/relationships/hyperlink" Target="https://github.com/jmresearch/open-capability-framework/blob/main/data/capabilities.md#sec-09" TargetMode="External" Id="rId27" /><Relationship Type="http://schemas.openxmlformats.org/officeDocument/2006/relationships/hyperlink" Target="https://github.com/jmresearch/open-capability-framework/blob/main/data/capabilities.md#ops-09" TargetMode="External" Id="rId28" /><Relationship Type="http://schemas.openxmlformats.org/officeDocument/2006/relationships/hyperlink" Target="https://github.com/jmresearch/open-capability-framework/blob/main/data/capabilities.md#dr-05" TargetMode="External" Id="rId29" /><Relationship Type="http://schemas.openxmlformats.org/officeDocument/2006/relationships/hyperlink" Target="https://github.com/jmresearch/open-capability-framework/blob/main/data/capabilities.md#cc-01" TargetMode="External" Id="rId30" /><Relationship Type="http://schemas.openxmlformats.org/officeDocument/2006/relationships/hyperlink" Target="https://github.com/jmresearch/open-capability-framework/blob/main/data/capabilities.md#dr-01" TargetMode="External" Id="rId31" /><Relationship Type="http://schemas.openxmlformats.org/officeDocument/2006/relationships/hyperlink" Target="https://github.com/jmresearch/open-capability-framework/blob/main/data/capabilities.md#pm-13" TargetMode="External" Id="rId32" /><Relationship Type="http://schemas.openxmlformats.org/officeDocument/2006/relationships/hyperlink" Target="https://github.com/jmresearch/open-capability-framework/blob/main/data/capabilities.md#cc-03" TargetMode="External" Id="rId33" /><Relationship Type="http://schemas.openxmlformats.org/officeDocument/2006/relationships/hyperlink" Target="https://github.com/jmresearch/open-capability-framework/blob/main/data/capabilities.md#pd-04" TargetMode="External" Id="rId34" /><Relationship Type="http://schemas.openxmlformats.org/officeDocument/2006/relationships/hyperlink" Target="https://github.com/jmresearch/open-capability-framework/blob/main/data/capabilities.md#pd-02" TargetMode="External" Id="rId35" /><Relationship Type="http://schemas.openxmlformats.org/officeDocument/2006/relationships/hyperlink" Target="https://github.com/jmresearch/open-capability-framework/blob/main/data/capabilities.md#li-01" TargetMode="External" Id="rId36" /><Relationship Type="http://schemas.openxmlformats.org/officeDocument/2006/relationships/hyperlink" Target="https://github.com/jmresearch/open-capability-framework/blob/main/data/capabilities.md#li-03" TargetMode="External" Id="rId3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4" customWidth="1" min="3" max="3"/>
    <col width="60" customWidth="1" min="4" max="4"/>
  </cols>
  <sheetData>
    <row r="1">
      <c r="A1" s="1" t="inlineStr">
        <is>
          <t>Role</t>
        </is>
      </c>
      <c r="B1" s="2" t="inlineStr">
        <is>
          <t>Platform Engineering</t>
        </is>
      </c>
    </row>
    <row r="2">
      <c r="A2" s="1" t="inlineStr">
        <is>
          <t>Slug</t>
        </is>
      </c>
      <c r="B2" s="2" t="inlineStr">
        <is>
          <t>platform-engineering</t>
        </is>
      </c>
    </row>
    <row r="3">
      <c r="A3" s="1" t="inlineStr">
        <is>
          <t>Variant</t>
        </is>
      </c>
      <c r="B3" s="2" t="inlineStr">
        <is>
          <t>ic_technical</t>
        </is>
      </c>
    </row>
    <row r="4">
      <c r="A4" s="1" t="inlineStr">
        <is>
          <t>Minted</t>
        </is>
      </c>
      <c r="B4" s="2" t="inlineStr">
        <is>
          <t>2026-07-02</t>
        </is>
      </c>
    </row>
    <row r="6">
      <c r="A6" s="1" t="inlineStr">
        <is>
          <t>Level</t>
        </is>
      </c>
      <c r="B6" s="1" t="inlineStr">
        <is>
          <t>Title</t>
        </is>
      </c>
      <c r="C6" s="1" t="inlineStr">
        <is>
          <t>Scope</t>
        </is>
      </c>
      <c r="D6" s="1" t="inlineStr">
        <is>
          <t>Focus</t>
        </is>
      </c>
    </row>
    <row r="7">
      <c r="A7" s="3" t="inlineStr">
        <is>
          <t>E1</t>
        </is>
      </c>
      <c r="B7" s="3" t="inlineStr">
        <is>
          <t>Associate Platform Engineer</t>
        </is>
      </c>
      <c r="C7" s="4" t="inlineStr">
        <is>
          <t>task</t>
        </is>
      </c>
      <c r="D7" s="4" t="inlineStr">
        <is>
          <t>Learns the platform and ships well-defined tasks with guidance</t>
        </is>
      </c>
    </row>
    <row r="8">
      <c r="A8" s="3" t="inlineStr">
        <is>
          <t>E2</t>
        </is>
      </c>
      <c r="B8" s="3" t="inlineStr">
        <is>
          <t>Platform Engineer</t>
        </is>
      </c>
      <c r="C8" s="4" t="inlineStr">
        <is>
          <t>component</t>
        </is>
      </c>
      <c r="D8" s="4" t="inlineStr">
        <is>
          <t>Owns platform components end to end and unblocks internal users independently</t>
        </is>
      </c>
    </row>
    <row r="9">
      <c r="A9" s="3" t="inlineStr">
        <is>
          <t>E3</t>
        </is>
      </c>
      <c r="B9" s="3" t="inlineStr">
        <is>
          <t>Senior Platform Engineer</t>
        </is>
      </c>
      <c r="C9" s="4" t="inlineStr">
        <is>
          <t>capability / domain (terminal level)</t>
        </is>
      </c>
      <c r="D9" s="4" t="inlineStr">
        <is>
          <t>Owns a platform capability as a product; terminal level</t>
        </is>
      </c>
    </row>
    <row r="10">
      <c r="A10" s="3" t="inlineStr">
        <is>
          <t>E4</t>
        </is>
      </c>
      <c r="B10" s="3" t="inlineStr">
        <is>
          <t>Staff Platform Engineer</t>
        </is>
      </c>
      <c r="C10" s="4" t="inlineStr">
        <is>
          <t>multiple teams</t>
        </is>
      </c>
      <c r="D10" s="4" t="inlineStr">
        <is>
          <t>Shapes platform architecture and adoption across multiple teams</t>
        </is>
      </c>
    </row>
    <row r="11">
      <c r="A11" s="3" t="inlineStr">
        <is>
          <t>E5</t>
        </is>
      </c>
      <c r="B11" s="3" t="inlineStr">
        <is>
          <t>Senior Staff Platform Engineer</t>
        </is>
      </c>
      <c r="C11" s="4" t="inlineStr">
        <is>
          <t>organization</t>
        </is>
      </c>
      <c r="D11" s="4" t="inlineStr">
        <is>
          <t>Sets platform strategy and standards for the engineering organization</t>
        </is>
      </c>
    </row>
    <row r="12">
      <c r="A12" s="3" t="inlineStr">
        <is>
          <t>E6</t>
        </is>
      </c>
      <c r="B12" s="3" t="inlineStr">
        <is>
          <t>Principal Platform Engineer</t>
        </is>
      </c>
      <c r="C12" s="4" t="inlineStr">
        <is>
          <t>company</t>
        </is>
      </c>
      <c r="D12" s="4" t="inlineStr">
        <is>
          <t>Sets company-wide platform direction and technical bets</t>
        </is>
      </c>
    </row>
    <row r="14" ht="60" customHeight="1">
      <c r="A14" s="4" t="inlineStr">
        <is>
          <t>How to read: each row of the Competency Matrix is one competency, mapped to an Open Capability Framework capability (OCF ID column — click through for the catalog entry and its P1-P6 profile). Level columns describe observable behavior at each level; use the Rating Template for self/peer/manager scoring.</t>
        </is>
      </c>
    </row>
    <row r="16">
      <c r="A16" s="1" t="inlineStr">
        <is>
          <t>Framework repository</t>
        </is>
      </c>
      <c r="B16" s="5" t="inlineStr">
        <is>
          <t>https://github.com/jmresearch/open-capability-framework</t>
        </is>
      </c>
    </row>
  </sheetData>
  <mergeCells count="1">
    <mergeCell ref="A14:D14"/>
  </mergeCells>
  <hyperlinks>
    <hyperlink xmlns:r="http://schemas.openxmlformats.org/officeDocument/2006/relationships" ref="B1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12" customWidth="1" min="4" max="4"/>
    <col width="40" customWidth="1" min="5" max="5"/>
    <col width="55" customWidth="1" min="6" max="6"/>
    <col width="55" customWidth="1" min="7" max="7"/>
    <col width="55" customWidth="1" min="8" max="8"/>
    <col width="55" customWidth="1" min="9" max="9"/>
    <col width="55" customWidth="1" min="10" max="10"/>
    <col width="55" customWidth="1" min="11" max="11"/>
  </cols>
  <sheetData>
    <row r="1">
      <c r="A1" s="1" t="inlineStr">
        <is>
          <t>Key Area</t>
        </is>
      </c>
      <c r="B1" s="1" t="inlineStr">
        <is>
          <t>Focus Area</t>
        </is>
      </c>
      <c r="C1" s="1" t="inlineStr">
        <is>
          <t>Competency</t>
        </is>
      </c>
      <c r="D1" s="1" t="inlineStr">
        <is>
          <t>OCF ID</t>
        </is>
      </c>
      <c r="E1" s="1" t="inlineStr">
        <is>
          <t>Theory Anchor</t>
        </is>
      </c>
      <c r="F1" s="1" t="inlineStr">
        <is>
          <t>E1</t>
        </is>
      </c>
      <c r="G1" s="1" t="inlineStr">
        <is>
          <t>E2</t>
        </is>
      </c>
      <c r="H1" s="1" t="inlineStr">
        <is>
          <t>E3</t>
        </is>
      </c>
      <c r="I1" s="1" t="inlineStr">
        <is>
          <t>E4</t>
        </is>
      </c>
      <c r="J1" s="1" t="inlineStr">
        <is>
          <t>E5</t>
        </is>
      </c>
      <c r="K1" s="1" t="inlineStr">
        <is>
          <t>E6</t>
        </is>
      </c>
    </row>
    <row r="2">
      <c r="A2" s="4" t="inlineStr">
        <is>
          <t>Platform as a Product</t>
        </is>
      </c>
      <c r="B2" s="4" t="inlineStr">
        <is>
          <t>Product Discovery &amp; Feedback</t>
        </is>
      </c>
      <c r="C2" s="4" t="inlineStr">
        <is>
          <t>Internal user research</t>
        </is>
      </c>
      <c r="D2" s="6" t="inlineStr">
        <is>
          <t>PM-01</t>
        </is>
      </c>
      <c r="E2" s="4" t="inlineStr">
        <is>
          <t>Noda, Storey, Forsgren &amp; Greiler, "DevEx: What Actually Drives Productivity" (ACM Queue, 2023)</t>
        </is>
      </c>
      <c r="F2" s="4" t="inlineStr">
        <is>
          <t>Depth: Shadows platform users and sits in on interviews and support rotations, writing up the friction they hit - reproduces a reported pain point end to end before proposing a fix, and asks users clarifying questions rather than assuming intent. Scope: observations feed a single task or bug report.</t>
        </is>
      </c>
      <c r="G2" s="4" t="inlineStr">
        <is>
          <t>Depth: Runs structured interviews and support-channel reviews with the internal engineers using their component, turning raw notes into ranked friction lists the team acts on. Distinguishes what users say from what their workflow shows. Scope: the feedback loop for one component.</t>
        </is>
      </c>
      <c r="H2" s="4" t="inlineStr">
        <is>
          <t>Depth: Designs and runs the discovery process for a capability - recurring user touchpoints, journey maps, and a friction backlog that visibly drives the roadmap. Separates what users ask for from the workflow problem underneath and shows the evidence for the difference. Scope: all internal users of a platform capability.</t>
        </is>
      </c>
      <c r="I2" s="4" t="inlineStr">
        <is>
          <t>Depth: Synthesizes research across several product teams into shared personas and friction maps other platform teams adopt, and coaches engineers on interview and synthesis technique instead of letting them guess. Scope: research practice spanning multiple platform teams.</t>
        </is>
      </c>
      <c r="J2" s="4" t="inlineStr">
        <is>
          <t>Depth: Establishes the organization's standing platform research practice - instrumented feedback loops, research repositories, and a cadence leaders cite in planning. Scope: how the whole platform organization learns about its users.</t>
        </is>
      </c>
      <c r="K2" s="4" t="inlineStr">
        <is>
          <t>Depth: Represents the internal developer experience at company level, bringing longitudinal user evidence that redirects company-scale platform investment. Scope: company-wide developer population.</t>
        </is>
      </c>
    </row>
    <row r="3">
      <c r="A3" s="4" t="inlineStr">
        <is>
          <t>Platform as a Product</t>
        </is>
      </c>
      <c r="B3" s="4" t="inlineStr">
        <is>
          <t>Product Discovery &amp; Feedback</t>
        </is>
      </c>
      <c r="C3" s="4" t="inlineStr">
        <is>
          <t>Adoption &amp; success metrics</t>
        </is>
      </c>
      <c r="D3" s="6" t="inlineStr">
        <is>
          <t>PM-10</t>
        </is>
      </c>
      <c r="E3" s="4" t="inlineStr">
        <is>
          <t>Forsgren, Humble &amp; Kim, *Accelerate* (2018)</t>
        </is>
      </c>
      <c r="F3" s="4" t="inlineStr">
        <is>
          <t>Depth: Pulls and charts existing adoption and usage numbers accurately when asked, and explains what each metric does and does not show. Scope: metrics for a single feature or task.</t>
        </is>
      </c>
      <c r="G3" s="4" t="inlineStr">
        <is>
          <t>Depth: Instruments their component with adoption, retention, and satisfaction signals and reviews them in team rituals, spotting when a launch quietly failed to land. Scope: one component's metric set.</t>
        </is>
      </c>
      <c r="H3" s="4" t="inlineStr">
        <is>
          <t>Depth: Defines the success metrics for a capability - voluntary adoption, time-to-onboard, retention, satisfaction - and kills or reworks features the numbers say are not earning use. Explicitly distinguishes mandated usage from chosen usage in reporting. Scope: a capability's product scorecard, reviewed with its internal customers.</t>
        </is>
      </c>
      <c r="I3" s="4" t="inlineStr">
        <is>
          <t>Depth: Standardizes how several platform teams measure adoption so their numbers compose, and uses cross-team funnels to find where users leak off the paved road. Challenges vanity metrics in other teams' reviews. Scope: comparable measurement across multiple teams.</t>
        </is>
      </c>
      <c r="J3" s="4" t="inlineStr">
        <is>
          <t>Depth: Owns the organization's platform scorecard - the small set of adoption and developer-outcome metrics leadership steers by - and ties platform investment cases to it. Scope: organization-level platform health.</t>
        </is>
      </c>
      <c r="K3" s="4" t="inlineStr">
        <is>
          <t>Depth: Frames platform value in company terms - delivery performance, engineering cost, risk - and defends or redirects company-scale investment with that evidence. Scope: company investment decisions.</t>
        </is>
      </c>
    </row>
    <row r="4">
      <c r="A4" s="4" t="inlineStr">
        <is>
          <t>Platform as a Product</t>
        </is>
      </c>
      <c r="B4" s="4" t="inlineStr">
        <is>
          <t>Platform Strategy &amp; Scope</t>
        </is>
      </c>
      <c r="C4" s="4" t="inlineStr">
        <is>
          <t>Thinnest viable platform</t>
        </is>
      </c>
      <c r="D4" s="6" t="inlineStr">
        <is>
          <t>OPS-31</t>
        </is>
      </c>
      <c r="E4" s="4" t="inlineStr">
        <is>
          <t>Skelton &amp; Pais, *Team Topologies* (2019)</t>
        </is>
      </c>
      <c r="F4" s="4" t="inlineStr">
        <is>
          <t>Depth: Checks for an existing tool, service, or open-source option before writing new code and asks whether a proposed task is needed by a real user, citing the request that motivates it. Scope: their own task queue.</t>
        </is>
      </c>
      <c r="G4" s="4" t="inlineStr">
        <is>
          <t>Depth: Proposes wrapping or configuring an existing service instead of building new when it meets the need, writing the comparison down and defending the removal of unused features. Scope: build-versus-reuse choices in one component.</t>
        </is>
      </c>
      <c r="H4" s="4" t="inlineStr">
        <is>
          <t>Depth: Keeps a capability at its thinnest viable size - makes explicit build-buy-adopt decisions with documented reasoning, scopes to the thinnest version that serves proven demand (often a wrapper, a template, or documentation rather than new software), and retires surface area that no longer earns its maintenance cost. Scope: a capability's whole footprint.</t>
        </is>
      </c>
      <c r="I4" s="4" t="inlineStr">
        <is>
          <t>Depth: Arbitrates overlap and sprawl between platform teams - merging duplicate offerings, cutting under-used surface, and setting the bar for what deserves to be platform at all. Scope: portfolio boundaries across multiple teams.</t>
        </is>
      </c>
      <c r="J4" s="4" t="inlineStr">
        <is>
          <t>Depth: Shapes the organization's platform boundary - what the platform will and will not own versus product teams and vendors - and retires whole offerings whose maintenance cost exceeds their leverage. Scope: the organization's platform portfolio.</t>
        </is>
      </c>
      <c r="K4" s="4" t="inlineStr">
        <is>
          <t>Depth: Keeps the company's platform ambition honest - publicly weighing platform build-out against buying, adopting open source, or doing nothing, in principles executives reference. Scope: company build/buy/retire posture.</t>
        </is>
      </c>
    </row>
    <row r="5">
      <c r="A5" s="4" t="inlineStr">
        <is>
          <t>Platform as a Product</t>
        </is>
      </c>
      <c r="B5" s="4" t="inlineStr">
        <is>
          <t>Platform Strategy &amp; Scope</t>
        </is>
      </c>
      <c r="C5" s="4" t="inlineStr">
        <is>
          <t>Platform roadmap &amp; prioritization</t>
        </is>
      </c>
      <c r="D5" s="6" t="inlineStr">
        <is>
          <t>PM-05</t>
        </is>
      </c>
      <c r="E5" s="4" t="inlineStr">
        <is>
          <t>Perri, *Escaping the Build Trap* (2018)</t>
        </is>
      </c>
      <c r="F5" s="4" t="inlineStr">
        <is>
          <t>Depth: Explains why their current task is on the roadmap and which named internal customer it serves; flags when a task seems disconnected from user need. Scope: their own task queue.</t>
        </is>
      </c>
      <c r="G5" s="4" t="inlineStr">
        <is>
          <t>Depth: Sequences their component's backlog by user impact - writes short proposals that weigh demand evidence against effort and negotiates scope with their lead. Scope: one component's roadmap.</t>
        </is>
      </c>
      <c r="H5" s="4" t="inlineStr">
        <is>
          <t>Depth: Owns the roadmap for a platform capability - balances new features, migrations, deprecations, and operational debt with explicit trade-off reasoning, and says no to requests with a documented rationale that users accept. Scope: a capability across its customer teams.</t>
        </is>
      </c>
      <c r="I5" s="4" t="inlineStr">
        <is>
          <t>Depth: Aligns roadmaps across platform teams - surfaces collisions and gaps between team plans and brokers the sequencing that unblocks shared bets. Scope: multi-team planning cycles.</t>
        </is>
      </c>
      <c r="J5" s="4" t="inlineStr">
        <is>
          <t>Depth: Drives the platform organization's investment strategy - the annual plan's biggest items trace to cases they built, including the ones that redirect headcount. Scope: organization.</t>
        </is>
      </c>
      <c r="K5" s="4" t="inlineStr">
        <is>
          <t>Depth: Sets multi-year platform direction for the company - decides which capabilities the company builds, buys, or retires, and the bets hold up over years. Scope: company-wide.</t>
        </is>
      </c>
    </row>
    <row r="6">
      <c r="A6" s="4" t="inlineStr">
        <is>
          <t>Platform as a Product</t>
        </is>
      </c>
      <c r="B6" s="4" t="inlineStr">
        <is>
          <t>Developer Experience</t>
        </is>
      </c>
      <c r="C6" s="4" t="inlineStr">
        <is>
          <t>Golden paths &amp; paved roads</t>
        </is>
      </c>
      <c r="D6" s="6" t="inlineStr">
        <is>
          <t>OPS-27</t>
        </is>
      </c>
      <c r="E6" s="4" t="inlineStr">
        <is>
          <t>Spotify Engineering, "How We Use Golden Paths to Solve Fragmentation in Our Software Ecosystem" (2020)</t>
        </is>
      </c>
      <c r="F6" s="4" t="inlineStr">
        <is>
          <t>Depth: Follows the golden path as a real user would and reports exactly where it breaks - files precise friction reports against templates, docs, and starter kits. Scope: their own use of the paved road.</t>
        </is>
      </c>
      <c r="G6" s="4" t="inlineStr">
        <is>
          <t>Depth: Builds and maintains golden-path assets for their component - templates, scaffolding, and starter repos kept working, current, and tested - and fixes path breakages users report within the team's SLA. Scope: one segment of the paved road.</t>
        </is>
      </c>
      <c r="H6" s="4" t="inlineStr">
        <is>
          <t>Depth: Designs a golden path for a whole use case end to end - from repo creation to production - that a new team completes without hand-holding, with visible escape hatches that are not the default. Makes the paved road easier than the workaround rather than mandating it, and tracks completion rates and drop-off points. Scope: the default path for every team using the capability.</t>
        </is>
      </c>
      <c r="I6" s="4" t="inlineStr">
        <is>
          <t>Depth: Reconciles golden paths across teams into coherent journeys, deciding where paths diverge legitimately versus where fragmentation is accidental, and reviews new paths before launch. Scope: the portfolio of paths across multiple platform teams.</t>
        </is>
      </c>
      <c r="J6" s="4" t="inlineStr">
        <is>
          <t>Depth: Defines the organization's paved-road strategy - which paths exist, what support each tier gets, and how off-road teams re-board - and drives the long tail of snowflake systems onto supported paths. Scope: organization-wide path portfolio.</t>
        </is>
      </c>
      <c r="K6" s="4" t="inlineStr">
        <is>
          <t>Depth: Makes the paved road the company default by economics and quality, not policy - visible in most new services starting on-path without a mandate. Scope: company-wide engineering practice.</t>
        </is>
      </c>
    </row>
    <row r="7">
      <c r="A7" s="4" t="inlineStr">
        <is>
          <t>Platform as a Product</t>
        </is>
      </c>
      <c r="B7" s="4" t="inlineStr">
        <is>
          <t>Developer Experience</t>
        </is>
      </c>
      <c r="C7" s="4" t="inlineStr">
        <is>
          <t>Cognitive load reduction</t>
        </is>
      </c>
      <c r="D7" s="6" t="inlineStr">
        <is>
          <t>OPS-32</t>
        </is>
      </c>
      <c r="E7" s="4" t="inlineStr">
        <is>
          <t>Skelton &amp; Pais, *Team Topologies* (2019), applying Sweller's cognitive load theory (1988)</t>
        </is>
      </c>
      <c r="F7" s="4" t="inlineStr">
        <is>
          <t>Depth: Names the exact docs, errors, and setup steps that forced them to understand internals a user should not need, and files concrete simplification issues. Scope: workflows they personally execute.</t>
        </is>
      </c>
      <c r="G7" s="4" t="inlineStr">
        <is>
          <t>Depth: Reduces the concepts and steps a user must hold to use their component - collapsing configuration, defaulting decisions, rewriting errors to say what to do next - and shows the before/after. Scope: one component's user-facing surface.</t>
        </is>
      </c>
      <c r="H7" s="4" t="inlineStr">
        <is>
          <t>Depth: Designs a capability's abstractions around what users must not have to know - a first-time user succeeds without reading internals - measuring load with time-to-first-success and support-ticket themes and treating regressions as defects. Scope: a capability's entire developer-facing surface.</t>
        </is>
      </c>
      <c r="I7" s="4" t="inlineStr">
        <is>
          <t>Depth: Audits cognitive load across team boundaries - quantifies onboarding time, concepts-to-learn, and ticket themes - and drives the cross-team simplifications no single team could make. Scope: workflows spanning multiple platform teams.</t>
        </is>
      </c>
      <c r="J7" s="4" t="inlineStr">
        <is>
          <t>Depth: Makes cognitive load a first-class organizational measure - sets load budgets for what a product team must and must not need to know to ship, and vetoes platform designs that externalize complexity onto product teams. Scope: the platform organization's whole surface area.</t>
        </is>
      </c>
      <c r="K7" s="4" t="inlineStr">
        <is>
          <t>Depth: Shapes company technology and team-boundary choices explicitly around team cognitive load, arguing in writing for fewer, deeper abstractions over sprawling optionality. Scope: company operating model.</t>
        </is>
      </c>
    </row>
    <row r="8">
      <c r="A8" s="4" t="inlineStr">
        <is>
          <t>Platform Software Engineering</t>
        </is>
      </c>
      <c r="B8" s="4" t="inlineStr">
        <is>
          <t>Design &amp; Architecture</t>
        </is>
      </c>
      <c r="C8" s="4" t="inlineStr">
        <is>
          <t>Platform system design</t>
        </is>
      </c>
      <c r="D8" s="6" t="inlineStr">
        <is>
          <t>SWE-05</t>
        </is>
      </c>
      <c r="E8" s="4" t="inlineStr">
        <is>
          <t>Conway, "How Do Committees Invent?" (Datamation, 1968)</t>
        </is>
      </c>
      <c r="F8" s="4" t="inlineStr">
        <is>
          <t>Depth: Explains the platform's architecture in their own words and navigates its diagrams to find the code that matters for a task; implements designs specified by others, asking questions that surface hidden assumptions. Scope: implements within an existing design.</t>
        </is>
      </c>
      <c r="G8" s="4" t="inlineStr">
        <is>
          <t>Depth: Designs a component within an established architecture, writing a short design note that names the alternatives considered, and spots when a change fights the existing structure. Scope: one component's internal design.</t>
        </is>
      </c>
      <c r="H8" s="4" t="inlineStr">
        <is>
          <t>Depth: Selects patterns by trade-off in design docs that name alternatives, failure modes, and evolution paths - designs multi-tenant platform services for isolation, quota, and noisy-neighbor behavior, and catches coupling and scaling problems in others' designs before build. Scope: owns architecture for a capability and runs its design reviews.</t>
        </is>
      </c>
      <c r="I8" s="4" t="inlineStr">
        <is>
          <t>Depth: Drives designs that cut across several teams' systems - shared control planes, tenancy models, extension points - and gets them agreed in writing. Scope: architecture spanning multiple teams' services.</t>
        </is>
      </c>
      <c r="J8" s="4" t="inlineStr">
        <is>
          <t>Depth: Sets the architectural direction the platform organization builds against and removes the systemic obstacles - legacy coupling, ownership gaps - that block it. Scope: organization-wide platform architecture.</t>
        </is>
      </c>
      <c r="K8" s="4" t="inlineStr">
        <is>
          <t>Depth: Makes the company's foundational architecture bets - the small number of structural decisions everything else assumes - and answers for the ones that fail. Scope: company architecture.</t>
        </is>
      </c>
    </row>
    <row r="9">
      <c r="A9" s="4" t="inlineStr">
        <is>
          <t>Platform Software Engineering</t>
        </is>
      </c>
      <c r="B9" s="4" t="inlineStr">
        <is>
          <t>Design &amp; Architecture</t>
        </is>
      </c>
      <c r="C9" s="4" t="inlineStr">
        <is>
          <t>API &amp; interface design</t>
        </is>
      </c>
      <c r="D9" s="6" t="inlineStr">
        <is>
          <t>SWE-07</t>
        </is>
      </c>
      <c r="E9" s="4" t="inlineStr">
        <is>
          <t>Winters, Manshreck &amp; Wright, *Software Engineering at Google* (2020) - Hyrum's Law</t>
        </is>
      </c>
      <c r="F9" s="4" t="inlineStr">
        <is>
          <t>Depth: Uses the platform's APIs correctly from documentation alone and files precise reports where docs and behavior diverge; small additions match naming and error conventions without being told. Scope: consumes and extends interfaces on assigned tasks.</t>
        </is>
      </c>
      <c r="G9" s="4" t="inlineStr">
        <is>
          <t>Depth: Extends a component's interface without breaking consumers - additive changes, correct versioning, honest error messages - and writes contract tests for the behavior promised. Scope: one component's public surface.</t>
        </is>
      </c>
      <c r="H9" s="4" t="inlineStr">
        <is>
          <t>Depth: Designs a capability's interface as a long-lived product contract - consistent naming, misuse-resistant defaults, explicit versioning and compatibility guarantees, errors a user can act on without reading source - and treats a breaking change to users as an incident. Reviews proposed interfaces for what users will accidentally depend on. Scope: the contract surface of a capability and its review bar.</t>
        </is>
      </c>
      <c r="I9" s="4" t="inlineStr">
        <is>
          <t>Depth: Aligns interface conventions across several teams' APIs so the platform feels like one product, and adjudicates breaking-change disputes between producers and consumers. Scope: interface consistency across multiple teams.</t>
        </is>
      </c>
      <c r="J9" s="4" t="inlineStr">
        <is>
          <t>Depth: Owns the organization's interface standards - versioning policy, deprecation windows, compatibility rules - and the review mechanism that enforces them without bottlenecking teams. Scope: organization-wide interface governance.</t>
        </is>
      </c>
      <c r="K9" s="4" t="inlineStr">
        <is>
          <t>Depth: Sets the company's contract with its developers - which guarantees the company makes, for how long, to whom - and the fundamental interfaces carry their design signature for years. Scope: company-level contracts.</t>
        </is>
      </c>
    </row>
    <row r="10">
      <c r="A10" s="4" t="inlineStr">
        <is>
          <t>Platform Software Engineering</t>
        </is>
      </c>
      <c r="B10" s="4" t="inlineStr">
        <is>
          <t>Code Craft &amp; Quality</t>
        </is>
      </c>
      <c r="C10" s="4" t="inlineStr">
        <is>
          <t>Coding &amp; implementation</t>
        </is>
      </c>
      <c r="D10" s="6" t="inlineStr">
        <is>
          <t>SWE-02</t>
        </is>
      </c>
      <c r="E10" s="4" t="inlineStr">
        <is>
          <t>Fowler, *Refactoring* (2nd ed., 2018)</t>
        </is>
      </c>
      <c r="F10" s="4" t="inlineStr">
        <is>
          <t>Depth: Ships small, working changes that follow the codebase's conventions and pass review with minor feedback - readable diffs, honest naming - and responds to review by fixing the class of problem, not just the instance. Scope: task-sized changes with guidance.</t>
        </is>
      </c>
      <c r="G10" s="4" t="inlineStr">
        <is>
          <t>Depth: Ships production-quality code independently - handles error paths, concurrency, and upgrade safety in platform code other teams depend on - and leaves code measurably better in the course of feature work without being asked. Scope: the components they own.</t>
        </is>
      </c>
      <c r="H10" s="4" t="inlineStr">
        <is>
          <t>Depth: Writes the code others study to learn how it is done here - reference implementations, hardened shared libraries, tricky migration code - and holds the quality bar for a capability, judging when good-enough is correct and saying so. Scope: a capability's codebase, including its shared libraries.</t>
        </is>
      </c>
      <c r="I10" s="4" t="inlineStr">
        <is>
          <t>Depth: Raises the code-health baseline across teams - shared linting, library patterns, exemplar code others copy - measured by falling defect and review-cycle trends, and personally unblocks the hardest technical problems wherever they sit. Scope: multiple teams' codebases.</t>
        </is>
      </c>
      <c r="J10" s="4" t="inlineStr">
        <is>
          <t>Depth: Defines what code quality means for the organization - the standards, tooling, and paved-road defaults that make the good way the easy way - and shows the results in delivery data. Scope: organization-wide engineering quality.</t>
        </is>
      </c>
      <c r="K10" s="4" t="inlineStr">
        <is>
          <t>Depth: Holds the company's long-horizon code health against short-term pressure, publicly making the economic case for maintenance investment, and still writes code in the highest-leverage places. Scope: company code health.</t>
        </is>
      </c>
    </row>
    <row r="11">
      <c r="A11" s="4" t="inlineStr">
        <is>
          <t>Platform Software Engineering</t>
        </is>
      </c>
      <c r="B11" s="4" t="inlineStr">
        <is>
          <t>Code Craft &amp; Quality</t>
        </is>
      </c>
      <c r="C11" s="4" t="inlineStr">
        <is>
          <t>Code review</t>
        </is>
      </c>
      <c r="D11" s="6" t="inlineStr">
        <is>
          <t>SWE-04</t>
        </is>
      </c>
      <c r="E11" s="4" t="inlineStr">
        <is>
          <t>Sadowski et al., "Modern Code Review: A Case Study at Google" (ICSE-SEIP, 2018)</t>
        </is>
      </c>
      <c r="F11" s="4" t="inlineStr">
        <is>
          <t>Depth: Reviews peers' changes for readability and test coverage and asks genuine questions; responds to feedback on their own changes without defensiveness. Scope: changes within their team.</t>
        </is>
      </c>
      <c r="G11" s="4" t="inlineStr">
        <is>
          <t>Depth: Gives reviews that catch real defects - correctness, error handling, compatibility - in actionable, kind comments, and distinguishes blocking issues from preferences explicitly. Scope: their component and its neighbors.</t>
        </is>
      </c>
      <c r="H11" s="4" t="inlineStr">
        <is>
          <t>Depth: Reviews for systemic risk, not just correctness - catches designs-in-disguise, breaking changes to platform users, and operational hazards - and their comments teach the principle behind the correction; engineers seek their review by choice. Scope: review authority across a capability.</t>
        </is>
      </c>
      <c r="I11" s="4" t="inlineStr">
        <is>
          <t>Depth: Calibrates review culture across teams - sets what blocks a merge platform-wide, coaches reviewers, and steps into contentious reviews as the tiebreaker whose reasoning both sides accept. Scope: multiple teams' review culture.</t>
        </is>
      </c>
      <c r="J11" s="4" t="inlineStr">
        <is>
          <t>Depth: Designs the organization's quality gates - decides where human review, automation, and ownership boundaries sit so review load scales with the organization. Scope: organization.</t>
        </is>
      </c>
      <c r="K11" s="4" t="inlineStr">
        <is>
          <t>Depth: Reviews the changes that change the company - the riskiest cross-cutting designs and migrations route to them by reputation, and their judgment is treated as the final technical check. Scope: company.</t>
        </is>
      </c>
    </row>
    <row r="12">
      <c r="A12" s="4" t="inlineStr">
        <is>
          <t>Platform Software Engineering</t>
        </is>
      </c>
      <c r="B12" s="4" t="inlineStr">
        <is>
          <t>Code Craft &amp; Quality</t>
        </is>
      </c>
      <c r="C12" s="4" t="inlineStr">
        <is>
          <t>Testing &amp; verification</t>
        </is>
      </c>
      <c r="D12" s="6" t="inlineStr">
        <is>
          <t>SWE-03</t>
        </is>
      </c>
      <c r="E12" s="4" t="inlineStr">
        <is>
          <t>Cohn (2009) as refined by Vocke, "The Practical Test Pyramid" (2018)</t>
        </is>
      </c>
      <c r="F12" s="4" t="inlineStr">
        <is>
          <t>Depth: Writes unit tests that pin the behavior of their change, including the failure path, and runs the affected suite before requesting review; reproduces a bug with a failing test before fixing it. Scope: tests for their own tasks.</t>
        </is>
      </c>
      <c r="G12" s="4" t="inlineStr">
        <is>
          <t>Depth: Balances unit, integration, and end-to-end coverage for their component and fixes flaky tests instead of retrying them, keeping the suite fast and trustworthy. Scope: one component's test strategy.</t>
        </is>
      </c>
      <c r="H12" s="4" t="inlineStr">
        <is>
          <t>Depth: Designs the verification strategy for a capability - contract tests on its API, upgrade and rollback tests, failure injection where users would feel it - and blocks releases the strategy does not cover, deleting low-value tests as readily as adding good ones. Scope: a capability's release confidence.</t>
        </is>
      </c>
      <c r="I12" s="4" t="inlineStr">
        <is>
          <t>Depth: Builds test infrastructure several teams rely on - shared harnesses, ephemeral environments, contract-test brokers - and drives down cross-team integration escapes and flake rates. Scope: verification across multiple teams.</t>
        </is>
      </c>
      <c r="J12" s="4" t="inlineStr">
        <is>
          <t>Depth: Sets the organization's testing standards and invests where escaped defects cluster, visible in trend lines leadership reviews. Scope: organization-wide verification practice.</t>
        </is>
      </c>
      <c r="K12" s="4" t="inlineStr">
        <is>
          <t>Depth: Frames verification as company risk management, deciding where the company buys confidence with testing versus operational safeguards. Scope: company risk posture.</t>
        </is>
      </c>
    </row>
    <row r="13">
      <c r="A13" s="4" t="inlineStr">
        <is>
          <t>Platform Software Engineering</t>
        </is>
      </c>
      <c r="B13" s="4" t="inlineStr">
        <is>
          <t>Delivery Automation</t>
        </is>
      </c>
      <c r="C13" s="4" t="inlineStr">
        <is>
          <t>Delivery automation &amp; CI/CD</t>
        </is>
      </c>
      <c r="D13" s="6" t="inlineStr">
        <is>
          <t>OPS-02</t>
        </is>
      </c>
      <c r="E13" s="4" t="inlineStr">
        <is>
          <t>Humble &amp; Farley, *Continuous Delivery* (2010)</t>
        </is>
      </c>
      <c r="F13" s="4" t="inlineStr">
        <is>
          <t>Depth: Ships through the pipeline correctly - green builds, small batches - and reads pipeline failures to their cause before asking for help. Scope: their own changes.</t>
        </is>
      </c>
      <c r="G13" s="4" t="inlineStr">
        <is>
          <t>Depth: Owns their component's pipeline - faster feedback, deterministic builds, automated rollback - and treats a red main branch as the team's top interrupt. Scope: one component's delivery path.</t>
        </is>
      </c>
      <c r="H13" s="4" t="inlineStr">
        <is>
          <t>Depth: Designs CI/CD as a product for a capability's users - reusable pipeline templates, progressive delivery with canaries and feature flags, automated rollback triggers - so risky changes ship safely by default, and tracks its DORA metrics as product metrics. Scope: the delivery system for a capability and its users.</t>
        </is>
      </c>
      <c r="I13" s="4" t="inlineStr">
        <is>
          <t>Depth: Builds delivery infrastructure multiple teams ship through and improves their aggregate lead time and change-failure rate, with the before/after measured. Scope: delivery across multiple teams.</t>
        </is>
      </c>
      <c r="J13" s="4" t="inlineStr">
        <is>
          <t>Depth: Owns the organization's delivery architecture - pipeline standards, environment strategy, release policy - and the metrics program that shows it working. Scope: organization-wide delivery performance.</t>
        </is>
      </c>
      <c r="K13" s="4" t="inlineStr">
        <is>
          <t>Depth: Sets company delivery strategy - the company's tolerance for speed versus control, and the investments that move both. Scope: company-wide delivery.</t>
        </is>
      </c>
    </row>
    <row r="14">
      <c r="A14" s="4" t="inlineStr">
        <is>
          <t>Platform Software Engineering</t>
        </is>
      </c>
      <c r="B14" s="4" t="inlineStr">
        <is>
          <t>Delivery Automation</t>
        </is>
      </c>
      <c r="C14" s="4" t="inlineStr">
        <is>
          <t>Deprecation &amp; migration management</t>
        </is>
      </c>
      <c r="D14" s="6" t="inlineStr">
        <is>
          <t>OPS-30</t>
        </is>
      </c>
      <c r="E14" s="4" t="inlineStr">
        <is>
          <t>Winters, Manshreck &amp; Wright, *Software Engineering at Google* (2020), deprecation chapter</t>
        </is>
      </c>
      <c r="F14" s="4" t="inlineStr">
        <is>
          <t>Depth: Executes migration and release steps from a runbook accurately and reports blockers with reproduction detail. Scope: assigned migration tasks and individual releases.</t>
        </is>
      </c>
      <c r="G14" s="4" t="inlineStr">
        <is>
          <t>Depth: Migrates their component's consumers off an old interface - versioned releases, working codemods or clear guides, targeted notices, stragglers tracked to zero - with rollback paths they have actually exercised. Scope: one component's releases and migrations.</t>
        </is>
      </c>
      <c r="H14" s="4" t="inlineStr">
        <is>
          <t>Depth: Plans and runs a capability-level deprecation as a managed migration - usage census, automated tooling for the common case, published timelines with dual-support windows, staged shutoffs with real dates, and support for the hard cases - landing it without surprise breakage or executive escalation. Scope: a capability's lifecycle end to end.</t>
        </is>
      </c>
      <c r="I14" s="4" t="inlineStr">
        <is>
          <t>Depth: Coordinates migrations that cross team boundaries - sequencing dependencies, building shared tooling, keeping a public burn-down - so no team is stranded. Scope: multi-team migrations.</t>
        </is>
      </c>
      <c r="J14" s="4" t="inlineStr">
        <is>
          <t>Depth: Sets the organization's deprecation policy - support windows, migration funding rules, sunset criteria - so retirement is routine rather than heroic, and drives org-scale migrations to completion. Scope: organization-wide lifecycle management.</t>
        </is>
      </c>
      <c r="K14" s="4" t="inlineStr">
        <is>
          <t>Depth: Sets the company's compatibility promise - how long things stay supported, what stability means, and when the company breaks its own users - and drives company-scale technology transitions with multi-year plans that survive reorgs. Scope: company technology lifecycle.</t>
        </is>
      </c>
    </row>
    <row r="15">
      <c r="A15" s="4" t="inlineStr">
        <is>
          <t>Infrastructure &amp; Cloud</t>
        </is>
      </c>
      <c r="B15" s="4" t="inlineStr">
        <is>
          <t>Cloud &amp; Compute</t>
        </is>
      </c>
      <c r="C15" s="4" t="inlineStr">
        <is>
          <t>Cloud architecture</t>
        </is>
      </c>
      <c r="D15" s="6" t="inlineStr">
        <is>
          <t>OPS-01</t>
        </is>
      </c>
      <c r="E15" s="4" t="inlineStr">
        <is>
          <t>Amazon Web Services, *Well-Architected Framework* (2015-)</t>
        </is>
      </c>
      <c r="F15" s="4" t="inlineStr">
        <is>
          <t>Depth: Provisions and modifies cloud resources from documented patterns, explaining what each resource in their change is for and checking cost implications before creating it. Scope: task-level resources in an existing account structure.</t>
        </is>
      </c>
      <c r="G15" s="4" t="inlineStr">
        <is>
          <t>Depth: Designs the cloud footprint for a component - networking, storage, compute choices - with a written note on cost and failure-mode trade-offs. Scope: one component's infrastructure.</t>
        </is>
      </c>
      <c r="H15" s="4" t="inlineStr">
        <is>
          <t>Depth: Architects a capability's infrastructure for the failure domains that matter - zones, regions, quotas, tenancy isolation, dependencies - and defends the design in review against well-architected-style criteria, including cost. Catches single points of failure and blast-radius problems in others' designs. Scope: a capability's cloud architecture.</t>
        </is>
      </c>
      <c r="I15" s="4" t="inlineStr">
        <is>
          <t>Depth: Designs shared infrastructure patterns - landing zones, network topology, account strategy - that multiple teams inherit rather than reinvent. Scope: infrastructure spanning multiple teams.</t>
        </is>
      </c>
      <c r="J15" s="4" t="inlineStr">
        <is>
          <t>Depth: Sets the organization's cloud strategy - provider posture, region strategy, cost governance - and reviews major designs against it, owning the trade-offs in front of finance and vendors. Scope: organization-wide cloud estate.</t>
        </is>
      </c>
      <c r="K15" s="4" t="inlineStr">
        <is>
          <t>Depth: Owns company-level infrastructure bets - multi-cloud versus single, build versus buy at the platform layer, decade-scale commitments - and negotiates the vendor relationships behind them. Scope: company infrastructure strategy.</t>
        </is>
      </c>
    </row>
    <row r="16">
      <c r="A16" s="4" t="inlineStr">
        <is>
          <t>Infrastructure &amp; Cloud</t>
        </is>
      </c>
      <c r="B16" s="4" t="inlineStr">
        <is>
          <t>Cloud &amp; Compute</t>
        </is>
      </c>
      <c r="C16" s="4" t="inlineStr">
        <is>
          <t>Container orchestration &amp; runtime</t>
        </is>
      </c>
      <c r="D16" s="6" t="inlineStr">
        <is>
          <t>OPS-14</t>
        </is>
      </c>
      <c r="E16" s="4" t="inlineStr">
        <is>
          <t>Burns, Grant, Oppenheimer, Brewer &amp; Wilkes, "Borg, Omega, and Kubernetes" (ACM Queue, 2016)</t>
        </is>
      </c>
      <c r="F16" s="4" t="inlineStr">
        <is>
          <t>Depth: Deploys and debugs workloads on the orchestrator with guidance - reads events, logs, and resource limits to explain why a workload is not running. Scope: task-level workloads.</t>
        </is>
      </c>
      <c r="G16" s="4" t="inlineStr">
        <is>
          <t>Depth: Owns their component's runtime configuration - requests and limits, probes, disruption budgets, autoscaling - and tunes it from observed behavior. Scope: one component's runtime.</t>
        </is>
      </c>
      <c r="H16" s="4" t="inlineStr">
        <is>
          <t>Depth: Designs and operates cluster-level platform machinery - operators and controllers, admission rules, tenancy and isolation boundaries, upgrade strategies - and debugs the control plane itself when abstractions leak. Scope: the runtime backing a capability and its tenants.</t>
        </is>
      </c>
      <c r="I16" s="4" t="inlineStr">
        <is>
          <t>Depth: Sets workload standards multiple teams schedule against - cluster topology, upgrade cadence, multi-tenancy rules - and runs orchestrator upgrades without user-visible disruption. Scope: shared clusters across multiple teams.</t>
        </is>
      </c>
      <c r="J16" s="4" t="inlineStr">
        <is>
          <t>Depth: Owns the organization's runtime strategy - cluster fleet architecture, workload placement policy, the abstraction level exposed over raw orchestration. Scope: organization-wide runtime estate.</t>
        </is>
      </c>
      <c r="K16" s="4" t="inlineStr">
        <is>
          <t>Depth: Decides company-level runtime direction - when to adopt, skip, or exit a foundational compute technology - with published reasoning others cite. Scope: company compute strategy.</t>
        </is>
      </c>
    </row>
    <row r="17">
      <c r="A17" s="4" t="inlineStr">
        <is>
          <t>Infrastructure &amp; Cloud</t>
        </is>
      </c>
      <c r="B17" s="4" t="inlineStr">
        <is>
          <t>Cloud &amp; Compute</t>
        </is>
      </c>
      <c r="C17" s="4" t="inlineStr">
        <is>
          <t>Networking &amp; compute foundations</t>
        </is>
      </c>
      <c r="D17" s="6" t="inlineStr">
        <is>
          <t>OPS-19</t>
        </is>
      </c>
      <c r="E17" s="4" t="inlineStr">
        <is>
          <t>Kurose &amp; Ross, *Computer Networking: A Top-Down Approach* (8th ed., 2021)</t>
        </is>
      </c>
      <c r="F17" s="4" t="inlineStr">
        <is>
          <t>Depth: Traces a request through DNS, load balancer, and service to locate a failure, narrating the path as they go. Scope: single-workload troubleshooting.</t>
        </is>
      </c>
      <c r="G17" s="4" t="inlineStr">
        <is>
          <t>Depth: Configures the networking and compute for their component - routing, transport security, capacity class - and explains each choice. Scope: one component's foundations.</t>
        </is>
      </c>
      <c r="H17" s="4" t="inlineStr">
        <is>
          <t>Depth: Designs network and compute topology for a capability - segmentation, ingress and egress, cross-region traffic - and debugs the problems that cross abstraction layers. Scope: a capability's foundation layer.</t>
        </is>
      </c>
      <c r="I17" s="4" t="inlineStr">
        <is>
          <t>Depth: Owns shared foundations several teams depend on and leads the gnarliest cross-layer incident investigations. Scope: multi-team shared infrastructure.</t>
        </is>
      </c>
      <c r="J17" s="4" t="inlineStr">
        <is>
          <t>Depth: Sets organization standards for network architecture and compute platforms and drives the consolidation migrations they imply. Scope: organization.</t>
        </is>
      </c>
      <c r="K17" s="4" t="inlineStr">
        <is>
          <t>Depth: Owns company-scale foundation decisions - backbone, edge, data-center and cloud boundary - with a written multi-year plan. Scope: company.</t>
        </is>
      </c>
    </row>
    <row r="18">
      <c r="A18" s="4" t="inlineStr">
        <is>
          <t>Infrastructure &amp; Cloud</t>
        </is>
      </c>
      <c r="B18" s="4" t="inlineStr">
        <is>
          <t>Automation &amp; Self-Service</t>
        </is>
      </c>
      <c r="C18" s="4" t="inlineStr">
        <is>
          <t>Infrastructure as code</t>
        </is>
      </c>
      <c r="D18" s="6" t="inlineStr">
        <is>
          <t>OPS-10</t>
        </is>
      </c>
      <c r="E18" s="4" t="inlineStr">
        <is>
          <t>Morris, *Infrastructure as Code* (O'Reilly, 2016)</t>
        </is>
      </c>
      <c r="F18" s="4" t="inlineStr">
        <is>
          <t>Depth: Makes changes through the IaC workflow rather than the console, reading plans and diffs to predict what will change before applying. Scope: task-level changes in existing modules.</t>
        </is>
      </c>
      <c r="G18" s="4" t="inlineStr">
        <is>
          <t>Depth: Writes reusable, parameterized modules for their component with sensible defaults and validation, and untangles state problems - drift, imports - safely. Scope: one component's infrastructure code.</t>
        </is>
      </c>
      <c r="H18" s="4" t="inlineStr">
        <is>
          <t>Depth: Designs the IaC architecture for a capability - module boundaries, state topology, environment promotion, policy checks in the pipeline - so console drift is the exception that pages someone. Reviews others' infrastructure code for blast radius and reversibility. Scope: a capability's infrastructure codebase.</t>
        </is>
      </c>
      <c r="I18" s="4" t="inlineStr">
        <is>
          <t>Depth: Publishes module libraries and IaC conventions multiple teams build on, and runs breaking upgrades of shared modules without stranding consumers. Scope: shared infrastructure code across multiple teams.</t>
        </is>
      </c>
      <c r="J18" s="4" t="inlineStr">
        <is>
          <t>Depth: Sets the organization's IaC standards - tooling, structure, testing, drift policy - and retires the exceptions and legacy hand-managed estates. Scope: organization-wide infrastructure codebase.</t>
        </is>
      </c>
      <c r="K18" s="4" t="inlineStr">
        <is>
          <t>Depth: Treats the company's infrastructure definition as a strategic asset - portability, auditability, disaster recovery - and directs investment accordingly. Scope: company infrastructure posture.</t>
        </is>
      </c>
    </row>
    <row r="19">
      <c r="A19" s="4" t="inlineStr">
        <is>
          <t>Infrastructure &amp; Cloud</t>
        </is>
      </c>
      <c r="B19" s="4" t="inlineStr">
        <is>
          <t>Automation &amp; Self-Service</t>
        </is>
      </c>
      <c r="C19" s="4" t="inlineStr">
        <is>
          <t>Self-service provisioning</t>
        </is>
      </c>
      <c r="D19" s="6" t="inlineStr">
        <is>
          <t>OPS-27</t>
        </is>
      </c>
      <c r="E19" s="4" t="inlineStr">
        <is>
          <t>Bottcher, "What I Talk About When I Talk About Platforms" (martinfowler.com, 2018)</t>
        </is>
      </c>
      <c r="F19" s="4" t="inlineStr">
        <is>
          <t>Depth: Uses the self-service tooling as users do and documents the gaps that forced manual steps - doc corrections, template fixes, clearer prompts. Scope: individual requests.</t>
        </is>
      </c>
      <c r="G19" s="4" t="inlineStr">
        <is>
          <t>Depth: Automates a manual provisioning flow for their component into a self-service action with validation and sane defaults, and measures the tickets it eliminates. Scope: one component's provisioning.</t>
        </is>
      </c>
      <c r="H19" s="4" t="inlineStr">
        <is>
          <t>Depth: Designs self-service for a capability end to end - request, policy checks, provisioning, and day-2 operations like resize and teardown - with guardrails so self-service cannot create unsafe states, driving the ticket queue toward zero and time-to-provision down. Scope: a capability's full self-service lifecycle.</t>
        </is>
      </c>
      <c r="I19" s="4" t="inlineStr">
        <is>
          <t>Depth: Unifies self-service across teams behind one coherent interface - portal, CLI, or API - with a consistent request-to-ready experience, and holds the bar that new platform features ship self-service by default. Scope: self-service spanning multiple teams' offerings.</t>
        </is>
      </c>
      <c r="J19" s="4" t="inlineStr">
        <is>
          <t>Depth: Drives the organization to a self-service operating model, reporting ticket-elimination and time-to-ready trends to leadership. Scope: organization-wide provisioning experience.</t>
        </is>
      </c>
      <c r="K19" s="4" t="inlineStr">
        <is>
          <t>Depth: Makes self-service the company's default operating model for infrastructure, with manual provisioning reduced to signed-off exceptions. Scope: company operating model.</t>
        </is>
      </c>
    </row>
    <row r="20">
      <c r="A20" s="4" t="inlineStr">
        <is>
          <t>Reliability &amp; Operations</t>
        </is>
      </c>
      <c r="B20" s="4" t="inlineStr">
        <is>
          <t>Observability &amp; Service Levels</t>
        </is>
      </c>
      <c r="C20" s="4" t="inlineStr">
        <is>
          <t>Observability &amp; instrumentation</t>
        </is>
      </c>
      <c r="D20" s="6" t="inlineStr">
        <is>
          <t>OPS-05</t>
        </is>
      </c>
      <c r="E20" s="4" t="inlineStr">
        <is>
          <t>Majors, Fong-Jones &amp; Miranda, *Observability Engineering* (O'Reilly, 2022)</t>
        </is>
      </c>
      <c r="F20" s="4" t="inlineStr">
        <is>
          <t>Depth: Reads existing dashboards, logs, and traces to locate a fault, and adds log lines and metrics to their own changes as a matter of course. Scope: debugging their own tasks.</t>
        </is>
      </c>
      <c r="G20" s="4" t="inlineStr">
        <is>
          <t>Depth: Instruments their component so strangers can debug it - structured events, useful trace spans, dashboards tied to user symptoms - answering 'what changed and who is affected' without adding code. Scope: one component's telemetry.</t>
        </is>
      </c>
      <c r="H20" s="4" t="inlineStr">
        <is>
          <t>Depth: Designs the observability offering for a capability - cardinality and cost trade-offs, sampling, correlation across services, out-of-the-box dashboards users get without configuration - and debugs novel production questions from telemetry alone. Makes platform telemetry consumable by users debugging their own workloads. Scope: a capability's observability, including its user-facing telemetry.</t>
        </is>
      </c>
      <c r="I20" s="4" t="inlineStr">
        <is>
          <t>Depth: Builds observability infrastructure multiple teams instrument against - shared pipelines, conventions, cost governance - and raises the floor of what every team can see. Scope: telemetry across multiple teams.</t>
        </is>
      </c>
      <c r="J20" s="4" t="inlineStr">
        <is>
          <t>Depth: Sets the organization's observability strategy and standards, retiring tool sprawl, owning the cost curve, and making cross-system debugging routine. Scope: organization-wide observability.</t>
        </is>
      </c>
      <c r="K20" s="4" t="inlineStr">
        <is>
          <t>Depth: Frames observability as company capability - what the business can and cannot see about its own operation - and directs investment at the blind spots with the largest risk. Scope: company-level visibility.</t>
        </is>
      </c>
    </row>
    <row r="21">
      <c r="A21" s="4" t="inlineStr">
        <is>
          <t>Reliability &amp; Operations</t>
        </is>
      </c>
      <c r="B21" s="4" t="inlineStr">
        <is>
          <t>Observability &amp; Service Levels</t>
        </is>
      </c>
      <c r="C21" s="4" t="inlineStr">
        <is>
          <t>SLOs &amp; error budgets</t>
        </is>
      </c>
      <c r="D21" s="6" t="inlineStr">
        <is>
          <t>OPS-04</t>
        </is>
      </c>
      <c r="E21" s="4" t="inlineStr">
        <is>
          <t>Beyer, Jones, Petoff &amp; Murphy (eds.), *Site Reliability Engineering* (O'Reilly, 2016)</t>
        </is>
      </c>
      <c r="F21" s="4" t="inlineStr">
        <is>
          <t>Depth: Explains their service's SLOs and reads burn-rate dashboards correctly, escalating when budget burn is abnormal and responding to alerts on their own work by the runbook. Scope: awareness on the services they touch.</t>
        </is>
      </c>
      <c r="G21" s="4" t="inlineStr">
        <is>
          <t>Depth: Defines SLIs that reflect user experience for their component - alert thresholds tied to symptoms rather than causes, runbooks a first-time responder can execute - and prunes noisy alerts. Scope: one component's service levels.</t>
        </is>
      </c>
      <c r="H21" s="4" t="inlineStr">
        <is>
          <t>Depth: Negotiates SLOs for a capability with its internal customers, sets error-budget policy, wires budgets into release decisions, and visibly changes priorities when the budget is exhausted - feature work stops, reliability work starts. Audits alert quality so pages are actionable and rare. Scope: a capability's reliability contract.</t>
        </is>
      </c>
      <c r="I21" s="4" t="inlineStr">
        <is>
          <t>Depth: Aligns SLOs across dependent services so promises compose - no service promising more than its dependencies allow - and arbitrates budget disputes between teams. Scope: reliability contracts across multiple teams.</t>
        </is>
      </c>
      <c r="J21" s="4" t="inlineStr">
        <is>
          <t>Depth: Owns the organization's SLO framework and review cadence, making error budgets the shared currency of reliability decisions in planning. Scope: organization-wide reliability governance.</t>
        </is>
      </c>
      <c r="K21" s="4" t="inlineStr">
        <is>
          <t>Depth: Sets company reliability targets against business risk and cost, deciding where the company deliberately buys less than five nines. Scope: company reliability posture.</t>
        </is>
      </c>
    </row>
    <row r="22">
      <c r="A22" s="4" t="inlineStr">
        <is>
          <t>Reliability &amp; Operations</t>
        </is>
      </c>
      <c r="B22" s="4" t="inlineStr">
        <is>
          <t>Incident Management</t>
        </is>
      </c>
      <c r="C22" s="4" t="inlineStr">
        <is>
          <t>Incident response</t>
        </is>
      </c>
      <c r="D22" s="6" t="inlineStr">
        <is>
          <t>OPS-06</t>
        </is>
      </c>
      <c r="E22" s="4" t="inlineStr">
        <is>
          <t>PagerDuty, *Incident Response Guide* (2017)</t>
        </is>
      </c>
      <c r="F22" s="4" t="inlineStr">
        <is>
          <t>Depth: Executes runbook steps accurately during incidents under supervision - joins the channel, keeps a timeline, and speaks up when reality diverges from the runbook. Scope: assisting on incidents touching their tasks.</t>
        </is>
      </c>
      <c r="G22" s="4" t="inlineStr">
        <is>
          <t>Depth: Serves as primary on-call for their component - triages, mitigates first, communicates status on a cadence, and escalates with a clear handoff when out of depth. Scope: one component's rotation.</t>
        </is>
      </c>
      <c r="H22" s="4" t="inlineStr">
        <is>
          <t>Depth: Commands complex multi-team incidents - structures the response, delegates workstreams, makes mitigation calls under uncertainty, and runs the user-facing communications; responders describe the room getting calmer when they join. Scope: incidents spanning a capability and its dependent teams.</t>
        </is>
      </c>
      <c r="I22" s="4" t="inlineStr">
        <is>
          <t>Depth: Designs the incident-management system itself - severity schemes, escalation paths, tooling, and on-call health across teams - and steps in as commander for the worst cases. Scope: multiple teams' response system.</t>
        </is>
      </c>
      <c r="J22" s="4" t="inlineStr">
        <is>
          <t>Depth: Owns the organization's major-incident readiness - drives cross-org drills and game days and is the technical authority leadership expects on the bridge in a crisis. Scope: organization.</t>
        </is>
      </c>
      <c r="K22" s="4" t="inlineStr">
        <is>
          <t>Depth: Leads the company's existential incidents and the reforms after them - the response to company-threatening events, and the structural changes that follow, are theirs to drive. Scope: company.</t>
        </is>
      </c>
    </row>
    <row r="23">
      <c r="A23" s="4" t="inlineStr">
        <is>
          <t>Reliability &amp; Operations</t>
        </is>
      </c>
      <c r="B23" s="4" t="inlineStr">
        <is>
          <t>Incident Management</t>
        </is>
      </c>
      <c r="C23" s="4" t="inlineStr">
        <is>
          <t>Learning from incidents</t>
        </is>
      </c>
      <c r="D23" s="6" t="inlineStr">
        <is>
          <t>OPS-06</t>
        </is>
      </c>
      <c r="E23" s="4" t="inlineStr">
        <is>
          <t>Allspaw, "Blameless PostMortems and a Just Culture" (Etsy Code as Craft, 2012)</t>
        </is>
      </c>
      <c r="F23" s="4" t="inlineStr">
        <is>
          <t>Depth: Contributes accurate timelines and observations to incident reviews and completes the follow-up actions assigned to them on time. Scope: incidents they took part in.</t>
        </is>
      </c>
      <c r="G23" s="4" t="inlineStr">
        <is>
          <t>Depth: Writes blameless postmortems for their component's incidents - timelines, contributing factors beyond the trigger, and actions that get done rather than logged. Scope: one component.</t>
        </is>
      </c>
      <c r="H23" s="4" t="inlineStr">
        <is>
          <t>Depth: Facilitates incident reviews others attend voluntarily - surfaces systemic and organizational contributors, extracts themes across incidents, and converts them into platform work that measurably reduces repeats. Scope: a capability's incident record.</t>
        </is>
      </c>
      <c r="I23" s="4" t="inlineStr">
        <is>
          <t>Depth: Builds the learning system across teams - review standards, cross-team pattern analysis, the feedback loop from incidents into roadmaps - and spots the org-level pattern behind separate teams' incidents. Scope: multiple teams.</t>
        </is>
      </c>
      <c r="J23" s="4" t="inlineStr">
        <is>
          <t>Depth: Drives org-level resilience investment from incident evidence - the organization's biggest reliability bets cite analysis they produced. Scope: organization.</t>
        </is>
      </c>
      <c r="K23" s="4" t="inlineStr">
        <is>
          <t>Depth: Shapes the company's safety culture - how the company talks about failure, and what it changes after failure, reflects norms they set. Scope: company.</t>
        </is>
      </c>
    </row>
    <row r="24">
      <c r="A24" s="4" t="inlineStr">
        <is>
          <t>Reliability &amp; Operations</t>
        </is>
      </c>
      <c r="B24" s="4" t="inlineStr">
        <is>
          <t>Operational Excellence</t>
        </is>
      </c>
      <c r="C24" s="4" t="inlineStr">
        <is>
          <t>Capacity, performance &amp; cost</t>
        </is>
      </c>
      <c r="D24" s="6" t="inlineStr">
        <is>
          <t>OPS-07</t>
        </is>
      </c>
      <c r="E24" s="4" t="inlineStr">
        <is>
          <t>Gregg, *Systems Performance* (2nd ed., 2020)</t>
        </is>
      </c>
      <c r="F24" s="4" t="inlineStr">
        <is>
          <t>Depth: Reads utilization and saturation dashboards correctly and flags approaching limits with evidence, checking the resource impact of their own changes before merge. Scope: resources their tasks touch.</t>
        </is>
      </c>
      <c r="G24" s="4" t="inlineStr">
        <is>
          <t>Depth: Load-tests their component and sizes it from measured headroom rather than guesswork, profiling the hot path before optimizing and tracking its spend. Scope: one component's capacity and performance.</t>
        </is>
      </c>
      <c r="H24" s="4" t="inlineStr">
        <is>
          <t>Depth: Owns capacity planning for a capability - forecasts demand ahead of organic and launch-driven growth, sets headroom policy, manages tenant quotas so one user cannot starve the rest, and keeps cost-per-tenant visible so demand self-corrects. Catches the scaling cliff before users hit it. Scope: a capability's capacity, performance, and spend.</t>
        </is>
      </c>
      <c r="I24" s="4" t="inlineStr">
        <is>
          <t>Depth: Runs capacity planning across shared pools that multiple teams draw from, arbitrating contention with data and driving the efficiency work with the largest aggregate payoff. Scope: shared capacity across multiple teams.</t>
        </is>
      </c>
      <c r="J24" s="4" t="inlineStr">
        <is>
          <t>Depth: Owns the organization's capacity and efficiency program - forecasting discipline, unit economics, commitment strategy with providers - with a forecast finance trusts. Scope: organization-wide capacity and cost.</t>
        </is>
      </c>
      <c r="K24" s="4" t="inlineStr">
        <is>
          <t>Depth: Treats infrastructure economics as company strategy - negotiating commitments, setting efficiency targets, deciding when scale justifies structural change. Scope: company infrastructure economics.</t>
        </is>
      </c>
    </row>
    <row r="25">
      <c r="A25" s="4" t="inlineStr">
        <is>
          <t>Reliability &amp; Operations</t>
        </is>
      </c>
      <c r="B25" s="4" t="inlineStr">
        <is>
          <t>Operational Excellence</t>
        </is>
      </c>
      <c r="C25" s="4" t="inlineStr">
        <is>
          <t>Toil reduction &amp; automation</t>
        </is>
      </c>
      <c r="D25" s="6" t="inlineStr">
        <is>
          <t>OPS-28</t>
        </is>
      </c>
      <c r="E25" s="4" t="inlineStr">
        <is>
          <t>Beyer, Jones, Petoff &amp; Murphy (eds.), *Site Reliability Engineering* (O'Reilly, 2016), toil chapter</t>
        </is>
      </c>
      <c r="F25" s="4" t="inlineStr">
        <is>
          <t>Depth: Executes operational runbooks accurately and improves the runbook when a step is wrong or missing, scripting away repetitive steps in their own work and sharing the script. Scope: assigned operational tasks.</t>
        </is>
      </c>
      <c r="G25" s="4" t="inlineStr">
        <is>
          <t>Depth: Automates the recurring manual work in their component - scripted, scheduled, or eliminated - and shows the hours reclaimed. Scope: one component's operational load.</t>
        </is>
      </c>
      <c r="H25" s="4" t="inlineStr">
        <is>
          <t>Depth: Measures toil for a capability and holds it under an explicit budget, designing the operational work out - self-healing, auto-remediation, removing the need entirely - rather than scripting it faster. Scope: a capability's operational model.</t>
        </is>
      </c>
      <c r="I25" s="4" t="inlineStr">
        <is>
          <t>Depth: Builds automation multiple teams reuse for their operational work and drives down the organization's aggregate on-call load, with the trend visible. Scope: operational load across multiple teams.</t>
        </is>
      </c>
      <c r="J25" s="4" t="inlineStr">
        <is>
          <t>Depth: Sets the organization's toil policy - measurement, budgets, and the planning rule that reclaims time for engineering work. Scope: organization-wide operational efficiency.</t>
        </is>
      </c>
      <c r="K25" s="4" t="inlineStr">
        <is>
          <t>Depth: Makes operational leverage a company-level argument - headcount that scales sublinearly with growth - and directs automation investment accordingly. Scope: company operational economics.</t>
        </is>
      </c>
    </row>
    <row r="26">
      <c r="A26" s="4" t="inlineStr">
        <is>
          <t>Security &amp; Compliance</t>
        </is>
      </c>
      <c r="B26" s="4" t="inlineStr">
        <is>
          <t>Secure by Default</t>
        </is>
      </c>
      <c r="C26" s="4" t="inlineStr">
        <is>
          <t>Guardrails &amp; policy as code</t>
        </is>
      </c>
      <c r="D26" s="6" t="inlineStr">
        <is>
          <t>SEC-18</t>
        </is>
      </c>
      <c r="E26" s="4" t="inlineStr">
        <is>
          <t>OWASP, *Application Security Verification Standard* (v4, 2019)</t>
        </is>
      </c>
      <c r="F26" s="4" t="inlineStr">
        <is>
          <t>Depth: Works within existing guardrails and reads policy failures to their cause instead of asking for exemptions, and explains what each guardrail protects against. Scope: their own changes.</t>
        </is>
      </c>
      <c r="G26" s="4" t="inlineStr">
        <is>
          <t>Depth: Writes and tests policy rules for their component - admission checks, pipeline gates - with low false-positive rates and violation messages that say how to fix the problem. Scope: one component's policy surface.</t>
        </is>
      </c>
      <c r="H26" s="4" t="inlineStr">
        <is>
          <t>Depth: Designs the guardrail architecture for a capability - what is blocked, warned, or audited, with documented threat reasoning - and tunes it so the safe path is the fast path, measured by exemption-request rates falling; runs the exception workflow without becoming the bottleneck. Scope: a capability's preventive controls.</t>
        </is>
      </c>
      <c r="I26" s="4" t="inlineStr">
        <is>
          <t>Depth: Harmonizes policy across teams into a coherent, versioned policy library with a real exception process - time-boxed, owned, reviewed - and adjudicates the security-versus-velocity disputes teams escalate. Scope: guardrails spanning multiple teams.</t>
        </is>
      </c>
      <c r="J26" s="4" t="inlineStr">
        <is>
          <t>Depth: Owns the organization's guardrail strategy with security partners - the control catalog, its coverage, and the evidence it works, moving security from review-time to platform-time. Scope: organization-wide preventive posture.</t>
        </is>
      </c>
      <c r="K26" s="4" t="inlineStr">
        <is>
          <t>Depth: Sets the company's balance of enablement and control, accountable for guardrails that hold under audit and under attack without strangling delivery. Scope: company control posture.</t>
        </is>
      </c>
    </row>
    <row r="27">
      <c r="A27" s="4" t="inlineStr">
        <is>
          <t>Security &amp; Compliance</t>
        </is>
      </c>
      <c r="B27" s="4" t="inlineStr">
        <is>
          <t>Secure by Default</t>
        </is>
      </c>
      <c r="C27" s="4" t="inlineStr">
        <is>
          <t>Identity, secrets &amp; access</t>
        </is>
      </c>
      <c r="D27" s="6" t="inlineStr">
        <is>
          <t>SEC-01</t>
        </is>
      </c>
      <c r="E27" s="4" t="inlineStr">
        <is>
          <t>Ward &amp; Beyer, "BeyondCorp: A New Approach to Enterprise Security" (;login:, 2014)</t>
        </is>
      </c>
      <c r="F27" s="4" t="inlineStr">
        <is>
          <t>Depth: Requests and uses credentials through the sanctioned workflow, never hard-codes a secret, and reports exposed credentials immediately - and spots one in review. Scope: their own access hygiene.</t>
        </is>
      </c>
      <c r="G27" s="4" t="inlineStr">
        <is>
          <t>Depth: Configures workload identity, scoped roles, and secret rotation for their component, removing standing permissions it no longer needs. Scope: one component's identity surface.</t>
        </is>
      </c>
      <c r="H27" s="4" t="inlineStr">
        <is>
          <t>Depth: Designs the identity model for a capability - workload identity, short-lived credentials, least-privilege role structure, break-glass with audit - and reviews access designs for privilege-escalation paths before they ship. Scope: a capability's identity and secrets architecture.</t>
        </is>
      </c>
      <c r="I27" s="4" t="inlineStr">
        <is>
          <t>Depth: Builds identity infrastructure multiple teams authenticate through, and runs credential-model migrations - long-lived to short-lived, shared to workload identity - without breaking users. Scope: identity across multiple teams.</t>
        </is>
      </c>
      <c r="J27" s="4" t="inlineStr">
        <is>
          <t>Depth: Owns the organization's identity architecture and its zero-trust roadmap, retiring standing privilege and shared secrets as measurable programs. Scope: organization-wide identity.</t>
        </is>
      </c>
      <c r="K27" s="4" t="inlineStr">
        <is>
          <t>Depth: Sets company identity strategy across employee, workload, and customer boundaries, and represents it to auditors, partners, and executives. Scope: company identity posture.</t>
        </is>
      </c>
    </row>
    <row r="28">
      <c r="A28" s="4" t="inlineStr">
        <is>
          <t>Security &amp; Compliance</t>
        </is>
      </c>
      <c r="B28" s="4" t="inlineStr">
        <is>
          <t>Supply Chain &amp; Assurance</t>
        </is>
      </c>
      <c r="C28" s="4" t="inlineStr">
        <is>
          <t>Software supply chain security</t>
        </is>
      </c>
      <c r="D28" s="6" t="inlineStr">
        <is>
          <t>SEC-09</t>
        </is>
      </c>
      <c r="E28" s="4" t="inlineStr">
        <is>
          <t>OpenSSF, *SLSA: Supply-chain Levels for Software Artifacts* (2021)</t>
        </is>
      </c>
      <c r="F28" s="4" t="inlineStr">
        <is>
          <t>Depth: Keeps dependencies current on their tasks and acts on vulnerability-scanner findings with guidance, distinguishing exploitable from noise with help. Scope: dependencies in their own changes.</t>
        </is>
      </c>
      <c r="G28" s="4" t="inlineStr">
        <is>
          <t>Depth: Maintains their component's supply-chain hygiene - pinning, update cadence, accurate software inventories, signed artifacts - and remediates vulnerabilities within the team's SLA. Scope: one component's supply chain.</t>
        </is>
      </c>
      <c r="H28" s="4" t="inlineStr">
        <is>
          <t>Depth: Designs a capability's pipeline to a stated supply-chain integrity level - provenance generation, signed artifacts, isolated builds, admission verification - and can show the attestation chain for any production artifact; leads the response when a dependency compromise hits. Scope: a capability's build-to-deploy integrity.</t>
        </is>
      </c>
      <c r="I28" s="4" t="inlineStr">
        <is>
          <t>Depth: Builds supply-chain controls into the shared pipeline so every team inherits provenance and scanning by default. Scope: supply-chain posture across multiple teams.</t>
        </is>
      </c>
      <c r="J28" s="4" t="inlineStr">
        <is>
          <t>Depth: Owns the organization's supply-chain security program - target levels, coverage, exception burn-down - reported against a public roadmap. Scope: organization-wide supply chain.</t>
        </is>
      </c>
      <c r="K28" s="4" t="inlineStr">
        <is>
          <t>Depth: Sets company supply-chain policy including third-party and vendor software, and answers for it to customers and regulators. Scope: company supply-chain posture.</t>
        </is>
      </c>
    </row>
    <row r="29">
      <c r="A29" s="4" t="inlineStr">
        <is>
          <t>Security &amp; Compliance</t>
        </is>
      </c>
      <c r="B29" s="4" t="inlineStr">
        <is>
          <t>Supply Chain &amp; Assurance</t>
        </is>
      </c>
      <c r="C29" s="4" t="inlineStr">
        <is>
          <t>Compliance &amp; audit readiness</t>
        </is>
      </c>
      <c r="D29" s="6" t="inlineStr">
        <is>
          <t>OPS-09</t>
        </is>
      </c>
      <c r="E29" s="4" t="inlineStr">
        <is>
          <t>NIST, *OSCAL - Open Security Controls Assessment Language* (1.0, 2021)</t>
        </is>
      </c>
      <c r="F29" s="4" t="inlineStr">
        <is>
          <t>Depth: Follows the platform's compliance procedures accurately - change records, access reviews - and asks why a control exists rather than routing around it. Scope: their own work's compliance hygiene.</t>
        </is>
      </c>
      <c r="G29" s="4" t="inlineStr">
        <is>
          <t>Depth: Automates evidence collection for their component's controls so audit requests are answered from systems, not screenshots. Scope: one component's control evidence.</t>
        </is>
      </c>
      <c r="H29" s="4" t="inlineStr">
        <is>
          <t>Depth: Maps a capability's controls to the frameworks the company answers to and designs them to be inherited - teams building on the capability get the control satisfied by default - and walks auditors through the design credibly. Scope: a capability's compliance surface.</t>
        </is>
      </c>
      <c r="I29" s="4" t="inlineStr">
        <is>
          <t>Depth: Rationalizes overlapping control implementations across teams into shared, platform-enforced controls, cutting per-team audit effort measurably. Scope: compliance across multiple teams.</t>
        </is>
      </c>
      <c r="J29" s="4" t="inlineStr">
        <is>
          <t>Depth: Owns the organization's compliance-as-code strategy with legal and security partners - which frameworks, which inherited controls, what the audit story is. Scope: organization-wide compliance architecture.</t>
        </is>
      </c>
      <c r="K29" s="4" t="inlineStr">
        <is>
          <t>Depth: Shapes company posture on regulatory strategy where infrastructure is implicated - data residency, certifications worth pursuing - as an input to market decisions. Scope: company regulatory posture.</t>
        </is>
      </c>
    </row>
    <row r="30">
      <c r="A30" s="4" t="inlineStr">
        <is>
          <t>Communication &amp; Collaboration</t>
        </is>
      </c>
      <c r="B30" s="4" t="inlineStr">
        <is>
          <t>Knowledge &amp; Documentation</t>
        </is>
      </c>
      <c r="C30" s="4" t="inlineStr">
        <is>
          <t>Technical documentation</t>
        </is>
      </c>
      <c r="D30" s="6" t="inlineStr">
        <is>
          <t>DR-05</t>
        </is>
      </c>
      <c r="E30" s="4" t="inlineStr">
        <is>
          <t>Procida, *Diataxis* (2017-)</t>
        </is>
      </c>
      <c r="F30" s="4" t="inlineStr">
        <is>
          <t>Depth: Fixes documentation errors they hit instead of working around them, and writes accurate task-level notes others can follow. Scope: docs for their own tasks.</t>
        </is>
      </c>
      <c r="G30" s="4" t="inlineStr">
        <is>
          <t>Depth: Keeps their component's docs shippable - a quickstart that works, reference that matches behavior - and treats doc bugs from users as real bugs. Scope: one component's documentation.</t>
        </is>
      </c>
      <c r="H30" s="4" t="inlineStr">
        <is>
          <t>Depth: Designs a capability's documentation as part of the product - tutorial, how-to, reference, and explanation each doing their distinct job - instrumented for where readers fail, with recurring support questions treated as doc defects to fix at the source. Scope: a capability's doc set and information architecture.</t>
        </is>
      </c>
      <c r="I30" s="4" t="inlineStr">
        <is>
          <t>Depth: Sets documentation conventions multiple teams follow and builds the docs infrastructure - templates, testable examples, freshness checks - that keeps them true. Scope: documentation across multiple teams.</t>
        </is>
      </c>
      <c r="J30" s="4" t="inlineStr">
        <is>
          <t>Depth: Owns the organization's developer-facing knowledge strategy, making docs quality a reviewed, measured property of every platform launch. Scope: organization-wide platform documentation.</t>
        </is>
      </c>
      <c r="K30" s="4" t="inlineStr">
        <is>
          <t>Depth: Writes the canonical company documents - architecture primers, technology strategy - that onboard leaders and engineers alike for years. Scope: company-level canon.</t>
        </is>
      </c>
    </row>
    <row r="31">
      <c r="A31" s="4" t="inlineStr">
        <is>
          <t>Communication &amp; Collaboration</t>
        </is>
      </c>
      <c r="B31" s="4" t="inlineStr">
        <is>
          <t>Knowledge &amp; Documentation</t>
        </is>
      </c>
      <c r="C31" s="4" t="inlineStr">
        <is>
          <t>Design communication &amp; decision records</t>
        </is>
      </c>
      <c r="D31" s="6" t="inlineStr">
        <is>
          <t>CC-01</t>
        </is>
      </c>
      <c r="E31" s="4" t="inlineStr">
        <is>
          <t>Winters, Manshreck &amp; Wright, *Software Engineering at Google* (2020), design-docs chapters</t>
        </is>
      </c>
      <c r="F31" s="4" t="inlineStr">
        <is>
          <t>Depth: Writes clear tickets, PR descriptions, and status updates that need no follow-up questions, and asks questions in review that improve their understanding. Scope: their own changes and task communication.</t>
        </is>
      </c>
      <c r="G31" s="4" t="inlineStr">
        <is>
          <t>Depth: Writes short design docs that state the problem, options, and recommendation, readable by a non-expert teammate, and records the decision so others can revisit it. Scope: component decisions.</t>
        </is>
      </c>
      <c r="H31" s="4" t="inlineStr">
        <is>
          <t>Depth: Writes design docs that make complex trade-offs decidable by non-experts - alternatives honestly weighed, decision record kept - tailoring the same content for engineers, users, and leaders, and runs technical discussions that converge instead of circling. Scope: capability-level decisions.</t>
        </is>
      </c>
      <c r="I31" s="4" t="inlineStr">
        <is>
          <t>Depth: Writes the cross-team proposals that settle contested technical questions, absorbing objections into the doc rather than the hallway, so decisions are made once and stick. Scope: technical discourse across multiple teams.</t>
        </is>
      </c>
      <c r="J31" s="4" t="inlineStr">
        <is>
          <t>Depth: Sets the organization's bar for decision writing - templates, norms, decision records, review forums - and models it in documents others circulate as examples. Scope: organization-wide technical communication.</t>
        </is>
      </c>
      <c r="K31" s="4" t="inlineStr">
        <is>
          <t>Depth: Communicates deep technical trade-offs to executives in the language of business risk without losing correctness - company technical direction in writing both audiences act on. Scope: company-level technical communication.</t>
        </is>
      </c>
    </row>
    <row r="32">
      <c r="A32" s="4" t="inlineStr">
        <is>
          <t>Communication &amp; Collaboration</t>
        </is>
      </c>
      <c r="B32" s="4" t="inlineStr">
        <is>
          <t>Enablement &amp; Stakeholders</t>
        </is>
      </c>
      <c r="C32" s="4" t="inlineStr">
        <is>
          <t>Platform advocacy &amp; enablement</t>
        </is>
      </c>
      <c r="D32" s="6" t="inlineStr">
        <is>
          <t>DR-01</t>
        </is>
      </c>
      <c r="E32" s="4" t="inlineStr">
        <is>
          <t>CNCF TAG App Delivery, *Platform Engineering Maturity Model* (2023)</t>
        </is>
      </c>
      <c r="F32" s="4" t="inlineStr">
        <is>
          <t>Depth: Answers user questions in support channels accurately or routes them fast, and demos their own work clearly to the team. Scope: individual users' questions.</t>
        </is>
      </c>
      <c r="G32" s="4" t="inlineStr">
        <is>
          <t>Depth: Runs enablement for their component - demos, office hours, onboarding sessions, launch notes users actually read - and turns repeated questions into docs or fixes. Scope: one component's user community.</t>
        </is>
      </c>
      <c r="H32" s="4" t="inlineStr">
        <is>
          <t>Depth: Drives adoption of a capability through evangelism rather than mandate - launch communications, migration workshops, early-adopter partnerships, champion networks inside customer teams - converting skeptical teams with working proof, not slideware; adoption curves move when they run a campaign. Scope: a capability's internal market.</t>
        </is>
      </c>
      <c r="I32" s="4" t="inlineStr">
        <is>
          <t>Depth: Builds the enablement machinery platform teams share - champions programs, internal conferences, onboarding curricula, launch playbooks - that outlive any one campaign. Scope: advocacy infrastructure across multiple teams.</t>
        </is>
      </c>
      <c r="J32" s="4" t="inlineStr">
        <is>
          <t>Depth: Owns the platform's internal brand and narrative - leaders and engineers describe what the platform is for in the platform team's own words, and internal satisfaction signals show it. Scope: organization-wide platform narrative.</t>
        </is>
      </c>
      <c r="K32" s="4" t="inlineStr">
        <is>
          <t>Depth: Represents the company's engineering platform externally - talks, publications, community leadership - in ways that visibly aid hiring and credibility; inside, their voice moves executive opinion. Scope: company reputation and industry.</t>
        </is>
      </c>
    </row>
    <row r="33">
      <c r="A33" s="4" t="inlineStr">
        <is>
          <t>Communication &amp; Collaboration</t>
        </is>
      </c>
      <c r="B33" s="4" t="inlineStr">
        <is>
          <t>Enablement &amp; Stakeholders</t>
        </is>
      </c>
      <c r="C33" s="4" t="inlineStr">
        <is>
          <t>Stakeholder management</t>
        </is>
      </c>
      <c r="D33" s="6" t="inlineStr">
        <is>
          <t>PM-13</t>
        </is>
      </c>
      <c r="E33" s="4" t="inlineStr">
        <is>
          <t>Larson, *Staff Engineer: Leadership Beyond the Management Track* (2021)</t>
        </is>
      </c>
      <c r="F33" s="4" t="inlineStr">
        <is>
          <t>Depth: Communicates status honestly and early - especially bad news - and asks stakeholders clarifying questions before building. Scope: their own tasks' stakeholders.</t>
        </is>
      </c>
      <c r="G33" s="4" t="inlineStr">
        <is>
          <t>Depth: Manages expectations for their component with its consuming teams - what is supported, what is coming, what will not happen - in writing, closing the loop on every commitment made. Scope: one component's consumers.</t>
        </is>
      </c>
      <c r="H33" s="4" t="inlineStr">
        <is>
          <t>Depth: Runs the stakeholder relationships for a capability - chooses and names the interaction mode for each relationship, renegotiates it when it stops fitting, and has the hard conversations about what the platform will not do; escalations from their stakeholders are rare and non-surprising. Scope: a capability's customer and leadership stakeholders.</t>
        </is>
      </c>
      <c r="I33" s="4" t="inlineStr">
        <is>
          <t>Depth: Aligns competing demands from multiple teams into a roadmap each can live with, making the trade-offs and losers explicit rather than hidden, and steps into the conversations where trust between platform and a customer team has broken. Scope: stakeholders across multiple teams.</t>
        </is>
      </c>
      <c r="J33" s="4" t="inlineStr">
        <is>
          <t>Depth: Manages the platform's relationship with organization leadership - funding cases, expectation setting, honest reporting when bets miss. Scope: organization-level stakeholders.</t>
        </is>
      </c>
      <c r="K33" s="4" t="inlineStr">
        <is>
          <t>Depth: Operates at executive level as the technical counterpart on company decisions that touch the platform - vendor deals, diligence, board-visible commitments. Scope: company-level stakeholders.</t>
        </is>
      </c>
    </row>
    <row r="34">
      <c r="A34" s="4" t="inlineStr">
        <is>
          <t>Communication &amp; Collaboration</t>
        </is>
      </c>
      <c r="B34" s="4" t="inlineStr">
        <is>
          <t>Enablement &amp; Stakeholders</t>
        </is>
      </c>
      <c r="C34" s="4" t="inlineStr">
        <is>
          <t>Cross-team collaboration</t>
        </is>
      </c>
      <c r="D34" s="6" t="inlineStr">
        <is>
          <t>CC-03</t>
        </is>
      </c>
      <c r="E34" s="4" t="inlineStr">
        <is>
          <t>Skelton &amp; Pais, *Team Topologies* (2019) - team interaction modes</t>
        </is>
      </c>
      <c r="F34" s="4" t="inlineStr">
        <is>
          <t>Depth: Works in the open - asks questions in public channels, asks for help before being stuck a full day, shares progress and blockers early, and follows through on commitments to teammates. Scope: within their team.</t>
        </is>
      </c>
      <c r="G34" s="4" t="inlineStr">
        <is>
          <t>Depth: Partners directly with the teams that consume their component - joins their planning when changes affect them, embeds with a consuming team when needed, and brings what they learn back as platform improvements. Scope: neighboring teams.</t>
        </is>
      </c>
      <c r="H34" s="4" t="inlineStr">
        <is>
          <t>Depth: Builds the working relationships a capability depends on - negotiates interfaces and timelines with dependent teams, resolves cross-team disagreements by finding the shared goal and proposing options rather than positions - and is who other teams request by name. Scope: the web of teams around a capability.</t>
        </is>
      </c>
      <c r="I34" s="4" t="inlineStr">
        <is>
          <t>Depth: Creates the collaboration structures that let teams decide without escalation - working groups, RFC forums, decision venues where cross-team platform issues actually get settled. Scope: multiple teams.</t>
        </is>
      </c>
      <c r="J34" s="4" t="inlineStr">
        <is>
          <t>Depth: Brokers alignment between organizations - platform, product, security, and finance leaders act on shared plans they assembled - and repairs broken inter-team relationships in the organization's most visible forums. Scope: across org boundaries.</t>
        </is>
      </c>
      <c r="K34" s="4" t="inlineStr">
        <is>
          <t>Depth: Aligns the company's technical factions - the durable settlements between competing technical camps carry their fingerprints. Scope: company.</t>
        </is>
      </c>
    </row>
    <row r="35">
      <c r="A35" s="4" t="inlineStr">
        <is>
          <t>Execution &amp; Leadership</t>
        </is>
      </c>
      <c r="B35" s="4" t="inlineStr">
        <is>
          <t>Delivery &amp; Planning</t>
        </is>
      </c>
      <c r="C35" s="4" t="inlineStr">
        <is>
          <t>Planning &amp; estimation</t>
        </is>
      </c>
      <c r="D35" s="6" t="inlineStr">
        <is>
          <t>PD-04</t>
        </is>
      </c>
      <c r="E35" s="4" t="inlineStr">
        <is>
          <t>McConnell, *Software Estimation: Demystifying the Black Art* (2006)</t>
        </is>
      </c>
      <c r="F35" s="4" t="inlineStr">
        <is>
          <t>Depth: Breaks an assigned task into steps, estimates them honestly, and flags slippage as soon as it is visible rather than at the deadline. Scope: their own task plans.</t>
        </is>
      </c>
      <c r="G35" s="4" t="inlineStr">
        <is>
          <t>Depth: Plans component-level work in increments that ship value early - milestones, dependencies, a definition of done - and re-plans openly when discovery changes the picture; their estimates are trusted inputs to team commitments. Scope: one component's plan.</t>
        </is>
      </c>
      <c r="H35" s="4" t="inlineStr">
        <is>
          <t>Depth: Plans a capability across quarters with explicit risk buffers - sequencing platform work against customer-team launch dates, reserving capacity for interrupts - and their dates are ones other teams schedule against; replans visibly when assumptions break. Scope: a capability's roadmap execution.</t>
        </is>
      </c>
      <c r="I35" s="4" t="inlineStr">
        <is>
          <t>Depth: Builds plans that coordinate multiple teams' streams - dependencies mapped, integration points dated, slack placed where risk is - and keeps them credible through change. Scope: multi-team programs.</t>
        </is>
      </c>
      <c r="J35" s="4" t="inlineStr">
        <is>
          <t>Depth: Runs the organization's platform planning cycle, reconciling bottom-up team plans with top-down strategy into commitments leadership can rely on. Scope: organization-wide planning.</t>
        </is>
      </c>
      <c r="K35" s="4" t="inlineStr">
        <is>
          <t>Depth: Plans in company horizons - multi-year technical programs whose sequencing survives reorgs and leadership changes. Scope: company planning horizon.</t>
        </is>
      </c>
    </row>
    <row r="36">
      <c r="A36" s="4" t="inlineStr">
        <is>
          <t>Execution &amp; Leadership</t>
        </is>
      </c>
      <c r="B36" s="4" t="inlineStr">
        <is>
          <t>Delivery &amp; Planning</t>
        </is>
      </c>
      <c r="C36" s="4" t="inlineStr">
        <is>
          <t>Prioritization &amp; trade-off judgment</t>
        </is>
      </c>
      <c r="D36" s="6" t="inlineStr">
        <is>
          <t>PD-02</t>
        </is>
      </c>
      <c r="E36" s="4" t="inlineStr">
        <is>
          <t>Reinertsen, *The Principles of Product Development Flow* (2009)</t>
        </is>
      </c>
      <c r="F36" s="4" t="inlineStr">
        <is>
          <t>Depth: Works their queue in the agreed order and raises it explicitly when a new ask conflicts with committed work rather than silently absorbing it. Scope: their own queue.</t>
        </is>
      </c>
      <c r="G36" s="4" t="inlineStr">
        <is>
          <t>Depth: Orders their component's backlog by user impact and cost of delay, defending the ordering when challenged and saying no with a reason and an alternative. Scope: one component's backlog.</t>
        </is>
      </c>
      <c r="H36" s="4" t="inlineStr">
        <is>
          <t>Depth: Sequences a capability's investment across feature work, reliability, migrations, and toil paydown using explicit cost-of-delay reasoning - cuts scope deliberately under pressure, publishes the not-doing list, and says no in writing with the reasoning attached. Scope: a capability's investment mix.</t>
        </is>
      </c>
      <c r="I36" s="4" t="inlineStr">
        <is>
          <t>Depth: Arbitrates priority across teams competing for shared platform capacity, making the economic trade-offs visible so decisions survive the meeting. Scope: prioritization across multiple teams.</t>
        </is>
      </c>
      <c r="J36" s="4" t="inlineStr">
        <is>
          <t>Depth: Sets the organization's platform investment allocation - run versus grow versus transform - rebalancing it on evidence and killing zombie projects. Scope: organization-wide investment.</t>
        </is>
      </c>
      <c r="K36" s="4" t="inlineStr">
        <is>
          <t>Depth: Advises company leadership on technology sequencing - what to do now, next, never - with reasoning that holds up years later. Scope: company sequencing.</t>
        </is>
      </c>
    </row>
    <row r="37">
      <c r="A37" s="4" t="inlineStr">
        <is>
          <t>Execution &amp; Leadership</t>
        </is>
      </c>
      <c r="B37" s="4" t="inlineStr">
        <is>
          <t>Growth &amp; Direction</t>
        </is>
      </c>
      <c r="C37" s="4" t="inlineStr">
        <is>
          <t>Mentorship &amp; knowledge sharing</t>
        </is>
      </c>
      <c r="D37" s="6" t="inlineStr">
        <is>
          <t>LI-01</t>
        </is>
      </c>
      <c r="E37" s="4" t="inlineStr">
        <is>
          <t>Lave &amp; Wenger, *Situated Learning: Legitimate Peripheral Participation* (1991)</t>
        </is>
      </c>
      <c r="F37" s="4" t="inlineStr">
        <is>
          <t>Depth: Asks for help effectively - showing what they tried - and passes on what they learn in docs and team channels where the next new person will find it. Scope: their own learning loop.</t>
        </is>
      </c>
      <c r="G37" s="4" t="inlineStr">
        <is>
          <t>Depth: Onboards new teammates with pairing and honest context, and gives specific, kind feedback in reviews that juniors visibly act on. Scope: individuals on their team.</t>
        </is>
      </c>
      <c r="H37" s="4" t="inlineStr">
        <is>
          <t>Depth: Mentors engineers deliberately - stretch work matched to growth edges, questions before answers, honest feedback delivered kindly - and mentees' independence visibly increases; teaches internal users to self-serve rather than doing it for them, and runs the forums where knowledge crosses the team. Scope: engineers on their team and among their capability's users.</t>
        </is>
      </c>
      <c r="I37" s="4" t="inlineStr">
        <is>
          <t>Depth: Grows senior engineers across teams toward staff scope - sponsoring visible work, delegating real ownership with backup, coaching design judgment - and is named in others' promotion cases as a reason. Scope: engineers across multiple teams.</t>
        </is>
      </c>
      <c r="J37" s="4" t="inlineStr">
        <is>
          <t>Depth: Builds the organization's technical talent systems - mentoring structures, promotion calibration input, senior hiring bar - that develop engineers at scale. Scope: organization-wide talent development.</t>
        </is>
      </c>
      <c r="K37" s="4" t="inlineStr">
        <is>
          <t>Depth: Develops the company's next generation of principal-level technical leaders and shapes the culture they inherit. Scope: company technical leadership pipeline.</t>
        </is>
      </c>
    </row>
    <row r="38">
      <c r="A38" s="4" t="inlineStr">
        <is>
          <t>Execution &amp; Leadership</t>
        </is>
      </c>
      <c r="B38" s="4" t="inlineStr">
        <is>
          <t>Growth &amp; Direction</t>
        </is>
      </c>
      <c r="C38" s="4" t="inlineStr">
        <is>
          <t>Technical direction &amp; influence</t>
        </is>
      </c>
      <c r="D38" s="6" t="inlineStr">
        <is>
          <t>LI-03</t>
        </is>
      </c>
      <c r="E38" s="4" t="inlineStr">
        <is>
          <t>Nygard, "Documenting Architecture Decisions" (2011)</t>
        </is>
      </c>
      <c r="F38" s="4" t="inlineStr">
        <is>
          <t>Depth: Forms and voices technical opinions in team discussions, connecting their tasks to the team's direction, and changes their mind visibly when shown better evidence. Scope: their team's decisions.</t>
        </is>
      </c>
      <c r="G38" s="4" t="inlineStr">
        <is>
          <t>Depth: Proposes direction within their component - a refactor worth doing, a technology worth adopting - with a written case that weighs alternatives, and sees it through decision to done. Scope: one component's direction.</t>
        </is>
      </c>
      <c r="H38" s="4" t="inlineStr">
        <is>
          <t>Depth: Sets technical direction for a capability - a written strategy naming the diagnosis, the bet, and what is deliberately not being done, decided through proposals that gather real dissent - revisiting it on evidence rather than sunk cost, and disagreeing-and-committing out loud when overruled. Scope: a capability's technical strategy.</t>
        </is>
      </c>
      <c r="I38" s="4" t="inlineStr">
        <is>
          <t>Depth: Aligns multiple teams behind a shared technical direction without authority over them - the written proposal, the roadshow, the coalition, the early wins that make it real. Scope: direction across multiple teams.</t>
        </is>
      </c>
      <c r="J38" s="4" t="inlineStr">
        <is>
          <t>Depth: Writes the organization's technical strategy and makes it operational - reflected in funding, staffing, and what teams say no to; teams cite it in their own planning. Scope: organization-wide technical strategy.</t>
        </is>
      </c>
      <c r="K38" s="4" t="inlineStr">
        <is>
          <t>Depth: Sets company-level technical direction - the few bets that define engineering for years - and is accountable for their outcome. Scope: company technical strategy.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9" customWidth="1" min="3" max="3"/>
    <col width="7" customWidth="1" min="4" max="4"/>
    <col width="7" customWidth="1" min="5" max="5"/>
    <col width="9" customWidth="1" min="6" max="6"/>
    <col width="7" customWidth="1" min="7" max="7"/>
    <col width="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Target level</t>
        </is>
      </c>
      <c r="B1" s="7" t="inlineStr">
        <is>
          <t>E3</t>
        </is>
      </c>
      <c r="D1" s="2" t="inlineStr">
        <is>
          <t>Enter one of: E1, E2, E3, E4, E5, E6. Blue cells are inputs (1-6, the P number).</t>
        </is>
      </c>
    </row>
    <row r="3">
      <c r="A3" s="1" t="inlineStr">
        <is>
          <t>Key Area</t>
        </is>
      </c>
      <c r="B3" s="1" t="inlineStr">
        <is>
          <t>Competency</t>
        </is>
      </c>
      <c r="C3" s="1" t="inlineStr">
        <is>
          <t>Target P</t>
        </is>
      </c>
      <c r="D3" s="1" t="inlineStr">
        <is>
          <t>Self</t>
        </is>
      </c>
      <c r="E3" s="1" t="inlineStr">
        <is>
          <t>Peer</t>
        </is>
      </c>
      <c r="F3" s="1" t="inlineStr">
        <is>
          <t>Manager</t>
        </is>
      </c>
      <c r="G3" s="1" t="inlineStr">
        <is>
          <t>Avg</t>
        </is>
      </c>
      <c r="H3" s="1" t="inlineStr">
        <is>
          <t>Gap</t>
        </is>
      </c>
      <c r="J3" s="1" t="inlineStr">
        <is>
          <t>E1</t>
        </is>
      </c>
      <c r="K3" s="1" t="inlineStr">
        <is>
          <t>E2</t>
        </is>
      </c>
      <c r="L3" s="1" t="inlineStr">
        <is>
          <t>E3</t>
        </is>
      </c>
      <c r="M3" s="1" t="inlineStr">
        <is>
          <t>E4</t>
        </is>
      </c>
      <c r="N3" s="1" t="inlineStr">
        <is>
          <t>E5</t>
        </is>
      </c>
      <c r="O3" s="1" t="inlineStr">
        <is>
          <t>E6</t>
        </is>
      </c>
    </row>
    <row r="4">
      <c r="A4" s="2" t="inlineStr">
        <is>
          <t>Platform as a Product</t>
        </is>
      </c>
      <c r="B4" s="2" t="inlineStr">
        <is>
          <t>Internal user research</t>
        </is>
      </c>
      <c r="C4" s="2">
        <f>IFERROR(INDEX(J4:O4,MATCH($B$1,$J$3:$O$3,0)),"")</f>
        <v/>
      </c>
      <c r="D4" s="7" t="n"/>
      <c r="E4" s="7" t="n"/>
      <c r="F4" s="7" t="n"/>
      <c r="G4" s="2">
        <f>IFERROR(AVERAGE(D4:F4),"")</f>
        <v/>
      </c>
      <c r="H4" s="2">
        <f>IFERROR(G4-C4,"")</f>
        <v/>
      </c>
      <c r="J4" s="2" t="n">
        <v>1</v>
      </c>
      <c r="K4" s="2" t="n">
        <v>2</v>
      </c>
      <c r="L4" s="2" t="n">
        <v>3</v>
      </c>
      <c r="M4" s="2" t="n">
        <v>4</v>
      </c>
      <c r="N4" s="2" t="n">
        <v>5</v>
      </c>
      <c r="O4" s="2" t="n">
        <v>6</v>
      </c>
    </row>
    <row r="5">
      <c r="A5" s="2" t="inlineStr">
        <is>
          <t>Platform as a Product</t>
        </is>
      </c>
      <c r="B5" s="2" t="inlineStr">
        <is>
          <t>Adoption &amp; success metrics</t>
        </is>
      </c>
      <c r="C5" s="2">
        <f>IFERROR(INDEX(J5:O5,MATCH($B$1,$J$3:$O$3,0)),"")</f>
        <v/>
      </c>
      <c r="D5" s="7" t="n"/>
      <c r="E5" s="7" t="n"/>
      <c r="F5" s="7" t="n"/>
      <c r="G5" s="2">
        <f>IFERROR(AVERAGE(D5:F5),"")</f>
        <v/>
      </c>
      <c r="H5" s="2">
        <f>IFERROR(G5-C5,"")</f>
        <v/>
      </c>
      <c r="J5" s="2" t="n">
        <v>1</v>
      </c>
      <c r="K5" s="2" t="n">
        <v>2</v>
      </c>
      <c r="L5" s="2" t="n">
        <v>3</v>
      </c>
      <c r="M5" s="2" t="n">
        <v>4</v>
      </c>
      <c r="N5" s="2" t="n">
        <v>5</v>
      </c>
      <c r="O5" s="2" t="n">
        <v>6</v>
      </c>
    </row>
    <row r="6">
      <c r="A6" s="2" t="inlineStr">
        <is>
          <t>Platform as a Product</t>
        </is>
      </c>
      <c r="B6" s="2" t="inlineStr">
        <is>
          <t>Thinnest viable platform</t>
        </is>
      </c>
      <c r="C6" s="2">
        <f>IFERROR(INDEX(J6:O6,MATCH($B$1,$J$3:$O$3,0)),"")</f>
        <v/>
      </c>
      <c r="D6" s="7" t="n"/>
      <c r="E6" s="7" t="n"/>
      <c r="F6" s="7" t="n"/>
      <c r="G6" s="2">
        <f>IFERROR(AVERAGE(D6:F6),"")</f>
        <v/>
      </c>
      <c r="H6" s="2">
        <f>IFERROR(G6-C6,"")</f>
        <v/>
      </c>
      <c r="J6" s="2" t="n">
        <v>1</v>
      </c>
      <c r="K6" s="2" t="n">
        <v>2</v>
      </c>
      <c r="L6" s="2" t="n">
        <v>3</v>
      </c>
      <c r="M6" s="2" t="n">
        <v>4</v>
      </c>
      <c r="N6" s="2" t="n">
        <v>5</v>
      </c>
      <c r="O6" s="2" t="n">
        <v>6</v>
      </c>
    </row>
    <row r="7">
      <c r="A7" s="2" t="inlineStr">
        <is>
          <t>Platform as a Product</t>
        </is>
      </c>
      <c r="B7" s="2" t="inlineStr">
        <is>
          <t>Platform roadmap &amp; prioritization</t>
        </is>
      </c>
      <c r="C7" s="2">
        <f>IFERROR(INDEX(J7:O7,MATCH($B$1,$J$3:$O$3,0)),"")</f>
        <v/>
      </c>
      <c r="D7" s="7" t="n"/>
      <c r="E7" s="7" t="n"/>
      <c r="F7" s="7" t="n"/>
      <c r="G7" s="2">
        <f>IFERROR(AVERAGE(D7:F7),"")</f>
        <v/>
      </c>
      <c r="H7" s="2">
        <f>IFERROR(G7-C7,"")</f>
        <v/>
      </c>
      <c r="J7" s="2" t="n">
        <v>1</v>
      </c>
      <c r="K7" s="2" t="n">
        <v>2</v>
      </c>
      <c r="L7" s="2" t="n">
        <v>3</v>
      </c>
      <c r="M7" s="2" t="n">
        <v>4</v>
      </c>
      <c r="N7" s="2" t="n">
        <v>5</v>
      </c>
      <c r="O7" s="2" t="n">
        <v>6</v>
      </c>
    </row>
    <row r="8">
      <c r="A8" s="2" t="inlineStr">
        <is>
          <t>Platform as a Product</t>
        </is>
      </c>
      <c r="B8" s="2" t="inlineStr">
        <is>
          <t>Golden paths &amp; paved roads</t>
        </is>
      </c>
      <c r="C8" s="2">
        <f>IFERROR(INDEX(J8:O8,MATCH($B$1,$J$3:$O$3,0)),"")</f>
        <v/>
      </c>
      <c r="D8" s="7" t="n"/>
      <c r="E8" s="7" t="n"/>
      <c r="F8" s="7" t="n"/>
      <c r="G8" s="2">
        <f>IFERROR(AVERAGE(D8:F8),"")</f>
        <v/>
      </c>
      <c r="H8" s="2">
        <f>IFERROR(G8-C8,"")</f>
        <v/>
      </c>
      <c r="J8" s="2" t="n">
        <v>1</v>
      </c>
      <c r="K8" s="2" t="n">
        <v>2</v>
      </c>
      <c r="L8" s="2" t="n">
        <v>3</v>
      </c>
      <c r="M8" s="2" t="n">
        <v>4</v>
      </c>
      <c r="N8" s="2" t="n">
        <v>5</v>
      </c>
      <c r="O8" s="2" t="n">
        <v>6</v>
      </c>
    </row>
    <row r="9">
      <c r="A9" s="2" t="inlineStr">
        <is>
          <t>Platform as a Product</t>
        </is>
      </c>
      <c r="B9" s="2" t="inlineStr">
        <is>
          <t>Cognitive load reduction</t>
        </is>
      </c>
      <c r="C9" s="2">
        <f>IFERROR(INDEX(J9:O9,MATCH($B$1,$J$3:$O$3,0)),"")</f>
        <v/>
      </c>
      <c r="D9" s="7" t="n"/>
      <c r="E9" s="7" t="n"/>
      <c r="F9" s="7" t="n"/>
      <c r="G9" s="2">
        <f>IFERROR(AVERAGE(D9:F9),"")</f>
        <v/>
      </c>
      <c r="H9" s="2">
        <f>IFERROR(G9-C9,"")</f>
        <v/>
      </c>
      <c r="J9" s="2" t="n">
        <v>1</v>
      </c>
      <c r="K9" s="2" t="n">
        <v>2</v>
      </c>
      <c r="L9" s="2" t="n">
        <v>3</v>
      </c>
      <c r="M9" s="2" t="n">
        <v>4</v>
      </c>
      <c r="N9" s="2" t="n">
        <v>5</v>
      </c>
      <c r="O9" s="2" t="n">
        <v>6</v>
      </c>
    </row>
    <row r="10">
      <c r="A10" s="2" t="inlineStr">
        <is>
          <t>Platform Software Engineering</t>
        </is>
      </c>
      <c r="B10" s="2" t="inlineStr">
        <is>
          <t>Platform system design</t>
        </is>
      </c>
      <c r="C10" s="2">
        <f>IFERROR(INDEX(J10:O10,MATCH($B$1,$J$3:$O$3,0)),"")</f>
        <v/>
      </c>
      <c r="D10" s="7" t="n"/>
      <c r="E10" s="7" t="n"/>
      <c r="F10" s="7" t="n"/>
      <c r="G10" s="2">
        <f>IFERROR(AVERAGE(D10:F10),"")</f>
        <v/>
      </c>
      <c r="H10" s="2">
        <f>IFERROR(G10-C10,"")</f>
        <v/>
      </c>
      <c r="J10" s="2" t="n">
        <v>1</v>
      </c>
      <c r="K10" s="2" t="n">
        <v>2</v>
      </c>
      <c r="L10" s="2" t="n">
        <v>3</v>
      </c>
      <c r="M10" s="2" t="n">
        <v>4</v>
      </c>
      <c r="N10" s="2" t="n">
        <v>5</v>
      </c>
      <c r="O10" s="2" t="n">
        <v>6</v>
      </c>
    </row>
    <row r="11">
      <c r="A11" s="2" t="inlineStr">
        <is>
          <t>Platform Software Engineering</t>
        </is>
      </c>
      <c r="B11" s="2" t="inlineStr">
        <is>
          <t>API &amp; interface design</t>
        </is>
      </c>
      <c r="C11" s="2">
        <f>IFERROR(INDEX(J11:O11,MATCH($B$1,$J$3:$O$3,0)),"")</f>
        <v/>
      </c>
      <c r="D11" s="7" t="n"/>
      <c r="E11" s="7" t="n"/>
      <c r="F11" s="7" t="n"/>
      <c r="G11" s="2">
        <f>IFERROR(AVERAGE(D11:F11),"")</f>
        <v/>
      </c>
      <c r="H11" s="2">
        <f>IFERROR(G11-C11,"")</f>
        <v/>
      </c>
      <c r="J11" s="2" t="n">
        <v>1</v>
      </c>
      <c r="K11" s="2" t="n">
        <v>2</v>
      </c>
      <c r="L11" s="2" t="n">
        <v>3</v>
      </c>
      <c r="M11" s="2" t="n">
        <v>4</v>
      </c>
      <c r="N11" s="2" t="n">
        <v>5</v>
      </c>
      <c r="O11" s="2" t="n">
        <v>6</v>
      </c>
    </row>
    <row r="12">
      <c r="A12" s="2" t="inlineStr">
        <is>
          <t>Platform Software Engineering</t>
        </is>
      </c>
      <c r="B12" s="2" t="inlineStr">
        <is>
          <t>Coding &amp; implementation</t>
        </is>
      </c>
      <c r="C12" s="2">
        <f>IFERROR(INDEX(J12:O12,MATCH($B$1,$J$3:$O$3,0)),"")</f>
        <v/>
      </c>
      <c r="D12" s="7" t="n"/>
      <c r="E12" s="7" t="n"/>
      <c r="F12" s="7" t="n"/>
      <c r="G12" s="2">
        <f>IFERROR(AVERAGE(D12:F12),"")</f>
        <v/>
      </c>
      <c r="H12" s="2">
        <f>IFERROR(G12-C12,"")</f>
        <v/>
      </c>
      <c r="J12" s="2" t="n">
        <v>1</v>
      </c>
      <c r="K12" s="2" t="n">
        <v>2</v>
      </c>
      <c r="L12" s="2" t="n">
        <v>3</v>
      </c>
      <c r="M12" s="2" t="n">
        <v>4</v>
      </c>
      <c r="N12" s="2" t="n">
        <v>5</v>
      </c>
      <c r="O12" s="2" t="n">
        <v>6</v>
      </c>
    </row>
    <row r="13">
      <c r="A13" s="2" t="inlineStr">
        <is>
          <t>Platform Software Engineering</t>
        </is>
      </c>
      <c r="B13" s="2" t="inlineStr">
        <is>
          <t>Code review</t>
        </is>
      </c>
      <c r="C13" s="2">
        <f>IFERROR(INDEX(J13:O13,MATCH($B$1,$J$3:$O$3,0)),"")</f>
        <v/>
      </c>
      <c r="D13" s="7" t="n"/>
      <c r="E13" s="7" t="n"/>
      <c r="F13" s="7" t="n"/>
      <c r="G13" s="2">
        <f>IFERROR(AVERAGE(D13:F13),"")</f>
        <v/>
      </c>
      <c r="H13" s="2">
        <f>IFERROR(G13-C13,"")</f>
        <v/>
      </c>
      <c r="J13" s="2" t="n">
        <v>1</v>
      </c>
      <c r="K13" s="2" t="n">
        <v>2</v>
      </c>
      <c r="L13" s="2" t="n">
        <v>3</v>
      </c>
      <c r="M13" s="2" t="n">
        <v>4</v>
      </c>
      <c r="N13" s="2" t="n">
        <v>5</v>
      </c>
      <c r="O13" s="2" t="n">
        <v>6</v>
      </c>
    </row>
    <row r="14">
      <c r="A14" s="2" t="inlineStr">
        <is>
          <t>Platform Software Engineering</t>
        </is>
      </c>
      <c r="B14" s="2" t="inlineStr">
        <is>
          <t>Testing &amp; verification</t>
        </is>
      </c>
      <c r="C14" s="2">
        <f>IFERROR(INDEX(J14:O14,MATCH($B$1,$J$3:$O$3,0)),"")</f>
        <v/>
      </c>
      <c r="D14" s="7" t="n"/>
      <c r="E14" s="7" t="n"/>
      <c r="F14" s="7" t="n"/>
      <c r="G14" s="2">
        <f>IFERROR(AVERAGE(D14:F14),"")</f>
        <v/>
      </c>
      <c r="H14" s="2">
        <f>IFERROR(G14-C14,"")</f>
        <v/>
      </c>
      <c r="J14" s="2" t="n">
        <v>1</v>
      </c>
      <c r="K14" s="2" t="n">
        <v>2</v>
      </c>
      <c r="L14" s="2" t="n">
        <v>3</v>
      </c>
      <c r="M14" s="2" t="n">
        <v>4</v>
      </c>
      <c r="N14" s="2" t="n">
        <v>5</v>
      </c>
      <c r="O14" s="2" t="n">
        <v>6</v>
      </c>
    </row>
    <row r="15">
      <c r="A15" s="2" t="inlineStr">
        <is>
          <t>Platform Software Engineering</t>
        </is>
      </c>
      <c r="B15" s="2" t="inlineStr">
        <is>
          <t>Delivery automation &amp; CI/CD</t>
        </is>
      </c>
      <c r="C15" s="2">
        <f>IFERROR(INDEX(J15:O15,MATCH($B$1,$J$3:$O$3,0)),"")</f>
        <v/>
      </c>
      <c r="D15" s="7" t="n"/>
      <c r="E15" s="7" t="n"/>
      <c r="F15" s="7" t="n"/>
      <c r="G15" s="2">
        <f>IFERROR(AVERAGE(D15:F15),"")</f>
        <v/>
      </c>
      <c r="H15" s="2">
        <f>IFERROR(G15-C15,"")</f>
        <v/>
      </c>
      <c r="J15" s="2" t="n">
        <v>1</v>
      </c>
      <c r="K15" s="2" t="n">
        <v>2</v>
      </c>
      <c r="L15" s="2" t="n">
        <v>3</v>
      </c>
      <c r="M15" s="2" t="n">
        <v>4</v>
      </c>
      <c r="N15" s="2" t="n">
        <v>5</v>
      </c>
      <c r="O15" s="2" t="n">
        <v>6</v>
      </c>
    </row>
    <row r="16">
      <c r="A16" s="2" t="inlineStr">
        <is>
          <t>Platform Software Engineering</t>
        </is>
      </c>
      <c r="B16" s="2" t="inlineStr">
        <is>
          <t>Deprecation &amp; migration management</t>
        </is>
      </c>
      <c r="C16" s="2">
        <f>IFERROR(INDEX(J16:O16,MATCH($B$1,$J$3:$O$3,0)),"")</f>
        <v/>
      </c>
      <c r="D16" s="7" t="n"/>
      <c r="E16" s="7" t="n"/>
      <c r="F16" s="7" t="n"/>
      <c r="G16" s="2">
        <f>IFERROR(AVERAGE(D16:F16),"")</f>
        <v/>
      </c>
      <c r="H16" s="2">
        <f>IFERROR(G16-C16,"")</f>
        <v/>
      </c>
      <c r="J16" s="2" t="n">
        <v>1</v>
      </c>
      <c r="K16" s="2" t="n">
        <v>2</v>
      </c>
      <c r="L16" s="2" t="n">
        <v>3</v>
      </c>
      <c r="M16" s="2" t="n">
        <v>4</v>
      </c>
      <c r="N16" s="2" t="n">
        <v>5</v>
      </c>
      <c r="O16" s="2" t="n">
        <v>6</v>
      </c>
    </row>
    <row r="17">
      <c r="A17" s="2" t="inlineStr">
        <is>
          <t>Infrastructure &amp; Cloud</t>
        </is>
      </c>
      <c r="B17" s="2" t="inlineStr">
        <is>
          <t>Cloud architecture</t>
        </is>
      </c>
      <c r="C17" s="2">
        <f>IFERROR(INDEX(J17:O17,MATCH($B$1,$J$3:$O$3,0)),"")</f>
        <v/>
      </c>
      <c r="D17" s="7" t="n"/>
      <c r="E17" s="7" t="n"/>
      <c r="F17" s="7" t="n"/>
      <c r="G17" s="2">
        <f>IFERROR(AVERAGE(D17:F17),"")</f>
        <v/>
      </c>
      <c r="H17" s="2">
        <f>IFERROR(G17-C17,"")</f>
        <v/>
      </c>
      <c r="J17" s="2" t="n">
        <v>1</v>
      </c>
      <c r="K17" s="2" t="n">
        <v>2</v>
      </c>
      <c r="L17" s="2" t="n">
        <v>3</v>
      </c>
      <c r="M17" s="2" t="n">
        <v>4</v>
      </c>
      <c r="N17" s="2" t="n">
        <v>5</v>
      </c>
      <c r="O17" s="2" t="n">
        <v>6</v>
      </c>
    </row>
    <row r="18">
      <c r="A18" s="2" t="inlineStr">
        <is>
          <t>Infrastructure &amp; Cloud</t>
        </is>
      </c>
      <c r="B18" s="2" t="inlineStr">
        <is>
          <t>Container orchestration &amp; runtime</t>
        </is>
      </c>
      <c r="C18" s="2">
        <f>IFERROR(INDEX(J18:O18,MATCH($B$1,$J$3:$O$3,0)),"")</f>
        <v/>
      </c>
      <c r="D18" s="7" t="n"/>
      <c r="E18" s="7" t="n"/>
      <c r="F18" s="7" t="n"/>
      <c r="G18" s="2">
        <f>IFERROR(AVERAGE(D18:F18),"")</f>
        <v/>
      </c>
      <c r="H18" s="2">
        <f>IFERROR(G18-C18,"")</f>
        <v/>
      </c>
      <c r="J18" s="2" t="n">
        <v>1</v>
      </c>
      <c r="K18" s="2" t="n">
        <v>2</v>
      </c>
      <c r="L18" s="2" t="n">
        <v>3</v>
      </c>
      <c r="M18" s="2" t="n">
        <v>4</v>
      </c>
      <c r="N18" s="2" t="n">
        <v>5</v>
      </c>
      <c r="O18" s="2" t="n">
        <v>6</v>
      </c>
    </row>
    <row r="19">
      <c r="A19" s="2" t="inlineStr">
        <is>
          <t>Infrastructure &amp; Cloud</t>
        </is>
      </c>
      <c r="B19" s="2" t="inlineStr">
        <is>
          <t>Networking &amp; compute foundations</t>
        </is>
      </c>
      <c r="C19" s="2">
        <f>IFERROR(INDEX(J19:O19,MATCH($B$1,$J$3:$O$3,0)),"")</f>
        <v/>
      </c>
      <c r="D19" s="7" t="n"/>
      <c r="E19" s="7" t="n"/>
      <c r="F19" s="7" t="n"/>
      <c r="G19" s="2">
        <f>IFERROR(AVERAGE(D19:F19),"")</f>
        <v/>
      </c>
      <c r="H19" s="2">
        <f>IFERROR(G19-C19,"")</f>
        <v/>
      </c>
      <c r="J19" s="2" t="n">
        <v>1</v>
      </c>
      <c r="K19" s="2" t="n">
        <v>2</v>
      </c>
      <c r="L19" s="2" t="n">
        <v>3</v>
      </c>
      <c r="M19" s="2" t="n">
        <v>4</v>
      </c>
      <c r="N19" s="2" t="n">
        <v>5</v>
      </c>
      <c r="O19" s="2" t="n">
        <v>6</v>
      </c>
    </row>
    <row r="20">
      <c r="A20" s="2" t="inlineStr">
        <is>
          <t>Infrastructure &amp; Cloud</t>
        </is>
      </c>
      <c r="B20" s="2" t="inlineStr">
        <is>
          <t>Infrastructure as code</t>
        </is>
      </c>
      <c r="C20" s="2">
        <f>IFERROR(INDEX(J20:O20,MATCH($B$1,$J$3:$O$3,0)),"")</f>
        <v/>
      </c>
      <c r="D20" s="7" t="n"/>
      <c r="E20" s="7" t="n"/>
      <c r="F20" s="7" t="n"/>
      <c r="G20" s="2">
        <f>IFERROR(AVERAGE(D20:F20),"")</f>
        <v/>
      </c>
      <c r="H20" s="2">
        <f>IFERROR(G20-C20,"")</f>
        <v/>
      </c>
      <c r="J20" s="2" t="n">
        <v>1</v>
      </c>
      <c r="K20" s="2" t="n">
        <v>2</v>
      </c>
      <c r="L20" s="2" t="n">
        <v>3</v>
      </c>
      <c r="M20" s="2" t="n">
        <v>4</v>
      </c>
      <c r="N20" s="2" t="n">
        <v>5</v>
      </c>
      <c r="O20" s="2" t="n">
        <v>6</v>
      </c>
    </row>
    <row r="21">
      <c r="A21" s="2" t="inlineStr">
        <is>
          <t>Infrastructure &amp; Cloud</t>
        </is>
      </c>
      <c r="B21" s="2" t="inlineStr">
        <is>
          <t>Self-service provisioning</t>
        </is>
      </c>
      <c r="C21" s="2">
        <f>IFERROR(INDEX(J21:O21,MATCH($B$1,$J$3:$O$3,0)),"")</f>
        <v/>
      </c>
      <c r="D21" s="7" t="n"/>
      <c r="E21" s="7" t="n"/>
      <c r="F21" s="7" t="n"/>
      <c r="G21" s="2">
        <f>IFERROR(AVERAGE(D21:F21),"")</f>
        <v/>
      </c>
      <c r="H21" s="2">
        <f>IFERROR(G21-C21,"")</f>
        <v/>
      </c>
      <c r="J21" s="2" t="n">
        <v>1</v>
      </c>
      <c r="K21" s="2" t="n">
        <v>2</v>
      </c>
      <c r="L21" s="2" t="n">
        <v>3</v>
      </c>
      <c r="M21" s="2" t="n">
        <v>4</v>
      </c>
      <c r="N21" s="2" t="n">
        <v>5</v>
      </c>
      <c r="O21" s="2" t="n">
        <v>6</v>
      </c>
    </row>
    <row r="22">
      <c r="A22" s="2" t="inlineStr">
        <is>
          <t>Reliability &amp; Operations</t>
        </is>
      </c>
      <c r="B22" s="2" t="inlineStr">
        <is>
          <t>Observability &amp; instrumentation</t>
        </is>
      </c>
      <c r="C22" s="2">
        <f>IFERROR(INDEX(J22:O22,MATCH($B$1,$J$3:$O$3,0)),"")</f>
        <v/>
      </c>
      <c r="D22" s="7" t="n"/>
      <c r="E22" s="7" t="n"/>
      <c r="F22" s="7" t="n"/>
      <c r="G22" s="2">
        <f>IFERROR(AVERAGE(D22:F22),"")</f>
        <v/>
      </c>
      <c r="H22" s="2">
        <f>IFERROR(G22-C22,"")</f>
        <v/>
      </c>
      <c r="J22" s="2" t="n">
        <v>1</v>
      </c>
      <c r="K22" s="2" t="n">
        <v>2</v>
      </c>
      <c r="L22" s="2" t="n">
        <v>3</v>
      </c>
      <c r="M22" s="2" t="n">
        <v>4</v>
      </c>
      <c r="N22" s="2" t="n">
        <v>5</v>
      </c>
      <c r="O22" s="2" t="n">
        <v>6</v>
      </c>
    </row>
    <row r="23">
      <c r="A23" s="2" t="inlineStr">
        <is>
          <t>Reliability &amp; Operations</t>
        </is>
      </c>
      <c r="B23" s="2" t="inlineStr">
        <is>
          <t>SLOs &amp; error budgets</t>
        </is>
      </c>
      <c r="C23" s="2">
        <f>IFERROR(INDEX(J23:O23,MATCH($B$1,$J$3:$O$3,0)),"")</f>
        <v/>
      </c>
      <c r="D23" s="7" t="n"/>
      <c r="E23" s="7" t="n"/>
      <c r="F23" s="7" t="n"/>
      <c r="G23" s="2">
        <f>IFERROR(AVERAGE(D23:F23),"")</f>
        <v/>
      </c>
      <c r="H23" s="2">
        <f>IFERROR(G23-C23,"")</f>
        <v/>
      </c>
      <c r="J23" s="2" t="n">
        <v>1</v>
      </c>
      <c r="K23" s="2" t="n">
        <v>2</v>
      </c>
      <c r="L23" s="2" t="n">
        <v>3</v>
      </c>
      <c r="M23" s="2" t="n">
        <v>4</v>
      </c>
      <c r="N23" s="2" t="n">
        <v>5</v>
      </c>
      <c r="O23" s="2" t="n">
        <v>6</v>
      </c>
    </row>
    <row r="24">
      <c r="A24" s="2" t="inlineStr">
        <is>
          <t>Reliability &amp; Operations</t>
        </is>
      </c>
      <c r="B24" s="2" t="inlineStr">
        <is>
          <t>Incident response</t>
        </is>
      </c>
      <c r="C24" s="2">
        <f>IFERROR(INDEX(J24:O24,MATCH($B$1,$J$3:$O$3,0)),"")</f>
        <v/>
      </c>
      <c r="D24" s="7" t="n"/>
      <c r="E24" s="7" t="n"/>
      <c r="F24" s="7" t="n"/>
      <c r="G24" s="2">
        <f>IFERROR(AVERAGE(D24:F24),"")</f>
        <v/>
      </c>
      <c r="H24" s="2">
        <f>IFERROR(G24-C24,"")</f>
        <v/>
      </c>
      <c r="J24" s="2" t="n">
        <v>1</v>
      </c>
      <c r="K24" s="2" t="n">
        <v>2</v>
      </c>
      <c r="L24" s="2" t="n">
        <v>3</v>
      </c>
      <c r="M24" s="2" t="n">
        <v>4</v>
      </c>
      <c r="N24" s="2" t="n">
        <v>5</v>
      </c>
      <c r="O24" s="2" t="n">
        <v>6</v>
      </c>
    </row>
    <row r="25">
      <c r="A25" s="2" t="inlineStr">
        <is>
          <t>Reliability &amp; Operations</t>
        </is>
      </c>
      <c r="B25" s="2" t="inlineStr">
        <is>
          <t>Learning from incidents</t>
        </is>
      </c>
      <c r="C25" s="2">
        <f>IFERROR(INDEX(J25:O25,MATCH($B$1,$J$3:$O$3,0)),"")</f>
        <v/>
      </c>
      <c r="D25" s="7" t="n"/>
      <c r="E25" s="7" t="n"/>
      <c r="F25" s="7" t="n"/>
      <c r="G25" s="2">
        <f>IFERROR(AVERAGE(D25:F25),"")</f>
        <v/>
      </c>
      <c r="H25" s="2">
        <f>IFERROR(G25-C25,"")</f>
        <v/>
      </c>
      <c r="J25" s="2" t="n">
        <v>1</v>
      </c>
      <c r="K25" s="2" t="n">
        <v>2</v>
      </c>
      <c r="L25" s="2" t="n">
        <v>3</v>
      </c>
      <c r="M25" s="2" t="n">
        <v>4</v>
      </c>
      <c r="N25" s="2" t="n">
        <v>5</v>
      </c>
      <c r="O25" s="2" t="n">
        <v>6</v>
      </c>
    </row>
    <row r="26">
      <c r="A26" s="2" t="inlineStr">
        <is>
          <t>Reliability &amp; Operations</t>
        </is>
      </c>
      <c r="B26" s="2" t="inlineStr">
        <is>
          <t>Capacity, performance &amp; cost</t>
        </is>
      </c>
      <c r="C26" s="2">
        <f>IFERROR(INDEX(J26:O26,MATCH($B$1,$J$3:$O$3,0)),"")</f>
        <v/>
      </c>
      <c r="D26" s="7" t="n"/>
      <c r="E26" s="7" t="n"/>
      <c r="F26" s="7" t="n"/>
      <c r="G26" s="2">
        <f>IFERROR(AVERAGE(D26:F26),"")</f>
        <v/>
      </c>
      <c r="H26" s="2">
        <f>IFERROR(G26-C26,"")</f>
        <v/>
      </c>
      <c r="J26" s="2" t="n">
        <v>1</v>
      </c>
      <c r="K26" s="2" t="n">
        <v>2</v>
      </c>
      <c r="L26" s="2" t="n">
        <v>3</v>
      </c>
      <c r="M26" s="2" t="n">
        <v>4</v>
      </c>
      <c r="N26" s="2" t="n">
        <v>5</v>
      </c>
      <c r="O26" s="2" t="n">
        <v>6</v>
      </c>
    </row>
    <row r="27">
      <c r="A27" s="2" t="inlineStr">
        <is>
          <t>Reliability &amp; Operations</t>
        </is>
      </c>
      <c r="B27" s="2" t="inlineStr">
        <is>
          <t>Toil reduction &amp; automation</t>
        </is>
      </c>
      <c r="C27" s="2">
        <f>IFERROR(INDEX(J27:O27,MATCH($B$1,$J$3:$O$3,0)),"")</f>
        <v/>
      </c>
      <c r="D27" s="7" t="n"/>
      <c r="E27" s="7" t="n"/>
      <c r="F27" s="7" t="n"/>
      <c r="G27" s="2">
        <f>IFERROR(AVERAGE(D27:F27),"")</f>
        <v/>
      </c>
      <c r="H27" s="2">
        <f>IFERROR(G27-C27,"")</f>
        <v/>
      </c>
      <c r="J27" s="2" t="n">
        <v>1</v>
      </c>
      <c r="K27" s="2" t="n">
        <v>2</v>
      </c>
      <c r="L27" s="2" t="n">
        <v>3</v>
      </c>
      <c r="M27" s="2" t="n">
        <v>4</v>
      </c>
      <c r="N27" s="2" t="n">
        <v>5</v>
      </c>
      <c r="O27" s="2" t="n">
        <v>6</v>
      </c>
    </row>
    <row r="28">
      <c r="A28" s="2" t="inlineStr">
        <is>
          <t>Security &amp; Compliance</t>
        </is>
      </c>
      <c r="B28" s="2" t="inlineStr">
        <is>
          <t>Guardrails &amp; policy as code</t>
        </is>
      </c>
      <c r="C28" s="2">
        <f>IFERROR(INDEX(J28:O28,MATCH($B$1,$J$3:$O$3,0)),"")</f>
        <v/>
      </c>
      <c r="D28" s="7" t="n"/>
      <c r="E28" s="7" t="n"/>
      <c r="F28" s="7" t="n"/>
      <c r="G28" s="2">
        <f>IFERROR(AVERAGE(D28:F28),"")</f>
        <v/>
      </c>
      <c r="H28" s="2">
        <f>IFERROR(G28-C28,"")</f>
        <v/>
      </c>
      <c r="J28" s="2" t="n">
        <v>1</v>
      </c>
      <c r="K28" s="2" t="n">
        <v>2</v>
      </c>
      <c r="L28" s="2" t="n">
        <v>3</v>
      </c>
      <c r="M28" s="2" t="n">
        <v>4</v>
      </c>
      <c r="N28" s="2" t="n">
        <v>5</v>
      </c>
      <c r="O28" s="2" t="n">
        <v>6</v>
      </c>
    </row>
    <row r="29">
      <c r="A29" s="2" t="inlineStr">
        <is>
          <t>Security &amp; Compliance</t>
        </is>
      </c>
      <c r="B29" s="2" t="inlineStr">
        <is>
          <t>Identity, secrets &amp; access</t>
        </is>
      </c>
      <c r="C29" s="2">
        <f>IFERROR(INDEX(J29:O29,MATCH($B$1,$J$3:$O$3,0)),"")</f>
        <v/>
      </c>
      <c r="D29" s="7" t="n"/>
      <c r="E29" s="7" t="n"/>
      <c r="F29" s="7" t="n"/>
      <c r="G29" s="2">
        <f>IFERROR(AVERAGE(D29:F29),"")</f>
        <v/>
      </c>
      <c r="H29" s="2">
        <f>IFERROR(G29-C29,"")</f>
        <v/>
      </c>
      <c r="J29" s="2" t="n">
        <v>1</v>
      </c>
      <c r="K29" s="2" t="n">
        <v>2</v>
      </c>
      <c r="L29" s="2" t="n">
        <v>3</v>
      </c>
      <c r="M29" s="2" t="n">
        <v>4</v>
      </c>
      <c r="N29" s="2" t="n">
        <v>5</v>
      </c>
      <c r="O29" s="2" t="n">
        <v>6</v>
      </c>
    </row>
    <row r="30">
      <c r="A30" s="2" t="inlineStr">
        <is>
          <t>Security &amp; Compliance</t>
        </is>
      </c>
      <c r="B30" s="2" t="inlineStr">
        <is>
          <t>Software supply chain security</t>
        </is>
      </c>
      <c r="C30" s="2">
        <f>IFERROR(INDEX(J30:O30,MATCH($B$1,$J$3:$O$3,0)),"")</f>
        <v/>
      </c>
      <c r="D30" s="7" t="n"/>
      <c r="E30" s="7" t="n"/>
      <c r="F30" s="7" t="n"/>
      <c r="G30" s="2">
        <f>IFERROR(AVERAGE(D30:F30),"")</f>
        <v/>
      </c>
      <c r="H30" s="2">
        <f>IFERROR(G30-C30,"")</f>
        <v/>
      </c>
      <c r="J30" s="2" t="n">
        <v>1</v>
      </c>
      <c r="K30" s="2" t="n">
        <v>2</v>
      </c>
      <c r="L30" s="2" t="n">
        <v>3</v>
      </c>
      <c r="M30" s="2" t="n">
        <v>4</v>
      </c>
      <c r="N30" s="2" t="n">
        <v>5</v>
      </c>
      <c r="O30" s="2" t="n">
        <v>6</v>
      </c>
    </row>
    <row r="31">
      <c r="A31" s="2" t="inlineStr">
        <is>
          <t>Security &amp; Compliance</t>
        </is>
      </c>
      <c r="B31" s="2" t="inlineStr">
        <is>
          <t>Compliance &amp; audit readiness</t>
        </is>
      </c>
      <c r="C31" s="2">
        <f>IFERROR(INDEX(J31:O31,MATCH($B$1,$J$3:$O$3,0)),"")</f>
        <v/>
      </c>
      <c r="D31" s="7" t="n"/>
      <c r="E31" s="7" t="n"/>
      <c r="F31" s="7" t="n"/>
      <c r="G31" s="2">
        <f>IFERROR(AVERAGE(D31:F31),"")</f>
        <v/>
      </c>
      <c r="H31" s="2">
        <f>IFERROR(G31-C31,"")</f>
        <v/>
      </c>
      <c r="J31" s="2" t="n">
        <v>1</v>
      </c>
      <c r="K31" s="2" t="n">
        <v>2</v>
      </c>
      <c r="L31" s="2" t="n">
        <v>3</v>
      </c>
      <c r="M31" s="2" t="n">
        <v>4</v>
      </c>
      <c r="N31" s="2" t="n">
        <v>5</v>
      </c>
      <c r="O31" s="2" t="n">
        <v>6</v>
      </c>
    </row>
    <row r="32">
      <c r="A32" s="2" t="inlineStr">
        <is>
          <t>Communication &amp; Collaboration</t>
        </is>
      </c>
      <c r="B32" s="2" t="inlineStr">
        <is>
          <t>Technical documentation</t>
        </is>
      </c>
      <c r="C32" s="2">
        <f>IFERROR(INDEX(J32:O32,MATCH($B$1,$J$3:$O$3,0)),"")</f>
        <v/>
      </c>
      <c r="D32" s="7" t="n"/>
      <c r="E32" s="7" t="n"/>
      <c r="F32" s="7" t="n"/>
      <c r="G32" s="2">
        <f>IFERROR(AVERAGE(D32:F32),"")</f>
        <v/>
      </c>
      <c r="H32" s="2">
        <f>IFERROR(G32-C32,"")</f>
        <v/>
      </c>
      <c r="J32" s="2" t="n">
        <v>1</v>
      </c>
      <c r="K32" s="2" t="n">
        <v>2</v>
      </c>
      <c r="L32" s="2" t="n">
        <v>3</v>
      </c>
      <c r="M32" s="2" t="n">
        <v>4</v>
      </c>
      <c r="N32" s="2" t="n">
        <v>5</v>
      </c>
      <c r="O32" s="2" t="n">
        <v>6</v>
      </c>
    </row>
    <row r="33">
      <c r="A33" s="2" t="inlineStr">
        <is>
          <t>Communication &amp; Collaboration</t>
        </is>
      </c>
      <c r="B33" s="2" t="inlineStr">
        <is>
          <t>Design communication &amp; decision records</t>
        </is>
      </c>
      <c r="C33" s="2">
        <f>IFERROR(INDEX(J33:O33,MATCH($B$1,$J$3:$O$3,0)),"")</f>
        <v/>
      </c>
      <c r="D33" s="7" t="n"/>
      <c r="E33" s="7" t="n"/>
      <c r="F33" s="7" t="n"/>
      <c r="G33" s="2">
        <f>IFERROR(AVERAGE(D33:F33),"")</f>
        <v/>
      </c>
      <c r="H33" s="2">
        <f>IFERROR(G33-C33,"")</f>
        <v/>
      </c>
      <c r="J33" s="2" t="n">
        <v>1</v>
      </c>
      <c r="K33" s="2" t="n">
        <v>2</v>
      </c>
      <c r="L33" s="2" t="n">
        <v>3</v>
      </c>
      <c r="M33" s="2" t="n">
        <v>4</v>
      </c>
      <c r="N33" s="2" t="n">
        <v>5</v>
      </c>
      <c r="O33" s="2" t="n">
        <v>6</v>
      </c>
    </row>
    <row r="34">
      <c r="A34" s="2" t="inlineStr">
        <is>
          <t>Communication &amp; Collaboration</t>
        </is>
      </c>
      <c r="B34" s="2" t="inlineStr">
        <is>
          <t>Platform advocacy &amp; enablement</t>
        </is>
      </c>
      <c r="C34" s="2">
        <f>IFERROR(INDEX(J34:O34,MATCH($B$1,$J$3:$O$3,0)),"")</f>
        <v/>
      </c>
      <c r="D34" s="7" t="n"/>
      <c r="E34" s="7" t="n"/>
      <c r="F34" s="7" t="n"/>
      <c r="G34" s="2">
        <f>IFERROR(AVERAGE(D34:F34),"")</f>
        <v/>
      </c>
      <c r="H34" s="2">
        <f>IFERROR(G34-C34,"")</f>
        <v/>
      </c>
      <c r="J34" s="2" t="n">
        <v>1</v>
      </c>
      <c r="K34" s="2" t="n">
        <v>2</v>
      </c>
      <c r="L34" s="2" t="n">
        <v>3</v>
      </c>
      <c r="M34" s="2" t="n">
        <v>4</v>
      </c>
      <c r="N34" s="2" t="n">
        <v>5</v>
      </c>
      <c r="O34" s="2" t="n">
        <v>6</v>
      </c>
    </row>
    <row r="35">
      <c r="A35" s="2" t="inlineStr">
        <is>
          <t>Communication &amp; Collaboration</t>
        </is>
      </c>
      <c r="B35" s="2" t="inlineStr">
        <is>
          <t>Stakeholder management</t>
        </is>
      </c>
      <c r="C35" s="2">
        <f>IFERROR(INDEX(J35:O35,MATCH($B$1,$J$3:$O$3,0)),"")</f>
        <v/>
      </c>
      <c r="D35" s="7" t="n"/>
      <c r="E35" s="7" t="n"/>
      <c r="F35" s="7" t="n"/>
      <c r="G35" s="2">
        <f>IFERROR(AVERAGE(D35:F35),"")</f>
        <v/>
      </c>
      <c r="H35" s="2">
        <f>IFERROR(G35-C35,"")</f>
        <v/>
      </c>
      <c r="J35" s="2" t="n">
        <v>1</v>
      </c>
      <c r="K35" s="2" t="n">
        <v>2</v>
      </c>
      <c r="L35" s="2" t="n">
        <v>3</v>
      </c>
      <c r="M35" s="2" t="n">
        <v>4</v>
      </c>
      <c r="N35" s="2" t="n">
        <v>5</v>
      </c>
      <c r="O35" s="2" t="n">
        <v>6</v>
      </c>
    </row>
    <row r="36">
      <c r="A36" s="2" t="inlineStr">
        <is>
          <t>Communication &amp; Collaboration</t>
        </is>
      </c>
      <c r="B36" s="2" t="inlineStr">
        <is>
          <t>Cross-team collaboration</t>
        </is>
      </c>
      <c r="C36" s="2">
        <f>IFERROR(INDEX(J36:O36,MATCH($B$1,$J$3:$O$3,0)),"")</f>
        <v/>
      </c>
      <c r="D36" s="7" t="n"/>
      <c r="E36" s="7" t="n"/>
      <c r="F36" s="7" t="n"/>
      <c r="G36" s="2">
        <f>IFERROR(AVERAGE(D36:F36),"")</f>
        <v/>
      </c>
      <c r="H36" s="2">
        <f>IFERROR(G36-C36,"")</f>
        <v/>
      </c>
      <c r="J36" s="2" t="n">
        <v>1</v>
      </c>
      <c r="K36" s="2" t="n">
        <v>2</v>
      </c>
      <c r="L36" s="2" t="n">
        <v>3</v>
      </c>
      <c r="M36" s="2" t="n">
        <v>4</v>
      </c>
      <c r="N36" s="2" t="n">
        <v>5</v>
      </c>
      <c r="O36" s="2" t="n">
        <v>6</v>
      </c>
    </row>
    <row r="37">
      <c r="A37" s="2" t="inlineStr">
        <is>
          <t>Execution &amp; Leadership</t>
        </is>
      </c>
      <c r="B37" s="2" t="inlineStr">
        <is>
          <t>Planning &amp; estimation</t>
        </is>
      </c>
      <c r="C37" s="2">
        <f>IFERROR(INDEX(J37:O37,MATCH($B$1,$J$3:$O$3,0)),"")</f>
        <v/>
      </c>
      <c r="D37" s="7" t="n"/>
      <c r="E37" s="7" t="n"/>
      <c r="F37" s="7" t="n"/>
      <c r="G37" s="2">
        <f>IFERROR(AVERAGE(D37:F37),"")</f>
        <v/>
      </c>
      <c r="H37" s="2">
        <f>IFERROR(G37-C37,"")</f>
        <v/>
      </c>
      <c r="J37" s="2" t="n">
        <v>1</v>
      </c>
      <c r="K37" s="2" t="n">
        <v>2</v>
      </c>
      <c r="L37" s="2" t="n">
        <v>3</v>
      </c>
      <c r="M37" s="2" t="n">
        <v>4</v>
      </c>
      <c r="N37" s="2" t="n">
        <v>5</v>
      </c>
      <c r="O37" s="2" t="n">
        <v>6</v>
      </c>
    </row>
    <row r="38">
      <c r="A38" s="2" t="inlineStr">
        <is>
          <t>Execution &amp; Leadership</t>
        </is>
      </c>
      <c r="B38" s="2" t="inlineStr">
        <is>
          <t>Prioritization &amp; trade-off judgment</t>
        </is>
      </c>
      <c r="C38" s="2">
        <f>IFERROR(INDEX(J38:O38,MATCH($B$1,$J$3:$O$3,0)),"")</f>
        <v/>
      </c>
      <c r="D38" s="7" t="n"/>
      <c r="E38" s="7" t="n"/>
      <c r="F38" s="7" t="n"/>
      <c r="G38" s="2">
        <f>IFERROR(AVERAGE(D38:F38),"")</f>
        <v/>
      </c>
      <c r="H38" s="2">
        <f>IFERROR(G38-C38,"")</f>
        <v/>
      </c>
      <c r="J38" s="2" t="n">
        <v>1</v>
      </c>
      <c r="K38" s="2" t="n">
        <v>2</v>
      </c>
      <c r="L38" s="2" t="n">
        <v>3</v>
      </c>
      <c r="M38" s="2" t="n">
        <v>4</v>
      </c>
      <c r="N38" s="2" t="n">
        <v>5</v>
      </c>
      <c r="O38" s="2" t="n">
        <v>6</v>
      </c>
    </row>
    <row r="39">
      <c r="A39" s="2" t="inlineStr">
        <is>
          <t>Execution &amp; Leadership</t>
        </is>
      </c>
      <c r="B39" s="2" t="inlineStr">
        <is>
          <t>Mentorship &amp; knowledge sharing</t>
        </is>
      </c>
      <c r="C39" s="2">
        <f>IFERROR(INDEX(J39:O39,MATCH($B$1,$J$3:$O$3,0)),"")</f>
        <v/>
      </c>
      <c r="D39" s="7" t="n"/>
      <c r="E39" s="7" t="n"/>
      <c r="F39" s="7" t="n"/>
      <c r="G39" s="2">
        <f>IFERROR(AVERAGE(D39:F39),"")</f>
        <v/>
      </c>
      <c r="H39" s="2">
        <f>IFERROR(G39-C39,"")</f>
        <v/>
      </c>
      <c r="J39" s="2" t="n">
        <v>1</v>
      </c>
      <c r="K39" s="2" t="n">
        <v>2</v>
      </c>
      <c r="L39" s="2" t="n">
        <v>3</v>
      </c>
      <c r="M39" s="2" t="n">
        <v>4</v>
      </c>
      <c r="N39" s="2" t="n">
        <v>5</v>
      </c>
      <c r="O39" s="2" t="n">
        <v>6</v>
      </c>
    </row>
    <row r="40">
      <c r="A40" s="2" t="inlineStr">
        <is>
          <t>Execution &amp; Leadership</t>
        </is>
      </c>
      <c r="B40" s="2" t="inlineStr">
        <is>
          <t>Technical direction &amp; influence</t>
        </is>
      </c>
      <c r="C40" s="2">
        <f>IFERROR(INDEX(J40:O40,MATCH($B$1,$J$3:$O$3,0)),"")</f>
        <v/>
      </c>
      <c r="D40" s="7" t="n"/>
      <c r="E40" s="7" t="n"/>
      <c r="F40" s="7" t="n"/>
      <c r="G40" s="2">
        <f>IFERROR(AVERAGE(D40:F40),"")</f>
        <v/>
      </c>
      <c r="H40" s="2">
        <f>IFERROR(G40-C40,"")</f>
        <v/>
      </c>
      <c r="J40" s="2" t="n">
        <v>1</v>
      </c>
      <c r="K40" s="2" t="n">
        <v>2</v>
      </c>
      <c r="L40" s="2" t="n">
        <v>3</v>
      </c>
      <c r="M40" s="2" t="n">
        <v>4</v>
      </c>
      <c r="N40" s="2" t="n">
        <v>5</v>
      </c>
      <c r="O40" s="2" t="n">
        <v>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Sources</t>
        </is>
      </c>
    </row>
    <row r="2">
      <c r="A2" s="4" t="inlineStr">
        <is>
          <t>Allspaw, "Blameless PostMortems and a Just Culture" (Etsy Code as Craft, 2012)</t>
        </is>
      </c>
    </row>
    <row r="3">
      <c r="A3" s="4" t="inlineStr">
        <is>
          <t>Amazon Web Services, *Well-Architected Framework* (2015-)</t>
        </is>
      </c>
    </row>
    <row r="4">
      <c r="A4" s="4" t="inlineStr">
        <is>
          <t>Beyer, Jones, Petoff &amp; Murphy (eds.), *Site Reliability Engineering* (O'Reilly, 2016)</t>
        </is>
      </c>
    </row>
    <row r="5">
      <c r="A5" s="4" t="inlineStr">
        <is>
          <t>Beyer, Jones, Petoff &amp; Murphy (eds.), *Site Reliability Engineering* (O'Reilly, 2016), toil chapter</t>
        </is>
      </c>
    </row>
    <row r="6">
      <c r="A6" s="4" t="inlineStr">
        <is>
          <t>Bottcher, "What I Talk About When I Talk About Platforms" (martinfowler.com, 2018)</t>
        </is>
      </c>
    </row>
    <row r="7">
      <c r="A7" s="4" t="inlineStr">
        <is>
          <t>Burns, Grant, Oppenheimer, Brewer &amp; Wilkes, "Borg, Omega, and Kubernetes" (ACM Queue, 2016)</t>
        </is>
      </c>
    </row>
    <row r="8">
      <c r="A8" s="4" t="inlineStr">
        <is>
          <t>CNCF TAG App Delivery, *Platform Engineering Maturity Model* (2023)</t>
        </is>
      </c>
    </row>
    <row r="9">
      <c r="A9" s="4" t="inlineStr">
        <is>
          <t>Cohn (2009) as refined by Vocke, "The Practical Test Pyramid" (2018)</t>
        </is>
      </c>
    </row>
    <row r="10">
      <c r="A10" s="4" t="inlineStr">
        <is>
          <t>Conway, "How Do Committees Invent?" (Datamation, 1968)</t>
        </is>
      </c>
    </row>
    <row r="11">
      <c r="A11" s="4" t="inlineStr">
        <is>
          <t>Forsgren, Humble &amp; Kim, *Accelerate* (2018)</t>
        </is>
      </c>
    </row>
    <row r="12">
      <c r="A12" s="4" t="inlineStr">
        <is>
          <t>Fowler, *Refactoring* (2nd ed., 2018)</t>
        </is>
      </c>
    </row>
    <row r="13">
      <c r="A13" s="4" t="inlineStr">
        <is>
          <t>Gregg, *Systems Performance* (2nd ed., 2020)</t>
        </is>
      </c>
    </row>
    <row r="14">
      <c r="A14" s="4" t="inlineStr">
        <is>
          <t>Humble &amp; Farley, *Continuous Delivery* (2010)</t>
        </is>
      </c>
    </row>
    <row r="15">
      <c r="A15" s="4" t="inlineStr">
        <is>
          <t>Kurose &amp; Ross, *Computer Networking: A Top-Down Approach* (8th ed., 2021)</t>
        </is>
      </c>
    </row>
    <row r="16">
      <c r="A16" s="4" t="inlineStr">
        <is>
          <t>Larson, *Staff Engineer: Leadership Beyond the Management Track* (2021)</t>
        </is>
      </c>
    </row>
    <row r="17">
      <c r="A17" s="4" t="inlineStr">
        <is>
          <t>Lave &amp; Wenger, *Situated Learning: Legitimate Peripheral Participation* (1991)</t>
        </is>
      </c>
    </row>
    <row r="18">
      <c r="A18" s="4" t="inlineStr">
        <is>
          <t>Majors, Fong-Jones &amp; Miranda, *Observability Engineering* (O'Reilly, 2022)</t>
        </is>
      </c>
    </row>
    <row r="19">
      <c r="A19" s="4" t="inlineStr">
        <is>
          <t>McConnell, *Software Estimation: Demystifying the Black Art* (2006)</t>
        </is>
      </c>
    </row>
    <row r="20">
      <c r="A20" s="4" t="inlineStr">
        <is>
          <t>Morris, *Infrastructure as Code* (O'Reilly, 2016)</t>
        </is>
      </c>
    </row>
    <row r="21">
      <c r="A21" s="4" t="inlineStr">
        <is>
          <t>NIST, *OSCAL - Open Security Controls Assessment Language* (1.0, 2021)</t>
        </is>
      </c>
    </row>
    <row r="22">
      <c r="A22" s="4" t="inlineStr">
        <is>
          <t>Noda, Storey, Forsgren &amp; Greiler, "DevEx: What Actually Drives Productivity" (ACM Queue, 2023)</t>
        </is>
      </c>
    </row>
    <row r="23">
      <c r="A23" s="4" t="inlineStr">
        <is>
          <t>Nygard, "Documenting Architecture Decisions" (2011)</t>
        </is>
      </c>
    </row>
    <row r="24">
      <c r="A24" s="4" t="inlineStr">
        <is>
          <t>OpenSSF, *SLSA: Supply-chain Levels for Software Artifacts* (2021)</t>
        </is>
      </c>
    </row>
    <row r="25">
      <c r="A25" s="4" t="inlineStr">
        <is>
          <t>OWASP, *Application Security Verification Standard* (v4, 2019)</t>
        </is>
      </c>
    </row>
    <row r="26">
      <c r="A26" s="4" t="inlineStr">
        <is>
          <t>PagerDuty, *Incident Response Guide* (2017)</t>
        </is>
      </c>
    </row>
    <row r="27">
      <c r="A27" s="4" t="inlineStr">
        <is>
          <t>Perri, *Escaping the Build Trap* (2018)</t>
        </is>
      </c>
    </row>
    <row r="28">
      <c r="A28" s="4" t="inlineStr">
        <is>
          <t>Procida, *Diataxis* (2017-)</t>
        </is>
      </c>
    </row>
    <row r="29">
      <c r="A29" s="4" t="inlineStr">
        <is>
          <t>Reinertsen, *The Principles of Product Development Flow* (2009)</t>
        </is>
      </c>
    </row>
    <row r="30">
      <c r="A30" s="4" t="inlineStr">
        <is>
          <t>Sadowski et al., "Modern Code Review: A Case Study at Google" (ICSE-SEIP, 2018)</t>
        </is>
      </c>
    </row>
    <row r="31">
      <c r="A31" s="4" t="inlineStr">
        <is>
          <t>Skelton &amp; Pais, *Team Topologies* (2019)</t>
        </is>
      </c>
    </row>
    <row r="32">
      <c r="A32" s="4" t="inlineStr">
        <is>
          <t>Skelton &amp; Pais, *Team Topologies* (2019) - team interaction modes</t>
        </is>
      </c>
    </row>
    <row r="33">
      <c r="A33" s="4" t="inlineStr">
        <is>
          <t>Skelton &amp; Pais, *Team Topologies* (2019), applying Sweller's cognitive load theory (1988)</t>
        </is>
      </c>
    </row>
    <row r="34">
      <c r="A34" s="4" t="inlineStr">
        <is>
          <t>Spotify Engineering, "How We Use Golden Paths to Solve Fragmentation in Our Software Ecosystem" (2020)</t>
        </is>
      </c>
    </row>
    <row r="35">
      <c r="A35" s="4" t="inlineStr">
        <is>
          <t>Ward &amp; Beyer, "BeyondCorp: A New Approach to Enterprise Security" (;login:, 2014)</t>
        </is>
      </c>
    </row>
    <row r="36">
      <c r="A36" s="4" t="inlineStr">
        <is>
          <t>Winters, Manshreck &amp; Wright, *Software Engineering at Google* (2020) - Hyrum's Law</t>
        </is>
      </c>
    </row>
    <row r="37">
      <c r="A37" s="4" t="inlineStr">
        <is>
          <t>Winters, Manshreck &amp; Wright, *Software Engineering at Google* (2020), deprecation chapter</t>
        </is>
      </c>
    </row>
    <row r="38">
      <c r="A38" s="4" t="inlineStr">
        <is>
          <t>Winters, Manshreck &amp; Wright, *Software Engineering at Google* (2020), design-docs chapters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2026-07-03T06:31:20Z</dcterms:created>
  <dcterms:modified xsi:type="dcterms:W3CDTF">2026-07-03T06:31:20Z</dcterms:modified>
</cp:coreProperties>
</file>