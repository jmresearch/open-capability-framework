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mpetency Matrix" sheetId="2" state="visible" r:id="rId2"/>
    <sheet name="Rating Template" sheetId="3" state="visible" r:id="rId3"/>
    <sheet name="Sources &amp; Theory"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color rgb="FF0563C1"/>
      <sz val="10"/>
      <u val="single"/>
    </font>
    <font>
      <name val="Arial"/>
      <color rgb="FF0000CC"/>
      <sz val="10"/>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jmresearch/open-capability-framework" TargetMode="External" Id="rId1" /></Relationships>
</file>

<file path=xl/worksheets/_rels/sheet2.xml.rels><Relationships xmlns="http://schemas.openxmlformats.org/package/2006/relationships"><Relationship Type="http://schemas.openxmlformats.org/officeDocument/2006/relationships/hyperlink" Target="https://github.com/jmresearch/open-capability-framework/blob/main/data/capabilities.md#pm-01" TargetMode="External" Id="rId1" /><Relationship Type="http://schemas.openxmlformats.org/officeDocument/2006/relationships/hyperlink" Target="https://github.com/jmresearch/open-capability-framework/blob/main/data/capabilities.md#pm-10" TargetMode="External" Id="rId2" /><Relationship Type="http://schemas.openxmlformats.org/officeDocument/2006/relationships/hyperlink" Target="https://github.com/jmresearch/open-capability-framework/blob/main/data/capabilities.md#ops-31" TargetMode="External" Id="rId3" /><Relationship Type="http://schemas.openxmlformats.org/officeDocument/2006/relationships/hyperlink" Target="https://github.com/jmresearch/open-capability-framework/blob/main/data/capabilities.md#pm-05" TargetMode="External" Id="rId4" /><Relationship Type="http://schemas.openxmlformats.org/officeDocument/2006/relationships/hyperlink" Target="https://github.com/jmresearch/open-capability-framework/blob/main/data/capabilities.md#ops-27" TargetMode="External" Id="rId5" /><Relationship Type="http://schemas.openxmlformats.org/officeDocument/2006/relationships/hyperlink" Target="https://github.com/jmresearch/open-capability-framework/blob/main/data/capabilities.md#ops-32" TargetMode="External" Id="rId6" /><Relationship Type="http://schemas.openxmlformats.org/officeDocument/2006/relationships/hyperlink" Target="https://github.com/jmresearch/open-capability-framework/blob/main/data/capabilities.md#swe-05" TargetMode="External" Id="rId7" /><Relationship Type="http://schemas.openxmlformats.org/officeDocument/2006/relationships/hyperlink" Target="https://github.com/jmresearch/open-capability-framework/blob/main/data/capabilities.md#swe-07" TargetMode="External" Id="rId8" /><Relationship Type="http://schemas.openxmlformats.org/officeDocument/2006/relationships/hyperlink" Target="https://github.com/jmresearch/open-capability-framework/blob/main/data/capabilities.md#swe-02" TargetMode="External" Id="rId9" /><Relationship Type="http://schemas.openxmlformats.org/officeDocument/2006/relationships/hyperlink" Target="https://github.com/jmresearch/open-capability-framework/blob/main/data/capabilities.md#swe-04" TargetMode="External" Id="rId10" /><Relationship Type="http://schemas.openxmlformats.org/officeDocument/2006/relationships/hyperlink" Target="https://github.com/jmresearch/open-capability-framework/blob/main/data/capabilities.md#swe-03" TargetMode="External" Id="rId11" /><Relationship Type="http://schemas.openxmlformats.org/officeDocument/2006/relationships/hyperlink" Target="https://github.com/jmresearch/open-capability-framework/blob/main/data/capabilities.md#ops-02" TargetMode="External" Id="rId12" /><Relationship Type="http://schemas.openxmlformats.org/officeDocument/2006/relationships/hyperlink" Target="https://github.com/jmresearch/open-capability-framework/blob/main/data/capabilities.md#ops-30" TargetMode="External" Id="rId13" /><Relationship Type="http://schemas.openxmlformats.org/officeDocument/2006/relationships/hyperlink" Target="https://github.com/jmresearch/open-capability-framework/blob/main/data/capabilities.md#ops-01" TargetMode="External" Id="rId14" /><Relationship Type="http://schemas.openxmlformats.org/officeDocument/2006/relationships/hyperlink" Target="https://github.com/jmresearch/open-capability-framework/blob/main/data/capabilities.md#ops-14" TargetMode="External" Id="rId15" /><Relationship Type="http://schemas.openxmlformats.org/officeDocument/2006/relationships/hyperlink" Target="https://github.com/jmresearch/open-capability-framework/blob/main/data/capabilities.md#ops-19" TargetMode="External" Id="rId16" /><Relationship Type="http://schemas.openxmlformats.org/officeDocument/2006/relationships/hyperlink" Target="https://github.com/jmresearch/open-capability-framework/blob/main/data/capabilities.md#ops-10" TargetMode="External" Id="rId17" /><Relationship Type="http://schemas.openxmlformats.org/officeDocument/2006/relationships/hyperlink" Target="https://github.com/jmresearch/open-capability-framework/blob/main/data/capabilities.md#ops-27" TargetMode="External" Id="rId18" /><Relationship Type="http://schemas.openxmlformats.org/officeDocument/2006/relationships/hyperlink" Target="https://github.com/jmresearch/open-capability-framework/blob/main/data/capabilities.md#ops-05" TargetMode="External" Id="rId19" /><Relationship Type="http://schemas.openxmlformats.org/officeDocument/2006/relationships/hyperlink" Target="https://github.com/jmresearch/open-capability-framework/blob/main/data/capabilities.md#ops-04" TargetMode="External" Id="rId20" /><Relationship Type="http://schemas.openxmlformats.org/officeDocument/2006/relationships/hyperlink" Target="https://github.com/jmresearch/open-capability-framework/blob/main/data/capabilities.md#ops-06" TargetMode="External" Id="rId21" /><Relationship Type="http://schemas.openxmlformats.org/officeDocument/2006/relationships/hyperlink" Target="https://github.com/jmresearch/open-capability-framework/blob/main/data/capabilities.md#ops-06" TargetMode="External" Id="rId22" /><Relationship Type="http://schemas.openxmlformats.org/officeDocument/2006/relationships/hyperlink" Target="https://github.com/jmresearch/open-capability-framework/blob/main/data/capabilities.md#ops-07" TargetMode="External" Id="rId23" /><Relationship Type="http://schemas.openxmlformats.org/officeDocument/2006/relationships/hyperlink" Target="https://github.com/jmresearch/open-capability-framework/blob/main/data/capabilities.md#ops-28" TargetMode="External" Id="rId24" /><Relationship Type="http://schemas.openxmlformats.org/officeDocument/2006/relationships/hyperlink" Target="https://github.com/jmresearch/open-capability-framework/blob/main/data/capabilities.md#sec-18" TargetMode="External" Id="rId25" /><Relationship Type="http://schemas.openxmlformats.org/officeDocument/2006/relationships/hyperlink" Target="https://github.com/jmresearch/open-capability-framework/blob/main/data/capabilities.md#sec-01" TargetMode="External" Id="rId26" /><Relationship Type="http://schemas.openxmlformats.org/officeDocument/2006/relationships/hyperlink" Target="https://github.com/jmresearch/open-capability-framework/blob/main/data/capabilities.md#sec-09" TargetMode="External" Id="rId27" /><Relationship Type="http://schemas.openxmlformats.org/officeDocument/2006/relationships/hyperlink" Target="https://github.com/jmresearch/open-capability-framework/blob/main/data/capabilities.md#ops-09" TargetMode="External" Id="rId28" /><Relationship Type="http://schemas.openxmlformats.org/officeDocument/2006/relationships/hyperlink" Target="https://github.com/jmresearch/open-capability-framework/blob/main/data/capabilities.md#dr-05" TargetMode="External" Id="rId29" /><Relationship Type="http://schemas.openxmlformats.org/officeDocument/2006/relationships/hyperlink" Target="https://github.com/jmresearch/open-capability-framework/blob/main/data/capabilities.md#cc-01" TargetMode="External" Id="rId30" /><Relationship Type="http://schemas.openxmlformats.org/officeDocument/2006/relationships/hyperlink" Target="https://github.com/jmresearch/open-capability-framework/blob/main/data/capabilities.md#dr-01" TargetMode="External" Id="rId31" /><Relationship Type="http://schemas.openxmlformats.org/officeDocument/2006/relationships/hyperlink" Target="https://github.com/jmresearch/open-capability-framework/blob/main/data/capabilities.md#pm-13" TargetMode="External" Id="rId32" /><Relationship Type="http://schemas.openxmlformats.org/officeDocument/2006/relationships/hyperlink" Target="https://github.com/jmresearch/open-capability-framework/blob/main/data/capabilities.md#cc-03" TargetMode="External" Id="rId33" /><Relationship Type="http://schemas.openxmlformats.org/officeDocument/2006/relationships/hyperlink" Target="https://github.com/jmresearch/open-capability-framework/blob/main/data/capabilities.md#pd-04" TargetMode="External" Id="rId34" /><Relationship Type="http://schemas.openxmlformats.org/officeDocument/2006/relationships/hyperlink" Target="https://github.com/jmresearch/open-capability-framework/blob/main/data/capabilities.md#pd-02" TargetMode="External" Id="rId35" /><Relationship Type="http://schemas.openxmlformats.org/officeDocument/2006/relationships/hyperlink" Target="https://github.com/jmresearch/open-capability-framework/blob/main/data/capabilities.md#li-01" TargetMode="External" Id="rId36" /><Relationship Type="http://schemas.openxmlformats.org/officeDocument/2006/relationships/hyperlink" Target="https://github.com/jmresearch/open-capability-framework/blob/main/data/capabilities.md#li-03" TargetMode="External" Id="rId37" /></Relationships>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2" customWidth="1" min="1" max="1"/>
    <col width="36" customWidth="1" min="2" max="2"/>
    <col width="34" customWidth="1" min="3" max="3"/>
    <col width="60" customWidth="1" min="4" max="4"/>
  </cols>
  <sheetData>
    <row r="1">
      <c r="A1" s="1" t="inlineStr">
        <is>
          <t>Role</t>
        </is>
      </c>
      <c r="B1" s="2" t="inlineStr">
        <is>
          <t>Platform Engineering</t>
        </is>
      </c>
    </row>
    <row r="2">
      <c r="A2" s="1" t="inlineStr">
        <is>
          <t>Slug</t>
        </is>
      </c>
      <c r="B2" s="2" t="inlineStr">
        <is>
          <t>platform-engineering</t>
        </is>
      </c>
    </row>
    <row r="3">
      <c r="A3" s="1" t="inlineStr">
        <is>
          <t>Variant</t>
        </is>
      </c>
      <c r="B3" s="2" t="inlineStr">
        <is>
          <t>ic_technical</t>
        </is>
      </c>
    </row>
    <row r="4">
      <c r="A4" s="1" t="inlineStr">
        <is>
          <t>Minted</t>
        </is>
      </c>
      <c r="B4" s="2" t="inlineStr">
        <is>
          <t>2026-07-02</t>
        </is>
      </c>
    </row>
    <row r="6">
      <c r="A6" s="1" t="inlineStr">
        <is>
          <t>Level</t>
        </is>
      </c>
      <c r="B6" s="1" t="inlineStr">
        <is>
          <t>Title</t>
        </is>
      </c>
      <c r="C6" s="1" t="inlineStr">
        <is>
          <t>Scope</t>
        </is>
      </c>
      <c r="D6" s="1" t="inlineStr">
        <is>
          <t>Focus</t>
        </is>
      </c>
    </row>
    <row r="7">
      <c r="A7" s="3" t="inlineStr">
        <is>
          <t>E1</t>
        </is>
      </c>
      <c r="B7" s="3" t="inlineStr">
        <is>
          <t>Associate Platform Engineer</t>
        </is>
      </c>
      <c r="C7" s="4" t="inlineStr">
        <is>
          <t>task</t>
        </is>
      </c>
      <c r="D7" s="4" t="inlineStr">
        <is>
          <t>Learns the platform and ships well-defined tasks with guidance</t>
        </is>
      </c>
    </row>
    <row r="8">
      <c r="A8" s="3" t="inlineStr">
        <is>
          <t>E2</t>
        </is>
      </c>
      <c r="B8" s="3" t="inlineStr">
        <is>
          <t>Platform Engineer</t>
        </is>
      </c>
      <c r="C8" s="4" t="inlineStr">
        <is>
          <t>component</t>
        </is>
      </c>
      <c r="D8" s="4" t="inlineStr">
        <is>
          <t>Owns platform components end to end and unblocks internal users independently</t>
        </is>
      </c>
    </row>
    <row r="9">
      <c r="A9" s="3" t="inlineStr">
        <is>
          <t>E3</t>
        </is>
      </c>
      <c r="B9" s="3" t="inlineStr">
        <is>
          <t>Senior Platform Engineer</t>
        </is>
      </c>
      <c r="C9" s="4" t="inlineStr">
        <is>
          <t>capability / domain (terminal level)</t>
        </is>
      </c>
      <c r="D9" s="4" t="inlineStr">
        <is>
          <t>Owns a platform capability as a product; terminal level</t>
        </is>
      </c>
    </row>
    <row r="10">
      <c r="A10" s="3" t="inlineStr">
        <is>
          <t>E4</t>
        </is>
      </c>
      <c r="B10" s="3" t="inlineStr">
        <is>
          <t>Staff Platform Engineer</t>
        </is>
      </c>
      <c r="C10" s="4" t="inlineStr">
        <is>
          <t>multiple teams</t>
        </is>
      </c>
      <c r="D10" s="4" t="inlineStr">
        <is>
          <t>Shapes platform architecture and adoption across multiple teams</t>
        </is>
      </c>
    </row>
    <row r="11">
      <c r="A11" s="3" t="inlineStr">
        <is>
          <t>E5</t>
        </is>
      </c>
      <c r="B11" s="3" t="inlineStr">
        <is>
          <t>Senior Staff Platform Engineer</t>
        </is>
      </c>
      <c r="C11" s="4" t="inlineStr">
        <is>
          <t>organization</t>
        </is>
      </c>
      <c r="D11" s="4" t="inlineStr">
        <is>
          <t>Sets platform strategy and standards for the engineering organization</t>
        </is>
      </c>
    </row>
    <row r="12">
      <c r="A12" s="3" t="inlineStr">
        <is>
          <t>E6</t>
        </is>
      </c>
      <c r="B12" s="3" t="inlineStr">
        <is>
          <t>Principal Platform Engineer</t>
        </is>
      </c>
      <c r="C12" s="4" t="inlineStr">
        <is>
          <t>company</t>
        </is>
      </c>
      <c r="D12" s="4" t="inlineStr">
        <is>
          <t>Sets company-wide platform direction and technical bets</t>
        </is>
      </c>
    </row>
    <row r="14" ht="60" customHeight="1">
      <c r="A14" s="4" t="inlineStr">
        <is>
          <t>How to read: each row of the Competency Matrix is one competency, mapped to an Open Capability Framework capability (OCF ID column — click through for the catalog entry and its P1-P6 profile). Level columns describe observable behavior at each level; use the Rating Template for self/peer/manager scoring.</t>
        </is>
      </c>
    </row>
    <row r="16">
      <c r="A16" s="1" t="inlineStr">
        <is>
          <t>Framework repository</t>
        </is>
      </c>
      <c r="B16" s="5" t="inlineStr">
        <is>
          <t>https://github.com/jmresearch/open-capability-framework</t>
        </is>
      </c>
    </row>
  </sheetData>
  <mergeCells count="1">
    <mergeCell ref="A14:D14"/>
  </mergeCells>
  <hyperlinks>
    <hyperlink xmlns:r="http://schemas.openxmlformats.org/officeDocument/2006/relationships" ref="B16"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4" customWidth="1" min="3" max="3"/>
    <col width="12" customWidth="1" min="4" max="4"/>
    <col width="45" customWidth="1" min="5" max="5"/>
    <col width="45" customWidth="1" min="6" max="6"/>
    <col width="55" customWidth="1" min="7" max="7"/>
    <col width="55" customWidth="1" min="8" max="8"/>
    <col width="55" customWidth="1" min="9" max="9"/>
    <col width="55" customWidth="1" min="10" max="10"/>
    <col width="55" customWidth="1" min="11" max="11"/>
    <col width="55" customWidth="1" min="12" max="12"/>
  </cols>
  <sheetData>
    <row r="1">
      <c r="A1" s="1" t="inlineStr">
        <is>
          <t>Key Area</t>
        </is>
      </c>
      <c r="B1" s="1" t="inlineStr">
        <is>
          <t>Focus Area</t>
        </is>
      </c>
      <c r="C1" s="1" t="inlineStr">
        <is>
          <t>Competency</t>
        </is>
      </c>
      <c r="D1" s="1" t="inlineStr">
        <is>
          <t>OCF ID</t>
        </is>
      </c>
      <c r="E1" s="1" t="inlineStr">
        <is>
          <t>What it covers</t>
        </is>
      </c>
      <c r="F1" s="1" t="inlineStr">
        <is>
          <t>Theory anchor &amp; why</t>
        </is>
      </c>
      <c r="G1" s="1" t="inlineStr">
        <is>
          <t>E1</t>
        </is>
      </c>
      <c r="H1" s="1" t="inlineStr">
        <is>
          <t>E2</t>
        </is>
      </c>
      <c r="I1" s="1" t="inlineStr">
        <is>
          <t>E3</t>
        </is>
      </c>
      <c r="J1" s="1" t="inlineStr">
        <is>
          <t>E4</t>
        </is>
      </c>
      <c r="K1" s="1" t="inlineStr">
        <is>
          <t>E5</t>
        </is>
      </c>
      <c r="L1" s="1" t="inlineStr">
        <is>
          <t>E6</t>
        </is>
      </c>
    </row>
    <row r="2">
      <c r="A2" s="4" t="inlineStr">
        <is>
          <t>Platform as a Product</t>
        </is>
      </c>
      <c r="B2" s="4" t="inlineStr">
        <is>
          <t>Product Discovery &amp; Feedback</t>
        </is>
      </c>
      <c r="C2" s="4" t="inlineStr">
        <is>
          <t>Internal user research</t>
        </is>
      </c>
      <c r="D2" s="6" t="inlineStr">
        <is>
          <t>PM-01</t>
        </is>
      </c>
      <c r="E2" s="4" t="inlineStr">
        <is>
          <t>Uncovering user needs and validating problems through interviews, observation, and experimentation.</t>
        </is>
      </c>
      <c r="F2" s="4" t="inlineStr">
        <is>
          <t>Noda, Storey, Forsgren &amp; Greiler, DevEx: What Actually Drives Productivity, ACM Queue 21(2) (2023) — grounds discovery in evidence about how developers actually experience the platform, not provider assumptions.</t>
        </is>
      </c>
      <c r="G2" s="4" t="inlineStr">
        <is>
          <t>Depth: Runs scripted customer interviews and notes findings under a senior researcher's guidance. Evidenced by: Shadows platform users and sits in on interviews and support rotations, writing up the friction they hit. Scope: task.</t>
        </is>
      </c>
      <c r="H2" s="4" t="inlineStr">
        <is>
          <t>Depth: Plans and conducts standard discovery for a feature, synthesizing themes with normal review. Evidenced by: Runs structured interviews and support-channel reviews with the internal engineers using their component. Scope: component.</t>
        </is>
      </c>
      <c r="I2" s="4" t="inlineStr">
        <is>
          <t>Depth: Independently frames ambiguous problems, selects fitting methods, and separates signal from noise. Evidenced by: Designs and runs the discovery process for a capability. Scope: capability / domain (terminal level).</t>
        </is>
      </c>
      <c r="J2" s="4" t="inlineStr">
        <is>
          <t>Depth: Designs the team's discovery approach and untangles findings others find contradictory. Evidenced by: Synthesizes research across several product teams into shared personas and friction maps other platform teams adopt. Scope: multiple teams.</t>
        </is>
      </c>
      <c r="K2" s="4" t="inlineStr">
        <is>
          <t>Depth: Sets the org's research strategy and anticipates emerging customer needs before they surface. Evidenced by: Establishes the organization's standing platform research practice. Scope: organization.</t>
        </is>
      </c>
      <c r="L2" s="4" t="inlineStr">
        <is>
          <t>Depth: Defines what rigorous product discovery means and shapes the discipline's practice externally. Evidenced by: Represents the internal developer experience at company level. Scope: company.</t>
        </is>
      </c>
    </row>
    <row r="3">
      <c r="A3" s="4" t="inlineStr">
        <is>
          <t>Platform as a Product</t>
        </is>
      </c>
      <c r="B3" s="4" t="inlineStr">
        <is>
          <t>Product Discovery &amp; Feedback</t>
        </is>
      </c>
      <c r="C3" s="4" t="inlineStr">
        <is>
          <t>Adoption &amp; success metrics</t>
        </is>
      </c>
      <c r="D3" s="6" t="inlineStr">
        <is>
          <t>PM-10</t>
        </is>
      </c>
      <c r="E3" s="4" t="inlineStr">
        <is>
          <t>Defining success metrics and interpreting product data to evaluate impact and guide iteration.</t>
        </is>
      </c>
      <c r="F3" s="4" t="inlineStr">
        <is>
          <t>Forsgren, Humble &amp; Kim, Accelerate: The Science of Lean Software and DevOps (IT Revolution Press, 2018) — supplies the outcome metrics that make voluntary platform adoption measurable and defensible.</t>
        </is>
      </c>
      <c r="G3" s="4" t="inlineStr">
        <is>
          <t>Depth: Pulls and reports defined product metrics under direction. Evidenced by: Pulls and charts existing adoption and usage numbers accurately when asked. Scope: task.</t>
        </is>
      </c>
      <c r="H3" s="4" t="inlineStr">
        <is>
          <t>Depth: Builds and interprets metric dashboards for a product with normal review. Evidenced by: Instruments their component with adoption, retention, and satisfaction signals. Scope: component.</t>
        </is>
      </c>
      <c r="I3" s="4" t="inlineStr">
        <is>
          <t>Depth: Independently designs metric frameworks and draws sound conclusions from messy data. Evidenced by: Defines the success metrics for a capability. Scope: capability / domain (terminal level).</t>
        </is>
      </c>
      <c r="J3" s="4" t="inlineStr">
        <is>
          <t>Depth: Defines the measurement model teams adopt and diagnoses misleading metrics others trust. Evidenced by: Standardizes how several platform teams measure adoption so their numbers compose. Scope: multiple teams.</t>
        </is>
      </c>
      <c r="K3" s="4" t="inlineStr">
        <is>
          <t>Depth: Sets product-analytics strategy across the org and anticipates which signals will matter. Evidenced by: Owns the organization's platform scorecard. Scope: organization.</t>
        </is>
      </c>
      <c r="L3" s="4" t="inlineStr">
        <is>
          <t>Depth: Defines rigorous product measurement for the discipline and is cited externally on it. Evidenced by: Frames platform value in company terms. Scope: company.</t>
        </is>
      </c>
    </row>
    <row r="4">
      <c r="A4" s="4" t="inlineStr">
        <is>
          <t>Platform as a Product</t>
        </is>
      </c>
      <c r="B4" s="4" t="inlineStr">
        <is>
          <t>Platform Strategy &amp; Scope</t>
        </is>
      </c>
      <c r="C4" s="4" t="inlineStr">
        <is>
          <t>Thinnest viable platform</t>
        </is>
      </c>
      <c r="D4" s="6" t="inlineStr">
        <is>
          <t>OPS-31</t>
        </is>
      </c>
      <c r="E4" s="4" t="inlineStr">
        <is>
          <t>Scopes an internal platform to the smallest set of APIs, tools, docs, and services that accelerates its consumers - making explicit build-buy-adopt decisions and retiring surface area that no longer earns its maintenance cost.</t>
        </is>
      </c>
      <c r="F4" s="4" t="inlineStr">
        <is>
          <t>Skelton &amp; Pais, Team Topologies (IT Revolution, 2019) — defines the Thinnest Viable Platform -- the sizing test every build-buy-adopt and retirement decision here is judged against.</t>
        </is>
      </c>
      <c r="G4" s="4" t="inlineStr">
        <is>
          <t>Depth: Checks for an existing tool, service, or open-source option before writing new code and raises what they find; asks whether a proposed task serves a real user need. Evidenced by: Finds that an existing internal CLI already covers most of a proposed new tool's use case and raises it in planning instead of starting a new build. Scope: task.</t>
        </is>
      </c>
      <c r="H4" s="4" t="inlineStr">
        <is>
          <t>Depth: Proposes wrapping or configuring an existing service instead of building new when it meets the need, writing the comparison down and defending removal of unused features in their own component. Evidenced by: Recommends adopting the org's existing secrets-manager service instead of building a bespoke wrapper for their component, and writes up the build-vs-adopt comparison that settles it. Scope: component.</t>
        </is>
      </c>
      <c r="I4" s="4" t="inlineStr">
        <is>
          <t>Depth: Keeps a whole capability at its thinnest viable size - makes explicit, documented build-buy-adopt decisions, ships the thinnest version that serves proven demand, and retires surface area whose maintenance cost exceeds its value. Evidenced by: Retires half a capability's plugin surface after usage telemetry shows only two of eight plugins are load-bearing, documenting the build-buy-adopt call for what stays. Scope: capability / domain (terminal level).</t>
        </is>
      </c>
      <c r="J4" s="4" t="inlineStr">
        <is>
          <t>Depth: Arbitrates overlap and sprawl across teams - merges duplicate offerings, cuts under-used surface, and sets the bar for what deserves to be shared platform at all. Evidenced by: Merges two platform teams' overlapping feature-flag services into one and retires the duplicate. Scope: multiple teams.</t>
        </is>
      </c>
      <c r="K4" s="4" t="inlineStr">
        <is>
          <t>Depth: Shapes the organization's platform boundary - what the platform owns versus product teams versus vendors - and drives the organization to shed what it should not own. Evidenced by: Draws the line for what the platform organization owns versus what product teams should just buy, and gets teams to hand back components that crossed it. Scope: organization.</t>
        </is>
      </c>
      <c r="L4" s="4" t="inlineStr">
        <is>
          <t>Depth: Sets the build-buy-adopt principles an entire company references, keeping company-scale platform investment proportional to the delivery it unlocks. Evidenced by: Kills a company-wide platform initiative whose maintenance cost has outgrown the delivery it unlocks, over objections that the build already happened. Scope: company.</t>
        </is>
      </c>
    </row>
    <row r="5">
      <c r="A5" s="4" t="inlineStr">
        <is>
          <t>Platform as a Product</t>
        </is>
      </c>
      <c r="B5" s="4" t="inlineStr">
        <is>
          <t>Platform Strategy &amp; Scope</t>
        </is>
      </c>
      <c r="C5" s="4" t="inlineStr">
        <is>
          <t>Platform roadmap &amp; prioritization</t>
        </is>
      </c>
      <c r="D5" s="6" t="inlineStr">
        <is>
          <t>PM-05</t>
        </is>
      </c>
      <c r="E5" s="4" t="inlineStr">
        <is>
          <t>Sequencing initiatives across products and horizons against goals, capacity, and dependencies.</t>
        </is>
      </c>
      <c r="F5" s="4" t="inlineStr">
        <is>
          <t>Perri, Escaping the Build Trap: How Effective Product Management Creates Real Value (O'Reilly, 2018) — holds the platform roadmap to outcome-over-output product discipline rather than an infrastructure ticket queue.</t>
        </is>
      </c>
      <c r="G5" s="4" t="inlineStr">
        <is>
          <t>Depth: Maintains roadmap items and updates status under guidance. Evidenced by: Explains why their current task is on the roadmap. Scope: task.</t>
        </is>
      </c>
      <c r="H5" s="4" t="inlineStr">
        <is>
          <t>Depth: Builds and sequences a credible roadmap for one product with normal review. Evidenced by: Sequences their component's backlog by user impact. Scope: component.</t>
        </is>
      </c>
      <c r="I5" s="4" t="inlineStr">
        <is>
          <t>Depth: Independently balances competing priorities and replans confidently under shifting constraints. Evidenced by: Owns the roadmap for a platform capability. Scope: capability / domain (terminal level).</t>
        </is>
      </c>
      <c r="J5" s="4" t="inlineStr">
        <is>
          <t>Depth: Designs the planning approach others use and resolves cross-team portfolio conflicts. Evidenced by: Aligns roadmaps across platform teams. Scope: multiple teams.</t>
        </is>
      </c>
      <c r="K5" s="4" t="inlineStr">
        <is>
          <t>Depth: Sets portfolio planning strategy and foresees where investment should shift next. Evidenced by: Drives the platform organization's investment strategy. Scope: organization.</t>
        </is>
      </c>
      <c r="L5" s="4" t="inlineStr">
        <is>
          <t>Depth: Defines portfolio-planning best practice for the field and is recognized for it. Evidenced by: Sets multi-year platform direction for the company. Scope: company.</t>
        </is>
      </c>
    </row>
    <row r="6">
      <c r="A6" s="4" t="inlineStr">
        <is>
          <t>Platform as a Product</t>
        </is>
      </c>
      <c r="B6" s="4" t="inlineStr">
        <is>
          <t>Developer Experience</t>
        </is>
      </c>
      <c r="C6" s="4" t="inlineStr">
        <is>
          <t>Golden paths &amp; paved roads</t>
        </is>
      </c>
      <c r="D6" s="6" t="inlineStr">
        <is>
          <t>OPS-27</t>
        </is>
      </c>
      <c r="E6" s="4" t="inlineStr">
        <is>
          <t>Build self-service internal platforms and paved paths that streamline delivery.</t>
        </is>
      </c>
      <c r="F6" s="4" t="inlineStr">
        <is>
          <t>Spotify Engineering, How We Use Golden Paths to Solve Fragmentation in Our Software Ecosystem (Spotify Engineering Blog, 2020) — the named industry pattern this competency's templates, defaults, and escape hatches implement.</t>
        </is>
      </c>
      <c r="G6" s="4" t="inlineStr">
        <is>
          <t>Depth: Maintains existing self-service platform components under review, addressing documented user requests. Evidenced by: Follows the golden path as a real user would and reports exactly where it breaks. Scope: task.</t>
        </is>
      </c>
      <c r="H6" s="4" t="inlineStr">
        <is>
          <t>Depth: Independently builds and supports standard platform capabilities and templates for routine developer needs with review. Evidenced by: Builds and maintains golden-path assets for their component. Scope: component.</t>
        </is>
      </c>
      <c r="I6" s="4" t="inlineStr">
        <is>
          <t>Depth: Designs self-service workflows for ambiguous needs, reducing friction and resolving hard abstraction and adoption issues. Evidenced by: Designs a golden path for a whole use case end to end. Scope: capability / domain (terminal level).</t>
        </is>
      </c>
      <c r="J6" s="4" t="inlineStr">
        <is>
          <t>Depth: Defines platform architecture and golden paths others adopt, solving deep developer-experience and leverage problems. Evidenced by: Reconciles golden paths across teams into coherent journeys. Scope: multiple teams.</t>
        </is>
      </c>
      <c r="K6" s="4" t="inlineStr">
        <is>
          <t>Depth: Sets organization-wide platform strategy, anticipating how developer-experience engineering should evolve. Evidenced by: Defines the organization's paved-road strategy. Scope: organization.</t>
        </is>
      </c>
      <c r="L6" s="4" t="inlineStr">
        <is>
          <t>Depth: Defines what excellent platform engineering means for the field, shaping industry developer-experience practice. Evidenced by: Makes the paved road the company default by economics and quality, not policy. Scope: company.</t>
        </is>
      </c>
    </row>
    <row r="7">
      <c r="A7" s="4" t="inlineStr">
        <is>
          <t>Platform as a Product</t>
        </is>
      </c>
      <c r="B7" s="4" t="inlineStr">
        <is>
          <t>Developer Experience</t>
        </is>
      </c>
      <c r="C7" s="4" t="inlineStr">
        <is>
          <t>Cognitive load reduction</t>
        </is>
      </c>
      <c r="D7" s="6" t="inlineStr">
        <is>
          <t>OPS-32</t>
        </is>
      </c>
      <c r="E7" s="4" t="inlineStr">
        <is>
          <t>Designs tooling, interfaces, and abstractions to minimize the extraneous cognitive load imposed on the teams that consume them - deciding deliberately what consumers must and must not need to know, and measuring the load imposed.</t>
        </is>
      </c>
      <c r="F7" s="4" t="inlineStr">
        <is>
          <t>Sweller, Cognitive Load During Problem Solving: Effects on Learning, Cognitive Science 12(2), 257-285 (1988) — makes load reduction the platform's defining purpose rather than optional polish.</t>
        </is>
      </c>
      <c r="G7" s="4" t="inlineStr">
        <is>
          <t>Depth: Names the exact docs, errors, and setup steps that forced them to understand internals a consumer should not need, and files concrete simplification issues. Evidenced by: Flags that provisioning a database requires reading the underlying Terraform module's internals just to fill in one required field, and files the doc fix. Scope: task.</t>
        </is>
      </c>
      <c r="H7" s="4" t="inlineStr">
        <is>
          <t>Depth: Reduces the concepts and steps a consumer must hold to use their component - collapsing configuration, defaulting decisions, rewriting errors to say what to do next - and shows the before/after. Evidenced by: Collapses a twelve-field service-creation form down to two required fields by defaulting the rest, and shows the before/after time-to-first-deploy. Scope: component.</t>
        </is>
      </c>
      <c r="I7" s="4" t="inlineStr">
        <is>
          <t>Depth: Designs a capability's abstractions around what consumers must not have to know, so a first-time user succeeds without reading internals; measures load with time-to-first-success and support-ticket themes and treats regressions as defects. Evidenced by: Rewrites a capability's onboarding so a first-time consumer ships without reading the implementation, tracking time-to-first-success as the load metric. Scope: capability / domain (terminal level).</t>
        </is>
      </c>
      <c r="J7" s="4" t="inlineStr">
        <is>
          <t>Depth: Audits cognitive load across team boundaries - quantifying onboarding time, concepts-to-learn, and ticket themes - and drives the cross-boundary simplifications no single team could make. Evidenced by: Finds three teams independently solved the same secrets-rotation problem because none could see the others' internals, and drives the shared fix across all three. Scope: multiple teams.</t>
        </is>
      </c>
      <c r="K7" s="4" t="inlineStr">
        <is>
          <t>Depth: Makes cognitive load a first-class organizational measure with explicit load budgets, vetoing designs that externalize complexity onto consuming teams. Evidenced by: Sets an explicit cognitive-load budget per platform surface and vetoes a design that would have pushed new required concepts onto every consuming team. Scope: organization.</t>
        </is>
      </c>
      <c r="L7" s="4" t="inlineStr">
        <is>
          <t>Depth: Shapes company-level technology and team-boundary choices explicitly around team cognitive load, arguing for fewer, deeper abstractions over sprawling optionality. Evidenced by: Argues successfully against a company-wide multi-cloud push on cognitive-load grounds -- fewer, deeper abstractions over optionality -- and the simpler single-cloud default ships instead. Scope: company.</t>
        </is>
      </c>
    </row>
    <row r="8">
      <c r="A8" s="4" t="inlineStr">
        <is>
          <t>Platform Software Engineering</t>
        </is>
      </c>
      <c r="B8" s="4" t="inlineStr">
        <is>
          <t>Design &amp; Architecture</t>
        </is>
      </c>
      <c r="C8" s="4" t="inlineStr">
        <is>
          <t>Platform system design</t>
        </is>
      </c>
      <c r="D8" s="6" t="inlineStr">
        <is>
          <t>SWE-05</t>
        </is>
      </c>
      <c r="E8" s="4" t="inlineStr">
        <is>
          <t>Structures software — modules, boundaries, interfaces.</t>
        </is>
      </c>
      <c r="F8" s="4" t="inlineStr">
        <is>
          <t>Conway, How Do Committees Invent?, Datamation 14(4), 28-31 (1968) — platform architecture and team boundaries must be designed together, or Conway's Law designs them for you.</t>
        </is>
      </c>
      <c r="G8" s="4" t="inlineStr">
        <is>
          <t>Depth: Implements designs specified by others; asks why, not just how. Evidenced by: Explains the platform's architecture in their own words. Scope: task.</t>
        </is>
      </c>
      <c r="H8" s="4" t="inlineStr">
        <is>
          <t>Depth: Designs sound components; understands coupling, cohesion, interface design. Evidenced by: Designs a component within an established architecture. Scope: component.</t>
        </is>
      </c>
      <c r="I8" s="4" t="inlineStr">
        <is>
          <t>Depth: Designs systems for evolution: clean seams, versioned interfaces, replaceable parts. Evidenced by: Selects patterns by trade-off in design docs that name alternatives, failure modes, and evolution paths. Scope: capability / domain (terminal level).</t>
        </is>
      </c>
      <c r="J8" s="4" t="inlineStr">
        <is>
          <t>Depth: Mastery of architecture for complex systems; sets patterns and prevents drift. Evidenced by: Drives designs that cut across several teams' systems. Scope: multiple teams.</t>
        </is>
      </c>
      <c r="K8" s="4" t="inlineStr">
        <is>
          <t>Depth: Sets multi-year architecture direction across the org. Evidenced by: Sets the architectural direction the platform organization builds against. Scope: organization.</t>
        </is>
      </c>
      <c r="L8" s="4" t="inlineStr">
        <is>
          <t>Depth: Authoritative and externally credible; defines architectural approach others follow. Evidenced by: Makes the company's foundational architecture bets. Scope: company.</t>
        </is>
      </c>
    </row>
    <row r="9">
      <c r="A9" s="4" t="inlineStr">
        <is>
          <t>Platform Software Engineering</t>
        </is>
      </c>
      <c r="B9" s="4" t="inlineStr">
        <is>
          <t>Design &amp; Architecture</t>
        </is>
      </c>
      <c r="C9" s="4" t="inlineStr">
        <is>
          <t>API &amp; interface design</t>
        </is>
      </c>
      <c r="D9" s="6" t="inlineStr">
        <is>
          <t>SWE-07</t>
        </is>
      </c>
      <c r="E9" s="4" t="inlineStr">
        <is>
          <t>Designs clean, durable interfaces between systems.</t>
        </is>
      </c>
      <c r="F9" s="4" t="inlineStr">
        <is>
          <t>Winters, Manshreck &amp; Wright, Software Engineering at Google: Lessons Learned from Programming Over Time (O'Reilly, 2020) — justifies treating interfaces as long-lived contracts and breaking changes as incidents.</t>
        </is>
      </c>
      <c r="G9" s="4" t="inlineStr">
        <is>
          <t>Depth: Understands HTTP/REST and the deploy pipeline; makes guided changes. Evidenced by: Uses the platform's APIs correctly from documentation alone. Scope: task.</t>
        </is>
      </c>
      <c r="H9" s="4" t="inlineStr">
        <is>
          <t>Depth: Designs clean APIs; understands rate limits, retries, timeouts, idempotency. Evidenced by: Extends a component's interface without breaking consumers. Scope: component.</t>
        </is>
      </c>
      <c r="I9" s="4" t="inlineStr">
        <is>
          <t>Depth: Designs services for scale and cost; understands distributed failure modes. Evidenced by: Designs a capability's interface as a long-lived product contract. Scope: capability / domain (terminal level).</t>
        </is>
      </c>
      <c r="J9" s="4" t="inlineStr">
        <is>
          <t>Depth: Expert in platform/service design (multi-tenancy, capacity, shared services). Evidenced by: Aligns interface conventions across several teams' APIs so the platform feels like one product. Scope: multiple teams.</t>
        </is>
      </c>
      <c r="K9" s="4" t="inlineStr">
        <is>
          <t>Depth: Sets interface standards used across the org. Evidenced by: Owns the organization's interface standards. Scope: organization.</t>
        </is>
      </c>
      <c r="L9" s="4" t="inlineStr">
        <is>
          <t>Depth: Defines company-wide API approach; trusted with irreversible interface bets. Evidenced by: Sets the company's contract with its developers. Scope: company.</t>
        </is>
      </c>
    </row>
    <row r="10">
      <c r="A10" s="4" t="inlineStr">
        <is>
          <t>Platform Software Engineering</t>
        </is>
      </c>
      <c r="B10" s="4" t="inlineStr">
        <is>
          <t>Code Craft &amp; Quality</t>
        </is>
      </c>
      <c r="C10" s="4" t="inlineStr">
        <is>
          <t>Coding &amp; implementation</t>
        </is>
      </c>
      <c r="D10" s="6" t="inlineStr">
        <is>
          <t>SWE-02</t>
        </is>
      </c>
      <c r="E10" s="4" t="inlineStr">
        <is>
          <t>Keeps code healthy, modular and maintainable.</t>
        </is>
      </c>
      <c r="F10" s="4" t="inlineStr">
        <is>
          <t>Fowler, Refactoring: Improving the Design of Existing Code, 2nd Edition (Addison-Wesley, 2018) — sets the craft bar for platform code that many teams depend on.</t>
        </is>
      </c>
      <c r="G10" s="4" t="inlineStr">
        <is>
          <t>Depth: Writes functional, readable code; uses version control correctly; responds well to review. Evidenced by: Ships small, working changes that follow the codebase's conventions and pass review with minor feedback. Scope: task.</t>
        </is>
      </c>
      <c r="H10" s="4" t="inlineStr">
        <is>
          <t>Depth: Writes clean, documented, modular code; gives useful review feedback. Evidenced by: Ships production-quality code independently. Scope: component.</t>
        </is>
      </c>
      <c r="I10" s="4" t="inlineStr">
        <is>
          <t>Depth: Designs for maintainability; leads refactors of problem areas; review feedback teaches. Evidenced by: Writes the code others study to learn how it is done here. Scope: capability / domain (terminal level).</t>
        </is>
      </c>
      <c r="J10" s="4" t="inlineStr">
        <is>
          <t>Depth: Expert in code health at scale (shared libraries, deprecations, large migrations). Evidenced by: Raises the code-health baseline across teams. Scope: multiple teams.</t>
        </is>
      </c>
      <c r="K10" s="4" t="inlineStr">
        <is>
          <t>Depth: Shapes org-wide engineering standards for long-lived codebases. Evidenced by: Defines what code quality means for the organization. Scope: organization.</t>
        </is>
      </c>
      <c r="L10" s="4" t="inlineStr">
        <is>
          <t>Depth: Defines what good engineering looks like company-wide; externally recognized. Evidenced by: Holds the company's long-horizon code health against short-term pressure. Scope: company.</t>
        </is>
      </c>
    </row>
    <row r="11">
      <c r="A11" s="4" t="inlineStr">
        <is>
          <t>Platform Software Engineering</t>
        </is>
      </c>
      <c r="B11" s="4" t="inlineStr">
        <is>
          <t>Code Craft &amp; Quality</t>
        </is>
      </c>
      <c r="C11" s="4" t="inlineStr">
        <is>
          <t>Code review</t>
        </is>
      </c>
      <c r="D11" s="6" t="inlineStr">
        <is>
          <t>SWE-04</t>
        </is>
      </c>
      <c r="E11" s="4" t="inlineStr">
        <is>
          <t>Reads, reasons about and reviews others' code.</t>
        </is>
      </c>
      <c r="F11" s="4" t="inlineStr">
        <is>
          <t>Google, Engineering Practices Documentation: How to Do a Code Review (accessed 2026-07) — grounds the progression from catching defects to calibrating review culture.</t>
        </is>
      </c>
      <c r="G11" s="4" t="inlineStr">
        <is>
          <t>Depth: Navigates the codebase and understands code shown; reviews small changes. Evidenced by: Reviews peers' changes for readability and test coverage and asks genuine questions. Scope: task.</t>
        </is>
      </c>
      <c r="H11" s="4" t="inlineStr">
        <is>
          <t>Depth: Independently understands unfamiliar code; gives timely, specific review feedback. Evidenced by: Gives reviews that catch real defects. Scope: component.</t>
        </is>
      </c>
      <c r="I11" s="4" t="inlineStr">
        <is>
          <t>Depth: Quickly grasps complex/legacy systems; reviews raise the bar across a domain. Evidenced by: Reviews for systemic risk, not just correctness. Scope: capability / domain (terminal level).</t>
        </is>
      </c>
      <c r="J11" s="4" t="inlineStr">
        <is>
          <t>Depth: Expert at reviewing high-risk changes; review standards spread across teams. Evidenced by: Calibrates review culture across teams. Scope: multiple teams.</t>
        </is>
      </c>
      <c r="K11" s="4" t="inlineStr">
        <is>
          <t>Depth: Authority on review practice org-wide. Evidenced by: Designs the organization's quality gates. Scope: organization.</t>
        </is>
      </c>
      <c r="L11" s="4" t="inlineStr">
        <is>
          <t>Depth: Defines what good review looks like; shapes industry-facing practice. Evidenced by: Reviews the changes that change the company. Scope: company.</t>
        </is>
      </c>
    </row>
    <row r="12">
      <c r="A12" s="4" t="inlineStr">
        <is>
          <t>Platform Software Engineering</t>
        </is>
      </c>
      <c r="B12" s="4" t="inlineStr">
        <is>
          <t>Code Craft &amp; Quality</t>
        </is>
      </c>
      <c r="C12" s="4" t="inlineStr">
        <is>
          <t>Testing &amp; verification</t>
        </is>
      </c>
      <c r="D12" s="6" t="inlineStr">
        <is>
          <t>SWE-03</t>
        </is>
      </c>
      <c r="E12" s="4" t="inlineStr">
        <is>
          <t>Designs tests that give real confidence to ship.</t>
        </is>
      </c>
      <c r="F12" s="4" t="inlineStr">
        <is>
          <t>Cohn, Succeeding with Agile: Software Development Using Scrum (Addison-Wesley, 2009) — gives the coverage-balance and contract-testing discipline platform release confidence rests on.</t>
        </is>
      </c>
      <c r="G12" s="4" t="inlineStr">
        <is>
          <t>Depth: Writes unit tests with guidance; tests own changes before merging. Evidenced by: Writes unit tests that pin the behavior of their change, including the failure path. Scope: task.</t>
        </is>
      </c>
      <c r="H12" s="4" t="inlineStr">
        <is>
          <t>Depth: Applies the testing pyramid; everything shipped arrives tested; mocks dependencies sensibly. Evidenced by: Balances unit, integration, and end-to-end coverage for their component. Scope: component.</t>
        </is>
      </c>
      <c r="I12" s="4" t="inlineStr">
        <is>
          <t>Depth: Designs testable systems (contract, property-based, replay from prod); owns a test strategy. Evidenced by: Designs the verification strategy for a capability. Scope: capability / domain (terminal level).</t>
        </is>
      </c>
      <c r="J12" s="4" t="inlineStr">
        <is>
          <t>Depth: Expert in test strategy at scale (test data, environments, deployment safety). Evidenced by: Builds test infrastructure several teams rely on. Scope: multiple teams.</t>
        </is>
      </c>
      <c r="K12" s="4" t="inlineStr">
        <is>
          <t>Depth: Sets testing/verification discipline across the org. Evidenced by: Sets the organization's testing standards. Scope: organization.</t>
        </is>
      </c>
      <c r="L12" s="4" t="inlineStr">
        <is>
          <t>Depth: Shapes the company-wide quality culture; advances verification practice. Evidenced by: Frames verification as company risk management. Scope: company.</t>
        </is>
      </c>
    </row>
    <row r="13">
      <c r="A13" s="4" t="inlineStr">
        <is>
          <t>Platform Software Engineering</t>
        </is>
      </c>
      <c r="B13" s="4" t="inlineStr">
        <is>
          <t>Delivery Automation</t>
        </is>
      </c>
      <c r="C13" s="4" t="inlineStr">
        <is>
          <t>Delivery automation &amp; CI/CD</t>
        </is>
      </c>
      <c r="D13" s="6" t="inlineStr">
        <is>
          <t>OPS-02</t>
        </is>
      </c>
      <c r="E13" s="4" t="inlineStr">
        <is>
          <t>Builds the build, test, release and deploy pipeline.</t>
        </is>
      </c>
      <c r="F13" s="4" t="inlineStr">
        <is>
          <t>Humble &amp; Farley, Continuous Delivery: Reliable Software Releases through Build Test and Deployment Automation (Addison-Wesley, 2010) — defines the deployment pipeline behind pipeline-as-product and making the safe path the easy path.</t>
        </is>
      </c>
      <c r="G13" s="4" t="inlineStr">
        <is>
          <t>Depth: Uses and makes guided fixes to existing pipelines. Evidenced by: Ships through the pipeline correctly. Scope: task.</t>
        </is>
      </c>
      <c r="H13" s="4" t="inlineStr">
        <is>
          <t>Depth: Independently builds and improves pipelines for their area. Evidenced by: Owns their component's pipeline. Scope: component.</t>
        </is>
      </c>
      <c r="I13" s="4" t="inlineStr">
        <is>
          <t>Depth: Designs deployment safety (progressive delivery, rollback) for a domain. Evidenced by: Designs CI/CD as a product for a capability's users. Scope: capability / domain (terminal level).</t>
        </is>
      </c>
      <c r="J13" s="4" t="inlineStr">
        <is>
          <t>Depth: Expert in delivery engineering at scale; sets standards across teams. Evidenced by: Builds delivery infrastructure multiple teams ship through. Scope: multiple teams.</t>
        </is>
      </c>
      <c r="K13" s="4" t="inlineStr">
        <is>
          <t>Depth: Defines the org's delivery/release philosophy. Evidenced by: Owns the organization's delivery architecture. Scope: organization.</t>
        </is>
      </c>
      <c r="L13" s="4" t="inlineStr">
        <is>
          <t>Depth: Advances release engineering practice company-wide. Evidenced by: Sets company delivery strategy. Scope: company.</t>
        </is>
      </c>
    </row>
    <row r="14">
      <c r="A14" s="4" t="inlineStr">
        <is>
          <t>Platform Software Engineering</t>
        </is>
      </c>
      <c r="B14" s="4" t="inlineStr">
        <is>
          <t>Delivery Automation</t>
        </is>
      </c>
      <c r="C14" s="4" t="inlineStr">
        <is>
          <t>Deprecation &amp; migration management</t>
        </is>
      </c>
      <c r="D14" s="6" t="inlineStr">
        <is>
          <t>OPS-30</t>
        </is>
      </c>
      <c r="E14" s="4" t="inlineStr">
        <is>
          <t>Manages how change reaches production safely — decoupling deploy from release with feature flags, staged and canary rollouts, rollback readiness, and migration sequencing that bounds the blast radius of every change.</t>
        </is>
      </c>
      <c r="F14" s="4" t="inlineStr">
        <is>
          <t>Winters, Manshreck &amp; Wright, Software Engineering at Google: Lessons Learned from Programming Over Time (O'Reilly, 2020) — treats deprecation as planned, resourced engineering work with migration paths, not neglect.</t>
        </is>
      </c>
      <c r="G14" s="4" t="inlineStr">
        <is>
          <t>Depth: Follows the release process exactly — flags, staged rollout steps, verification checklists — verifies their change in production, and rolls back with guidance. Evidenced by: Executes migration and release steps from a runbook accurately. Scope: task.</t>
        </is>
      </c>
      <c r="H14" s="4" t="inlineStr">
        <is>
          <t>Depth: Ships behind flags with a rollback plan by default, monitors rollouts and reverts on their own judgment when signals degrade, and writes changes that tolerate both versions running during rollout. Evidenced by: Migrates their component's consumers off an old interface. Scope: component.</t>
        </is>
      </c>
      <c r="I14" s="4" t="inlineStr">
        <is>
          <t>Depth: Designs the rollout for risky changes — canary criteria, migration sequencing, flag lifecycle, kill switches — and reviews others' rollout plans for blast radius; the person teams ask how to ship something safely. Evidenced by: Plans and runs a capability-level deprecation as a managed migration. Scope: capability / domain (terminal level).</t>
        </is>
      </c>
      <c r="J14" s="4" t="inlineStr">
        <is>
          <t>Depth: Builds progressive-delivery machinery multiple teams release through (flag platforms, automated canary analysis, automated rollback), retiring deploy patterns that cause repeat incidents and measurably raising deploy frequency. Evidenced by: Coordinates migrations that cross team boundaries. Scope: multiple teams.</t>
        </is>
      </c>
      <c r="K14" s="4" t="inlineStr">
        <is>
          <t>Depth: Owns release policy for an organization and its delivery metrics — rollout standards, freeze rules, environment strategy — dismantling ceremony that adds no safety. Evidenced by: Sets the organization's deprecation policy. Scope: organization.</t>
        </is>
      </c>
      <c r="L14" s="4" t="inlineStr">
        <is>
          <t>Depth: Sets how an entire company's software reaches customers — the risk posture products ship under — and defends it to executives, auditors, and regulators. Evidenced by: Sets the company's compatibility promise. Scope: company.</t>
        </is>
      </c>
    </row>
    <row r="15">
      <c r="A15" s="4" t="inlineStr">
        <is>
          <t>Infrastructure &amp; Cloud</t>
        </is>
      </c>
      <c r="B15" s="4" t="inlineStr">
        <is>
          <t>Cloud &amp; Compute</t>
        </is>
      </c>
      <c r="C15" s="4" t="inlineStr">
        <is>
          <t>Cloud architecture</t>
        </is>
      </c>
      <c r="D15" s="6" t="inlineStr">
        <is>
          <t>OPS-01</t>
        </is>
      </c>
      <c r="E15" s="4" t="inlineStr">
        <is>
          <t>Engineers compute, network, storage and IaC.</t>
        </is>
      </c>
      <c r="F15" s="4" t="inlineStr">
        <is>
          <t>Amazon Web Services, AWS Well-Architected Framework (AWS, accessed 2026-07) — the industry-standard rubric for the cloud trade-offs this competency makes and reviews.</t>
        </is>
      </c>
      <c r="G15" s="4" t="inlineStr">
        <is>
          <t>Depth: Makes guided changes to existing infra; understands core cloud services. Evidenced by: Provisions and modifies cloud resources from documented patterns. Scope: task.</t>
        </is>
      </c>
      <c r="H15" s="4" t="inlineStr">
        <is>
          <t>Depth: Independently builds and manages standard resources using IaC. Evidenced by: Designs the cloud footprint for a component. Scope: component.</t>
        </is>
      </c>
      <c r="I15" s="4" t="inlineStr">
        <is>
          <t>Depth: Designs infra for scale, cost and resilience across a domain. Evidenced by: Architects a capability's infrastructure for the failure domains that matter. Scope: capability / domain (terminal level).</t>
        </is>
      </c>
      <c r="J15" s="4" t="inlineStr">
        <is>
          <t>Depth: Expert in infra platforms used by many teams; owns major cost strategy. Evidenced by: Designs shared infrastructure patterns. Scope: multiple teams.</t>
        </is>
      </c>
      <c r="K15" s="4" t="inlineStr">
        <is>
          <t>Depth: Sets org infrastructure direction. Evidenced by: Sets the organization's cloud strategy. Scope: organization.</t>
        </is>
      </c>
      <c r="L15" s="4" t="inlineStr">
        <is>
          <t>Depth: Trusted with company-level platform bets; defines infra strategy. Evidenced by: Owns company-level infrastructure bets. Scope: company.</t>
        </is>
      </c>
    </row>
    <row r="16">
      <c r="A16" s="4" t="inlineStr">
        <is>
          <t>Infrastructure &amp; Cloud</t>
        </is>
      </c>
      <c r="B16" s="4" t="inlineStr">
        <is>
          <t>Cloud &amp; Compute</t>
        </is>
      </c>
      <c r="C16" s="4" t="inlineStr">
        <is>
          <t>Container orchestration &amp; runtime</t>
        </is>
      </c>
      <c r="D16" s="6" t="inlineStr">
        <is>
          <t>OPS-14</t>
        </is>
      </c>
      <c r="E16" s="4" t="inlineStr">
        <is>
          <t>Schedule, place, and manage containerized workloads across a cluster of compute nodes.</t>
        </is>
      </c>
      <c r="F16" s="4" t="inlineStr">
        <is>
          <t>Burns, Beda, Hightower &amp; Evenson, Kubernetes: Up and Running, 3rd Edition (O'Reilly, 2022) — explains why orchestration is platform machinery -- controllers and declarative desired state -- not just deployment tooling.</t>
        </is>
      </c>
      <c r="G16" s="4" t="inlineStr">
        <is>
          <t>Depth: Deploys workloads to an existing orchestrator under review, adjusting basic scheduling settings from examples. Evidenced by: Deploys and debugs workloads on the orchestrator with guidance. Scope: task.</t>
        </is>
      </c>
      <c r="H16" s="4" t="inlineStr">
        <is>
          <t>Depth: Independently operates orchestrated workloads, manages routine scaling, placement, and health checks with normal review. Evidenced by: Owns their component's runtime configuration. Scope: component.</t>
        </is>
      </c>
      <c r="I16" s="4" t="inlineStr">
        <is>
          <t>Depth: Designs scheduling, affinity, and resource policies for ambiguous workloads and resolves hard orchestration failures. Evidenced by: Designs and operates cluster-level platform machinery. Scope: capability / domain (terminal level).</t>
        </is>
      </c>
      <c r="J16" s="4" t="inlineStr">
        <is>
          <t>Depth: Defines cluster topology and scheduling patterns others adopt, solving deep placement, contention, and lifecycle problems. Evidenced by: Sets workload standards multiple teams schedule against. Scope: multiple teams.</t>
        </is>
      </c>
      <c r="K16" s="4" t="inlineStr">
        <is>
          <t>Depth: Sets organization-wide orchestration strategy and standards, anticipating where workload scheduling is heading. Evidenced by: Owns the organization's runtime strategy. Scope: organization.</t>
        </is>
      </c>
      <c r="L16" s="4" t="inlineStr">
        <is>
          <t>Depth: Defines what effective orchestration means for the discipline, externally credible in shaping scheduling practice. Evidenced by: Decides company-level runtime direction. Scope: company.</t>
        </is>
      </c>
    </row>
    <row r="17">
      <c r="A17" s="4" t="inlineStr">
        <is>
          <t>Infrastructure &amp; Cloud</t>
        </is>
      </c>
      <c r="B17" s="4" t="inlineStr">
        <is>
          <t>Cloud &amp; Compute</t>
        </is>
      </c>
      <c r="C17" s="4" t="inlineStr">
        <is>
          <t>Networking &amp; compute foundations</t>
        </is>
      </c>
      <c r="D17" s="6" t="inlineStr">
        <is>
          <t>OPS-19</t>
        </is>
      </c>
      <c r="E17" s="4" t="inlineStr">
        <is>
          <t>Architect network topologies, subnets, and routing for connectivity and segmentation.</t>
        </is>
      </c>
      <c r="F17" s="4" t="inlineStr">
        <is>
          <t>Kurose &amp; Ross, Computer Networking: A Top-Down Approach, 8th ed. (Pearson, 2020) — the standard layered model behind tracing requests and designing topologies across abstraction layers.</t>
        </is>
      </c>
      <c r="G17" s="4" t="inlineStr">
        <is>
          <t>Depth: Configures basic network segments and routes from designs under review, verifying connectivity. Evidenced by: Traces a request through DNS, load balancer, and service to locate a failure. Scope: task.</t>
        </is>
      </c>
      <c r="H17" s="4" t="inlineStr">
        <is>
          <t>Depth: Independently builds standard network topologies, manages routing and segmentation for routine needs with review. Evidenced by: Configures the networking and compute for their component. Scope: component.</t>
        </is>
      </c>
      <c r="I17" s="4" t="inlineStr">
        <is>
          <t>Depth: Designs routing and addressing schemes for ambiguous topologies and diagnoses hard reachability and routing failures. Evidenced by: Designs network and compute topology for a capability. Scope: capability / domain (terminal level).</t>
        </is>
      </c>
      <c r="J17" s="4" t="inlineStr">
        <is>
          <t>Depth: Defines network architecture and routing patterns others adopt, solving deep segmentation, scale, and convergence problems. Evidenced by: Owns shared foundations several teams depend on. Scope: multiple teams.</t>
        </is>
      </c>
      <c r="K17" s="4" t="inlineStr">
        <is>
          <t>Depth: Sets organization-wide network strategy and standards, anticipating shifts in network design and routing. Evidenced by: Sets organization standards for network architecture and compute platforms. Scope: organization.</t>
        </is>
      </c>
      <c r="L17" s="4" t="inlineStr">
        <is>
          <t>Depth: Defines what good network design means for the field, externally credible in shaping routing practice. Evidenced by: Owns company-scale foundation decisions. Scope: company.</t>
        </is>
      </c>
    </row>
    <row r="18">
      <c r="A18" s="4" t="inlineStr">
        <is>
          <t>Infrastructure &amp; Cloud</t>
        </is>
      </c>
      <c r="B18" s="4" t="inlineStr">
        <is>
          <t>Automation &amp; Self-Service</t>
        </is>
      </c>
      <c r="C18" s="4" t="inlineStr">
        <is>
          <t>Infrastructure as code</t>
        </is>
      </c>
      <c r="D18" s="6" t="inlineStr">
        <is>
          <t>OPS-10</t>
        </is>
      </c>
      <c r="E18" s="4" t="inlineStr">
        <is>
          <t>Define and version infrastructure declaratively to provision repeatable environments.</t>
        </is>
      </c>
      <c r="F18" s="4" t="inlineStr">
        <is>
          <t>Morris, Infrastructure as Code: Dynamic Systems for the Cloud Age, 2nd Edition (O'Reilly, 2021) — the discipline behind every plan-review-apply and drift-detection behavior at each level.</t>
        </is>
      </c>
      <c r="G18" s="4" t="inlineStr">
        <is>
          <t>Depth: Writes simple declarative resource definitions from templates, applying them under review in non-production environments. Evidenced by: Makes changes through the IaC workflow rather than the console. Scope: task.</t>
        </is>
      </c>
      <c r="H18" s="4" t="inlineStr">
        <is>
          <t>Depth: Independently provisions standard infrastructure stacks, manages state and variables, and handles routine drift with normal review. Evidenced by: Writes reusable, parameterized modules for their component. Scope: component.</t>
        </is>
      </c>
      <c r="I18" s="4" t="inlineStr">
        <is>
          <t>Depth: Designs reusable modules for ambiguous needs, structures state safely, and is the go-to for tricky provisioning failures. Evidenced by: Designs the IaC architecture for a capability. Scope: capability / domain (terminal level).</t>
        </is>
      </c>
      <c r="J18" s="4" t="inlineStr">
        <is>
          <t>Depth: Defines the provisioning patterns and module conventions others adopt, solving thorny dependency and idempotency problems. Evidenced by: Publishes module libraries and IaC conventions multiple teams build on. Scope: multiple teams.</t>
        </is>
      </c>
      <c r="K18" s="4" t="inlineStr">
        <is>
          <t>Depth: Sets the organization-wide IaC strategy, governance, and standards, anticipating shifts in declarative provisioning practice. Evidenced by: Sets the organization's IaC standards. Scope: organization.</t>
        </is>
      </c>
      <c r="L18" s="4" t="inlineStr">
        <is>
          <t>Depth: Defines what good infrastructure-as-code means for the field, shaping provisioning practices recognized across the industry. Evidenced by: Treats the company's infrastructure definition as a strategic asset. Scope: company.</t>
        </is>
      </c>
    </row>
    <row r="19">
      <c r="A19" s="4" t="inlineStr">
        <is>
          <t>Infrastructure &amp; Cloud</t>
        </is>
      </c>
      <c r="B19" s="4" t="inlineStr">
        <is>
          <t>Automation &amp; Self-Service</t>
        </is>
      </c>
      <c r="C19" s="4" t="inlineStr">
        <is>
          <t>Self-service provisioning</t>
        </is>
      </c>
      <c r="D19" s="6" t="inlineStr">
        <is>
          <t>OPS-27</t>
        </is>
      </c>
      <c r="E19" s="4" t="inlineStr">
        <is>
          <t>Build self-service internal platforms and paved paths that streamline delivery.</t>
        </is>
      </c>
      <c r="F19" s="4" t="inlineStr">
        <is>
          <t>Bottcher, What I Talk About When I Talk About Platforms (martinfowler.com, 2018) — the definitional source for removing humans from the request path.</t>
        </is>
      </c>
      <c r="G19" s="4" t="inlineStr">
        <is>
          <t>Depth: Maintains existing self-service platform components under review, addressing documented user requests. Evidenced by: Uses the self-service tooling as users do and documents the gaps that forced manual steps. Scope: task.</t>
        </is>
      </c>
      <c r="H19" s="4" t="inlineStr">
        <is>
          <t>Depth: Independently builds and supports standard platform capabilities and templates for routine developer needs with review. Evidenced by: Automates a manual provisioning flow for their component into a self-service action. Scope: component.</t>
        </is>
      </c>
      <c r="I19" s="4" t="inlineStr">
        <is>
          <t>Depth: Designs self-service workflows for ambiguous needs, reducing friction and resolving hard abstraction and adoption issues. Evidenced by: Designs self-service for a capability end to end. Scope: capability / domain (terminal level).</t>
        </is>
      </c>
      <c r="J19" s="4" t="inlineStr">
        <is>
          <t>Depth: Defines platform architecture and golden paths others adopt, solving deep developer-experience and leverage problems. Evidenced by: Unifies self-service across teams behind one coherent interface. Scope: multiple teams.</t>
        </is>
      </c>
      <c r="K19" s="4" t="inlineStr">
        <is>
          <t>Depth: Sets organization-wide platform strategy, anticipating how developer-experience engineering should evolve. Evidenced by: Drives the organization to a self-service operating model. Scope: organization.</t>
        </is>
      </c>
      <c r="L19" s="4" t="inlineStr">
        <is>
          <t>Depth: Defines what excellent platform engineering means for the field, shaping industry developer-experience practice. Evidenced by: Makes self-service the company's default operating model for infrastructure. Scope: company.</t>
        </is>
      </c>
    </row>
    <row r="20">
      <c r="A20" s="4" t="inlineStr">
        <is>
          <t>Reliability &amp; Operations</t>
        </is>
      </c>
      <c r="B20" s="4" t="inlineStr">
        <is>
          <t>Observability &amp; Service Levels</t>
        </is>
      </c>
      <c r="C20" s="4" t="inlineStr">
        <is>
          <t>Observability &amp; instrumentation</t>
        </is>
      </c>
      <c r="D20" s="6" t="inlineStr">
        <is>
          <t>OPS-05</t>
        </is>
      </c>
      <c r="E20" s="4" t="inlineStr">
        <is>
          <t>Makes system behavior visible.</t>
        </is>
      </c>
      <c r="F20" s="4" t="inlineStr">
        <is>
          <t>Majors, Fong-Jones &amp; Miranda, Observability Engineering: Achieving Production Excellence (O'Reilly, 2022) — sets the bar the telemetry offering at each level is measured against.</t>
        </is>
      </c>
      <c r="G20" s="4" t="inlineStr">
        <is>
          <t>Depth: Understands logs/metrics/traces; reads existing dashboards. Evidenced by: Traces a failing deploy to a specific pod's OOM-kill using the team's existing dashboard, without needing a teammate to point them to it. Scope: task.</t>
        </is>
      </c>
      <c r="H20" s="4" t="inlineStr">
        <is>
          <t>Depth: Instruments their services; builds dashboards; tunes alerts to limit noise. Evidenced by: Instruments their component so strangers can debug it. Scope: component.</t>
        </is>
      </c>
      <c r="I20" s="4" t="inlineStr">
        <is>
          <t>Depth: Designs observability for complex systems (end-to-end traces, quality signals, cost attribution). Evidenced by: Designs the observability offering for a capability. Scope: capability / domain (terminal level).</t>
        </is>
      </c>
      <c r="J20" s="4" t="inlineStr">
        <is>
          <t>Depth: Expert in instrumentation trade-offs at scale, incl. privacy-safe logging. Evidenced by: Builds observability infrastructure multiple teams instrument against. Scope: multiple teams.</t>
        </is>
      </c>
      <c r="K20" s="4" t="inlineStr">
        <is>
          <t>Depth: Defines org observability strategy. Evidenced by: Sets the organization's observability strategy and standards. Scope: organization.</t>
        </is>
      </c>
      <c r="L20" s="4" t="inlineStr">
        <is>
          <t>Depth: Shapes company-wide operational visibility; advances practice. Evidenced by: Frames observability as company capability. Scope: company.</t>
        </is>
      </c>
    </row>
    <row r="21">
      <c r="A21" s="4" t="inlineStr">
        <is>
          <t>Reliability &amp; Operations</t>
        </is>
      </c>
      <c r="B21" s="4" t="inlineStr">
        <is>
          <t>Observability &amp; Service Levels</t>
        </is>
      </c>
      <c r="C21" s="4" t="inlineStr">
        <is>
          <t>SLOs &amp; error budgets</t>
        </is>
      </c>
      <c r="D21" s="6" t="inlineStr">
        <is>
          <t>OPS-04</t>
        </is>
      </c>
      <c r="E21" s="4" t="inlineStr">
        <is>
          <t>Keeps services healthy; designs for failure.</t>
        </is>
      </c>
      <c r="F21" s="4" t="inlineStr">
        <is>
          <t>Beyer, Jones, Petoff &amp; Murphy (eds.), Site Reliability Engineering: How Google Runs Production Systems (O'Reilly/Google, 2016) — establishes SLOs, error budgets, and symptom-based alerting as the reliability contract.</t>
        </is>
      </c>
      <c r="G21" s="4" t="inlineStr">
        <is>
          <t>Depth: Understands SLOs and common failure modes; keeps components healthy with guidance. Evidenced by: Explains their service's SLOs and reads burn-rate dashboards correctly. Scope: task.</t>
        </is>
      </c>
      <c r="H21" s="4" t="inlineStr">
        <is>
          <t>Depth: Builds retries, timeouts and fallbacks; understands blast radius. Evidenced by: Adds a retry-with-backoff and a fallback path to a flaky downstream call so that dependency's failure doesn't cascade into their own component. Scope: component.</t>
        </is>
      </c>
      <c r="I21" s="4" t="inlineStr">
        <is>
          <t>Depth: Designs for graceful degradation; defines SLOs; accountable for a domain's reliability. Evidenced by: Negotiates SLOs for a capability with its internal customers. Scope: capability / domain (terminal level).</t>
        </is>
      </c>
      <c r="J21" s="4" t="inlineStr">
        <is>
          <t>Depth: Expert in resilience and capacity planning at scale; drives down incidents systemically. Evidenced by: Aligns SLOs across dependent services so promises compose. Scope: multiple teams.</t>
        </is>
      </c>
      <c r="K21" s="4" t="inlineStr">
        <is>
          <t>Depth: Owns org-level reliability; fixes risk in process and org design. Evidenced by: Owns the organization's SLO framework and review cadence. Scope: organization.</t>
        </is>
      </c>
      <c r="L21" s="4" t="inlineStr">
        <is>
          <t>Depth: Sets the company's reliability philosophy. Evidenced by: Sets company reliability targets against business risk and cost. Scope: company.</t>
        </is>
      </c>
    </row>
    <row r="22">
      <c r="A22" s="4" t="inlineStr">
        <is>
          <t>Reliability &amp; Operations</t>
        </is>
      </c>
      <c r="B22" s="4" t="inlineStr">
        <is>
          <t>Incident Management</t>
        </is>
      </c>
      <c r="C22" s="4" t="inlineStr">
        <is>
          <t>Incident response</t>
        </is>
      </c>
      <c r="D22" s="6" t="inlineStr">
        <is>
          <t>OPS-06</t>
        </is>
      </c>
      <c r="E22" s="4" t="inlineStr">
        <is>
          <t>Responds to and learns from production incidents.</t>
        </is>
      </c>
      <c r="F22" s="4" t="inlineStr">
        <is>
          <t>PagerDuty, Incident Response Documentation (accessed 2026-07) — grounds the progression from executing runbooks to designing the response system itself.</t>
        </is>
      </c>
      <c r="G22" s="4" t="inlineStr">
        <is>
          <t>Depth: Responds to alerts with support; follows runbooks; escalates appropriately. Evidenced by: Executes runbook steps accurately during incidents under supervision. Scope: task.</t>
        </is>
      </c>
      <c r="H22" s="4" t="inlineStr">
        <is>
          <t>Depth: Triages and resolves routine incidents; clear notes; takes on-call. Evidenced by: Serves as primary on-call for their component. Scope: component.</t>
        </is>
      </c>
      <c r="I22" s="4" t="inlineStr">
        <is>
          <t>Depth: Leads response to complex failures; blameless postmortems; same failure never recurs. Evidenced by: Commands complex multi-team incidents. Scope: capability / domain (terminal level).</t>
        </is>
      </c>
      <c r="J22" s="4" t="inlineStr">
        <is>
          <t>Depth: Expert in incident-management design (rotations, severity, escalation). Evidenced by: Designs the incident-management system itself. Scope: multiple teams.</t>
        </is>
      </c>
      <c r="K22" s="4" t="inlineStr">
        <is>
          <t>Depth: Commands the highest-severity incidents; sets incident process org-wide. Evidenced by: Owns the organization's major-incident readiness. Scope: organization.</t>
        </is>
      </c>
      <c r="L22" s="4" t="inlineStr">
        <is>
          <t>Depth: Sets the company's incident philosophy; calm authority in the worst moments. Evidenced by: Leads the company's existential incidents and the reforms after them. Scope: company.</t>
        </is>
      </c>
    </row>
    <row r="23">
      <c r="A23" s="4" t="inlineStr">
        <is>
          <t>Reliability &amp; Operations</t>
        </is>
      </c>
      <c r="B23" s="4" t="inlineStr">
        <is>
          <t>Incident Management</t>
        </is>
      </c>
      <c r="C23" s="4" t="inlineStr">
        <is>
          <t>Learning from incidents</t>
        </is>
      </c>
      <c r="D23" s="6" t="inlineStr">
        <is>
          <t>OPS-06</t>
        </is>
      </c>
      <c r="E23" s="4" t="inlineStr">
        <is>
          <t>Responds to and learns from production incidents.</t>
        </is>
      </c>
      <c r="F23" s="4" t="inlineStr">
        <is>
          <t>Allspaw, Blameless PostMortems and a Just Culture, Code as Craft (Etsy Engineering Blog, 2012) — establishes blameless analysis focused on systemic contributors over human error.</t>
        </is>
      </c>
      <c r="G23" s="4" t="inlineStr">
        <is>
          <t>Depth: Responds to alerts with support; follows runbooks; escalates appropriately. Evidenced by: Contributes accurate timelines and observations to incident reviews. Scope: task.</t>
        </is>
      </c>
      <c r="H23" s="4" t="inlineStr">
        <is>
          <t>Depth: Triages and resolves routine incidents; clear notes; takes on-call. Evidenced by: Writes blameless postmortems for their component's incidents. Scope: component.</t>
        </is>
      </c>
      <c r="I23" s="4" t="inlineStr">
        <is>
          <t>Depth: Leads response to complex failures; blameless postmortems; same failure never recurs. Evidenced by: Facilitates incident reviews others attend voluntarily. Scope: capability / domain (terminal level).</t>
        </is>
      </c>
      <c r="J23" s="4" t="inlineStr">
        <is>
          <t>Depth: Expert in incident-management design (rotations, severity, escalation). Evidenced by: Builds the learning system across teams. Scope: multiple teams.</t>
        </is>
      </c>
      <c r="K23" s="4" t="inlineStr">
        <is>
          <t>Depth: Commands the highest-severity incidents; sets incident process org-wide. Evidenced by: Drives org-level resilience investment from incident evidence. Scope: organization.</t>
        </is>
      </c>
      <c r="L23" s="4" t="inlineStr">
        <is>
          <t>Depth: Sets the company's incident philosophy; calm authority in the worst moments. Evidenced by: Shapes the company's safety culture. Scope: company.</t>
        </is>
      </c>
    </row>
    <row r="24">
      <c r="A24" s="4" t="inlineStr">
        <is>
          <t>Reliability &amp; Operations</t>
        </is>
      </c>
      <c r="B24" s="4" t="inlineStr">
        <is>
          <t>Operational Excellence</t>
        </is>
      </c>
      <c r="C24" s="4" t="inlineStr">
        <is>
          <t>Capacity, performance &amp; cost</t>
        </is>
      </c>
      <c r="D24" s="6" t="inlineStr">
        <is>
          <t>OPS-07</t>
        </is>
      </c>
      <c r="E24" s="4" t="inlineStr">
        <is>
          <t>Keeps systems fast and economical.</t>
        </is>
      </c>
      <c r="F24" s="4" t="inlineStr">
        <is>
          <t>Gregg, Systems Performance: Enterprise and the Cloud, 2nd ed. (Addison-Wesley, 2020) — grounds profiling-not-guessing and data-driven capacity planning at every level.</t>
        </is>
      </c>
      <c r="G24" s="4" t="inlineStr">
        <is>
          <t>Depth: Understands cost/latency drivers of what they build. Evidenced by: Reads utilization and saturation dashboards correctly and flags approaching limits with evidence. Scope: task.</t>
        </is>
      </c>
      <c r="H24" s="4" t="inlineStr">
        <is>
          <t>Depth: Applies standard optimizations; stays within cost/latency budgets. Evidenced by: Load-tests their component and sizes it from measured headroom rather than guesswork. Scope: component.</t>
        </is>
      </c>
      <c r="I24" s="4" t="inlineStr">
        <is>
          <t>Depth: Designs cost-aware architectures; defines and tracks unit economics for a domain. Evidenced by: Owns capacity planning for a capability. Scope: capability / domain (terminal level).</t>
        </is>
      </c>
      <c r="J24" s="4" t="inlineStr">
        <is>
          <t>Depth: Expert in economics at scale (fleet optimization, build-vs-buy). Evidenced by: Runs capacity planning across shared pools that multiple teams draw from. Scope: multiple teams.</t>
        </is>
      </c>
      <c r="K24" s="4" t="inlineStr">
        <is>
          <t>Depth: Owns org-level spend strategy; cost decisions change margins. Evidenced by: Owns the organization's capacity and efficiency program. Scope: organization.</t>
        </is>
      </c>
      <c r="L24" s="4" t="inlineStr">
        <is>
          <t>Depth: Shapes the company economics of the products. Evidenced by: Treats infrastructure economics as company strategy. Scope: company.</t>
        </is>
      </c>
    </row>
    <row r="25">
      <c r="A25" s="4" t="inlineStr">
        <is>
          <t>Reliability &amp; Operations</t>
        </is>
      </c>
      <c r="B25" s="4" t="inlineStr">
        <is>
          <t>Operational Excellence</t>
        </is>
      </c>
      <c r="C25" s="4" t="inlineStr">
        <is>
          <t>Toil reduction &amp; automation</t>
        </is>
      </c>
      <c r="D25" s="6" t="inlineStr">
        <is>
          <t>OPS-28</t>
        </is>
      </c>
      <c r="E25" s="4" t="inlineStr">
        <is>
          <t>Default to eliminating toil by automating repetitive operational work.</t>
        </is>
      </c>
      <c r="F25" s="4" t="inlineStr">
        <is>
          <t>Beyer, Jones, Petoff &amp; Murphy (eds.), Site Reliability Engineering: How Google Runs Production Systems (O'Reilly/Google, 2016) — provides the definition and budget ceiling this competency tracks against.</t>
        </is>
      </c>
      <c r="G25" s="4" t="inlineStr">
        <is>
          <t>Depth: Runs and lightly edits existing automation under review, flagging tasks that remain manual. Evidenced by: Executes operational runbooks accurately and improves the runbook when a step is wrong or missing. Scope: task.</t>
        </is>
      </c>
      <c r="H25" s="4" t="inlineStr">
        <is>
          <t>Depth: Independently automates routine operational tasks and integrates them into standard workflows with normal review. Evidenced by: Automates the recurring manual work in their component. Scope: component.</t>
        </is>
      </c>
      <c r="I25" s="4" t="inlineStr">
        <is>
          <t>Depth: Designs automation for ambiguous, error-prone toil and resolves hard reliability and orchestration issues in pipelines. Evidenced by: Measures toil for a capability and holds it under an explicit budget. Scope: capability / domain (terminal level).</t>
        </is>
      </c>
      <c r="J25" s="4" t="inlineStr">
        <is>
          <t>Depth: Defines automation patterns and toil-elimination practices others adopt, solving deep workflow and safety problems. Evidenced by: Builds automation multiple teams reuse for their operational work. Scope: multiple teams.</t>
        </is>
      </c>
      <c r="K25" s="4" t="inlineStr">
        <is>
          <t>Depth: Sets organization-wide automation strategy, anticipating where automation-first operations should head. Evidenced by: Sets the organization's toil policy. Scope: organization.</t>
        </is>
      </c>
      <c r="L25" s="4" t="inlineStr">
        <is>
          <t>Depth: Defines what automation-first operations means for the discipline, externally credible in shaping the practice. Evidenced by: Makes operational leverage a company-level argument. Scope: company.</t>
        </is>
      </c>
    </row>
    <row r="26">
      <c r="A26" s="4" t="inlineStr">
        <is>
          <t>Security &amp; Compliance</t>
        </is>
      </c>
      <c r="B26" s="4" t="inlineStr">
        <is>
          <t>Secure by Default</t>
        </is>
      </c>
      <c r="C26" s="4" t="inlineStr">
        <is>
          <t>Guardrails &amp; policy as code</t>
        </is>
      </c>
      <c r="D26" s="6" t="inlineStr">
        <is>
          <t>SEC-18</t>
        </is>
      </c>
      <c r="E26" s="4" t="inlineStr">
        <is>
          <t>Encodes preventive controls as versioned, tested, automatically enforced policy - admission checks, pipeline gates, configuration rules - with actionable violation messages and governed exception paths, so the safe way is the default way.</t>
        </is>
      </c>
      <c r="F26" s="4" t="inlineStr">
        <is>
          <t>OWASP Foundation, OWASP Application Security Verification Standard (accessed 2026-07) — gives guardrail and policy rules an external, auditable bar instead of home-grown opinion.</t>
        </is>
      </c>
      <c r="G26" s="4" t="inlineStr">
        <is>
          <t>Depth: Works within existing guardrails, reads a policy violation to its cause instead of requesting an exception, and explains what each guardrail protects against. Evidenced by: Traces a blocked deploy to a missing resource-limit field in the manifest instead of filing an exception request, and fixes it. Scope: task.</t>
        </is>
      </c>
      <c r="H26" s="4" t="inlineStr">
        <is>
          <t>Depth: Writes and tests policy rules for a component - admission checks, pipeline gates - with low false-positive rates and violation messages that tell the user how to comply. Evidenced by: Writes an admission-control rule for their component that catches unencrypted volumes with a message that tells the requester exactly which field to change. Scope: component.</t>
        </is>
      </c>
      <c r="I26" s="4" t="inlineStr">
        <is>
          <t>Depth: Designs the guardrail architecture for a capability - what is blocked, warned, or audited, with documented threat reasoning - tuned so the safe path is the fast path, and runs an audited exception workflow without becoming the bottleneck. Evidenced by: Designs a capability's guardrail set -- what blocks, what warns, what only audits -- with the threat each rule defends against written down, and runs the exception process without becoming its bottleneck. Scope: capability / domain (terminal level).</t>
        </is>
      </c>
      <c r="J26" s="4" t="inlineStr">
        <is>
          <t>Depth: Harmonizes policy across teams into a coherent, versioned policy library with a governed exception process, and adjudicates escalated safety-versus-velocity disputes. Evidenced by: Merges three teams' near-duplicate policy libraries into one versioned set and adjudicates which team's stricter rule wins. Scope: multiple teams.</t>
        </is>
      </c>
      <c r="K26" s="4" t="inlineStr">
        <is>
          <t>Depth: Owns an organization's preventive-control strategy with security partners - the control catalog, its coverage, and the evidence it works - moving enforcement from review-time to platform-time. Evidenced by: Owns the guardrail catalog with the security team, moving a manual pre-launch review into an automated pipeline gate. Scope: organization.</t>
        </is>
      </c>
      <c r="L26" s="4" t="inlineStr">
        <is>
          <t>Depth: Sets an organization-defining balance of enablement and control, accountable for guardrails that hold under audit and attack without throttling delivery. Evidenced by: Sets the company's default posture on where automation blocks versus warns, and defends it to auditors after an incident nearly reopens the debate. Scope: company.</t>
        </is>
      </c>
    </row>
    <row r="27">
      <c r="A27" s="4" t="inlineStr">
        <is>
          <t>Security &amp; Compliance</t>
        </is>
      </c>
      <c r="B27" s="4" t="inlineStr">
        <is>
          <t>Secure by Default</t>
        </is>
      </c>
      <c r="C27" s="4" t="inlineStr">
        <is>
          <t>Identity, secrets &amp; access</t>
        </is>
      </c>
      <c r="D27" s="6" t="inlineStr">
        <is>
          <t>SEC-01</t>
        </is>
      </c>
      <c r="E27" s="4" t="inlineStr">
        <is>
          <t>Govern identities, authentication, and least-privilege authorization across systems.</t>
        </is>
      </c>
      <c r="F27" s="4" t="inlineStr">
        <is>
          <t>Ward &amp; Beyer, BeyondCorp: A New Approach to Enterprise Security, ;login: 39(6), 6-11 (USENIX, 2014) — the identity-centric model behind least privilege, workload identity, and short-lived credentials.</t>
        </is>
      </c>
      <c r="G27" s="4" t="inlineStr">
        <is>
          <t>Depth: Provisions and deprovisions accounts from documented procedures, with approvals and access reviewed before activation. Evidenced by: Requests and uses credentials through the sanctioned workflow. Scope: task.</t>
        </is>
      </c>
      <c r="H27" s="4" t="inlineStr">
        <is>
          <t>Depth: Configures roles, group membership, and authentication factors independently for standard joiners, movers, and leavers. Evidenced by: Configures workload identity, scoped roles, and secret rotation for their component. Scope: component.</t>
        </is>
      </c>
      <c r="I27" s="4" t="inlineStr">
        <is>
          <t>Depth: Resolves complex entitlement conflicts and designs least-privilege role models for ambiguous, cross-system access needs. Evidenced by: Designs the identity model for a capability. Scope: capability / domain (terminal level).</t>
        </is>
      </c>
      <c r="J27" s="4" t="inlineStr">
        <is>
          <t>Depth: Defines the identity lifecycle and authorization architecture that other engineers adopt across the organization. Evidenced by: Builds identity infrastructure multiple teams authenticate through. Scope: multiple teams.</t>
        </is>
      </c>
      <c r="K27" s="4" t="inlineStr">
        <is>
          <t>Depth: Sets identity strategy, governs federation and privileged-access standards, and anticipates emerging access risks. Evidenced by: Owns the organization's identity architecture and its zero-trust roadmap. Scope: organization.</t>
        </is>
      </c>
      <c r="L27" s="4" t="inlineStr">
        <is>
          <t>Depth: Defines what sound identity practice means for the field and shapes how others govern access. Evidenced by: Sets company identity strategy across employee, workload, and customer boundaries. Scope: company.</t>
        </is>
      </c>
    </row>
    <row r="28">
      <c r="A28" s="4" t="inlineStr">
        <is>
          <t>Security &amp; Compliance</t>
        </is>
      </c>
      <c r="B28" s="4" t="inlineStr">
        <is>
          <t>Supply Chain &amp; Assurance</t>
        </is>
      </c>
      <c r="C28" s="4" t="inlineStr">
        <is>
          <t>Software supply chain security</t>
        </is>
      </c>
      <c r="D28" s="6" t="inlineStr">
        <is>
          <t>SEC-09</t>
        </is>
      </c>
      <c r="E28" s="4" t="inlineStr">
        <is>
          <t>Verify provenance and integrity of dependencies, builds, and deployed artifacts.</t>
        </is>
      </c>
      <c r="F28" s="4" t="inlineStr">
        <is>
          <t>OpenSSF, SLSA (Supply-chain Levels for Software Artifacts), Version 1.0 (2023) — the graded build-integrity standard the signing, provenance, and admission controls here implement.</t>
        </is>
      </c>
      <c r="G28" s="4" t="inlineStr">
        <is>
          <t>Depth: Verifies artifact provenance and signatures following documented checks, escalating anomalies for review. Evidenced by: Keeps dependencies current on their tasks and acts on vulnerability-scanner findings with guidance. Scope: task.</t>
        </is>
      </c>
      <c r="H28" s="4" t="inlineStr">
        <is>
          <t>Depth: Configures signing, dependency scanning, and provenance controls independently for standard pipelines. Evidenced by: Maintains their component's supply-chain hygiene. Scope: component.</t>
        </is>
      </c>
      <c r="I28" s="4" t="inlineStr">
        <is>
          <t>Depth: Designs artifact-integrity and dependency-trust controls for complex, ambiguous supply chains. Evidenced by: Designs a capability's pipeline to a stated supply-chain integrity level. Scope: capability / domain (terminal level).</t>
        </is>
      </c>
      <c r="J28" s="4" t="inlineStr">
        <is>
          <t>Depth: Defines the supply-chain security architecture and verification patterns others adopt. Evidenced by: Builds supply-chain controls into the shared pipeline so every team inherits provenance and scanning by default. Scope: multiple teams.</t>
        </is>
      </c>
      <c r="K28" s="4" t="inlineStr">
        <is>
          <t>Depth: Sets supply-chain assurance strategy and anticipates emerging artifact and dependency threats. Evidenced by: Owns the organization's supply-chain security program. Scope: organization.</t>
        </is>
      </c>
      <c r="L28" s="4" t="inlineStr">
        <is>
          <t>Depth: Defines authoritative supply-chain security practice that shapes industry expectations. Evidenced by: Sets company supply-chain policy including third-party and vendor software. Scope: company.</t>
        </is>
      </c>
    </row>
    <row r="29">
      <c r="A29" s="4" t="inlineStr">
        <is>
          <t>Security &amp; Compliance</t>
        </is>
      </c>
      <c r="B29" s="4" t="inlineStr">
        <is>
          <t>Supply Chain &amp; Assurance</t>
        </is>
      </c>
      <c r="C29" s="4" t="inlineStr">
        <is>
          <t>Compliance &amp; audit readiness</t>
        </is>
      </c>
      <c r="D29" s="6" t="inlineStr">
        <is>
          <t>OPS-09</t>
        </is>
      </c>
      <c r="E29" s="4" t="inlineStr">
        <is>
          <t>Bakes privacy, audit and regulatory controls into systems.</t>
        </is>
      </c>
      <c r="F29" s="4" t="inlineStr">
        <is>
          <t>NIST, The NIST Cybersecurity Framework (CSF) 2.0, NIST CSWP 29 (2024) — makes compliance-by-default and continuous evidence collection a tooled practice rather than paperwork.</t>
        </is>
      </c>
      <c r="G29" s="4" t="inlineStr">
        <is>
          <t>Depth: Knows data handling has privacy implications; follows rules. Evidenced by: Follows the platform's compliance procedures accurately. Scope: task.</t>
        </is>
      </c>
      <c r="H29" s="4" t="inlineStr">
        <is>
          <t>Depth: Applies PII handling, redaction, residency and retention correctly. Evidenced by: Automates evidence collection for their component's controls. Scope: component.</t>
        </is>
      </c>
      <c r="I29" s="4" t="inlineStr">
        <is>
          <t>Depth: Designs for compliance (consent, audit trails, regional rules); owns readiness for a domain. Evidenced by: Maps a capability's controls to the frameworks the company answers to and designs them to be inherited. Scope: capability / domain (terminal level).</t>
        </is>
      </c>
      <c r="J29" s="4" t="inlineStr">
        <is>
          <t>Depth: Expert at translating regulation into controls; represents engineering in audits. Evidenced by: Rationalizes overlapping control implementations across teams into shared, platform-enforced controls. Scope: multiple teams.</t>
        </is>
      </c>
      <c r="K29" s="4" t="inlineStr">
        <is>
          <t>Depth: Sets org compliance strategy; anticipates regulation. Evidenced by: Owns the organization's compliance-as-code strategy with legal and security partners. Scope: organization.</t>
        </is>
      </c>
      <c r="L29" s="4" t="inlineStr">
        <is>
          <t>Depth: Authoritative on the landscape; trusted interface to regulators. Evidenced by: Shapes company posture on regulatory strategy where infrastructure is implicated. Scope: company.</t>
        </is>
      </c>
    </row>
    <row r="30">
      <c r="A30" s="4" t="inlineStr">
        <is>
          <t>Communication &amp; Collaboration</t>
        </is>
      </c>
      <c r="B30" s="4" t="inlineStr">
        <is>
          <t>Knowledge &amp; Documentation</t>
        </is>
      </c>
      <c r="C30" s="4" t="inlineStr">
        <is>
          <t>Technical documentation</t>
        </is>
      </c>
      <c r="D30" s="6" t="inlineStr">
        <is>
          <t>DR-05</t>
        </is>
      </c>
      <c r="E30" s="4" t="inlineStr">
        <is>
          <t>Structuring, writing, and organizing docs so information is findable and usable.</t>
        </is>
      </c>
      <c r="F30" s="4" t="inlineStr">
        <is>
          <t>Procida, Diataxis: A Systematic Framework for Technical Documentation (diataxis.fr, accessed 2026-07) — the framework behind docs organized by user need rather than system internals.</t>
        </is>
      </c>
      <c r="G30" s="4" t="inlineStr">
        <is>
          <t>Depth: Writes and updates doc pages within an existing structure under guidance. Evidenced by: Fixes documentation errors they hit instead of working around them. Scope: task.</t>
        </is>
      </c>
      <c r="H30" s="4" t="inlineStr">
        <is>
          <t>Depth: Authors and organizes documentation for a product area with normal review. Evidenced by: Keeps their component's docs shippable. Scope: component.</t>
        </is>
      </c>
      <c r="I30" s="4" t="inlineStr">
        <is>
          <t>Depth: Independently architects coherent doc structures for complex, evolving products. Evidenced by: Designs a capability's documentation as part of the product. Scope: capability / domain (terminal level).</t>
        </is>
      </c>
      <c r="J30" s="4" t="inlineStr">
        <is>
          <t>Depth: Defines information-architecture standards others adopt and restructures tangled doc sets. Evidenced by: Sets documentation conventions multiple teams follow. Scope: multiple teams.</t>
        </is>
      </c>
      <c r="K30" s="4" t="inlineStr">
        <is>
          <t>Depth: Sets the org's documentation strategy and anticipates structural scaling needs. Evidenced by: Owns the organization's developer-facing knowledge strategy. Scope: organization.</t>
        </is>
      </c>
      <c r="L30" s="4" t="inlineStr">
        <is>
          <t>Depth: Defines great developer documentation and information architecture for the field. Evidenced by: Writes the canonical company documents. Scope: company.</t>
        </is>
      </c>
    </row>
    <row r="31">
      <c r="A31" s="4" t="inlineStr">
        <is>
          <t>Communication &amp; Collaboration</t>
        </is>
      </c>
      <c r="B31" s="4" t="inlineStr">
        <is>
          <t>Knowledge &amp; Documentation</t>
        </is>
      </c>
      <c r="C31" s="4" t="inlineStr">
        <is>
          <t>Design communication &amp; decision records</t>
        </is>
      </c>
      <c r="D31" s="6" t="inlineStr">
        <is>
          <t>CC-01</t>
        </is>
      </c>
      <c r="E31" s="4" t="inlineStr">
        <is>
          <t>Conveys ideas clearly to the right audience.</t>
        </is>
      </c>
      <c r="F31" s="4" t="inlineStr">
        <is>
          <t>Winters, Manshreck &amp; Wright, Software Engineering at Google: Lessons Learned from Programming Over Time (O'Reilly, 2020) — grounds decision-oriented writing as the mechanism by which trade-offs get decided once and stick.</t>
        </is>
      </c>
      <c r="G31" s="4" t="inlineStr">
        <is>
          <t>Depth: Communicates status clearly; documentation is accurate. Evidenced by: Writes clear tickets, PR descriptions, and status updates that need no follow-up questions. Scope: task.</t>
        </is>
      </c>
      <c r="H31" s="4" t="inlineStr">
        <is>
          <t>Depth: Writes clear design notes, runbooks and PRs; explains trade-offs without overselling. Evidenced by: Writes short design docs that state the problem, options, and recommendation. Scope: component.</t>
        </is>
      </c>
      <c r="I31" s="4" t="inlineStr">
        <is>
          <t>Depth: Writes design docs that drive decisions; translates technical risk for non-technical stakeholders. Evidenced by: Writes design docs that make complex trade-offs decidable by non-experts. Scope: capability / domain (terminal level).</t>
        </is>
      </c>
      <c r="J31" s="4" t="inlineStr">
        <is>
          <t>Depth: Expert at making complex capability/risk legible to executives without dumbing it down; RFCs align orgs. Evidenced by: Writes the cross-team proposals that settle contested technical questions. Scope: multiple teams.</t>
        </is>
      </c>
      <c r="K31" s="4" t="inlineStr">
        <is>
          <t>Depth: Strategy memos leadership acts on; org-wide and external reach. Evidenced by: Sets the organization's bar for decision writing. Scope: organization.</t>
        </is>
      </c>
      <c r="L31" s="4" t="inlineStr">
        <is>
          <t>Depth: A clarifying voice at company scale; externally recognized. Evidenced by: Communicates deep technical trade-offs to executives in the language of business risk without losing correctness. Scope: company.</t>
        </is>
      </c>
    </row>
    <row r="32">
      <c r="A32" s="4" t="inlineStr">
        <is>
          <t>Communication &amp; Collaboration</t>
        </is>
      </c>
      <c r="B32" s="4" t="inlineStr">
        <is>
          <t>Enablement &amp; Stakeholders</t>
        </is>
      </c>
      <c r="C32" s="4" t="inlineStr">
        <is>
          <t>Platform advocacy &amp; enablement</t>
        </is>
      </c>
      <c r="D32" s="6" t="inlineStr">
        <is>
          <t>DR-01</t>
        </is>
      </c>
      <c r="E32" s="4" t="inlineStr">
        <is>
          <t>Growing and nurturing developer communities and representing their needs internally.</t>
        </is>
      </c>
      <c r="F32" s="4" t="inlineStr">
        <is>
          <t>CNCF TAG App Delivery, Platform Engineering Maturity Model (2023) — frames adoption-by-evangelism as a maturity outcome the platform earns, not a mandate.</t>
        </is>
      </c>
      <c r="G32" s="4" t="inlineStr">
        <is>
          <t>Depth: Engages community channels and answers routine questions under guidance. Evidenced by: Answers user questions in support channels accurately or routes them fast. Scope: task.</t>
        </is>
      </c>
      <c r="H32" s="4" t="inlineStr">
        <is>
          <t>Depth: Grows and supports a developer community segment with normal review. Evidenced by: Runs enablement for their component. Scope: component.</t>
        </is>
      </c>
      <c r="I32" s="4" t="inlineStr">
        <is>
          <t>Depth: Independently builds thriving communities and defuses tense community conflicts. Evidenced by: Drives adoption of a capability through evangelism rather than mandate. Scope: capability / domain (terminal level).</t>
        </is>
      </c>
      <c r="J32" s="4" t="inlineStr">
        <is>
          <t>Depth: Defines community-building practices others adopt and revives flagging communities. Evidenced by: Builds the enablement machinery platform teams share. Scope: multiple teams.</t>
        </is>
      </c>
      <c r="K32" s="4" t="inlineStr">
        <is>
          <t>Depth: Sets the org's community strategy and anticipates where developer interest is shifting. Evidenced by: Owns the platform's internal brand and narrative. Scope: organization.</t>
        </is>
      </c>
      <c r="L32" s="4" t="inlineStr">
        <is>
          <t>Depth: Defines what great developer advocacy means and is externally recognized for it. Evidenced by: Represents the company's engineering platform externally. Scope: company.</t>
        </is>
      </c>
    </row>
    <row r="33">
      <c r="A33" s="4" t="inlineStr">
        <is>
          <t>Communication &amp; Collaboration</t>
        </is>
      </c>
      <c r="B33" s="4" t="inlineStr">
        <is>
          <t>Enablement &amp; Stakeholders</t>
        </is>
      </c>
      <c r="C33" s="4" t="inlineStr">
        <is>
          <t>Stakeholder management</t>
        </is>
      </c>
      <c r="D33" s="6" t="inlineStr">
        <is>
          <t>PM-13</t>
        </is>
      </c>
      <c r="E33" s="4" t="inlineStr">
        <is>
          <t>Aligning leadership and cross-functional stakeholders around product direction and trade-offs.</t>
        </is>
      </c>
      <c r="F33" s="4" t="inlineStr">
        <is>
          <t>Larson, Staff Engineer: Leadership Beyond the Management Track (self-published, 2021) — grounds the progression from reporting status to advising leadership as a peer.</t>
        </is>
      </c>
      <c r="G33" s="4" t="inlineStr">
        <is>
          <t>Depth: Prepares updates and gathers input for stakeholders under direction. Evidenced by: Communicates status honestly and early - especially bad news. Scope: task.</t>
        </is>
      </c>
      <c r="H33" s="4" t="inlineStr">
        <is>
          <t>Depth: Manages routine stakeholder relationships and communications with normal review. Evidenced by: Manages expectations for their component with its consuming teams. Scope: component.</t>
        </is>
      </c>
      <c r="I33" s="4" t="inlineStr">
        <is>
          <t>Depth: Independently aligns conflicting stakeholders and navigates tense executive conversations. Evidenced by: Runs the stakeholder relationships for a capability. Scope: capability / domain (terminal level).</t>
        </is>
      </c>
      <c r="J33" s="4" t="inlineStr">
        <is>
          <t>Depth: Defines stakeholder-engagement approaches others adopt and brokers the hardest alignment. Evidenced by: Aligns competing demands from multiple teams into a roadmap each can live with. Scope: multiple teams.</t>
        </is>
      </c>
      <c r="K33" s="4" t="inlineStr">
        <is>
          <t>Depth: Sets executive-engagement strategy and anticipates leadership concerns before they arise. Evidenced by: Manages the platform's relationship with organization leadership. Scope: organization.</t>
        </is>
      </c>
      <c r="L33" s="4" t="inlineStr">
        <is>
          <t>Depth: Defines exemplary stakeholder management for the discipline and is externally credible on it. Evidenced by: Operates at executive level as the technical counterpart on company decisions that touch the platform. Scope: company.</t>
        </is>
      </c>
    </row>
    <row r="34">
      <c r="A34" s="4" t="inlineStr">
        <is>
          <t>Communication &amp; Collaboration</t>
        </is>
      </c>
      <c r="B34" s="4" t="inlineStr">
        <is>
          <t>Enablement &amp; Stakeholders</t>
        </is>
      </c>
      <c r="C34" s="4" t="inlineStr">
        <is>
          <t>Cross-team collaboration</t>
        </is>
      </c>
      <c r="D34" s="6" t="inlineStr">
        <is>
          <t>CC-03</t>
        </is>
      </c>
      <c r="E34" s="4" t="inlineStr">
        <is>
          <t>Works productively with others toward shared goals.</t>
        </is>
      </c>
      <c r="F34" s="4" t="inlineStr">
        <is>
          <t>Skelton &amp; Pais, Team Topologies (IT Revolution, 2019) — gives platform-to-team relationships a deliberate design vocabulary rather than ad-hoc liaison work.</t>
        </is>
      </c>
      <c r="G34" s="4" t="inlineStr">
        <is>
          <t>Depth: Responsive to feedback; pairs willingly; asks for help appropriately. Evidenced by: Works in the open. Scope: task.</t>
        </is>
      </c>
      <c r="H34" s="4" t="inlineStr">
        <is>
          <t>Depth: Collaborates smoothly with adjacent functions; handles disagreement constructively. Evidenced by: Partners directly with the teams that consume their component. Scope: component.</t>
        </is>
      </c>
      <c r="I34" s="4" t="inlineStr">
        <is>
          <t>Depth: Builds strong cross-team relationships; resolves friction directly. Evidenced by: Builds the working relationships a capability depends on. Scope: capability / domain (terminal level).</t>
        </is>
      </c>
      <c r="J34" s="4" t="inlineStr">
        <is>
          <t>Depth: Expert at aligning teams with competing priorities; mediates disputes between senior people. Evidenced by: Creates the collaboration structures that let teams decide without escalation. Scope: multiple teams.</t>
        </is>
      </c>
      <c r="K34" s="4" t="inlineStr">
        <is>
          <t>Depth: Creates the forums and processes through which collaboration happens. Evidenced by: Brokers alignment between organizations. Scope: organization.</t>
        </is>
      </c>
      <c r="L34" s="4" t="inlineStr">
        <is>
          <t>Depth: Builds coalitions at company scale and externally. Evidenced by: Aligns the company's technical factions. Scope: company.</t>
        </is>
      </c>
    </row>
    <row r="35">
      <c r="A35" s="4" t="inlineStr">
        <is>
          <t>Execution &amp; Leadership</t>
        </is>
      </c>
      <c r="B35" s="4" t="inlineStr">
        <is>
          <t>Delivery &amp; Planning</t>
        </is>
      </c>
      <c r="C35" s="4" t="inlineStr">
        <is>
          <t>Planning &amp; estimation</t>
        </is>
      </c>
      <c r="D35" s="6" t="inlineStr">
        <is>
          <t>PD-04</t>
        </is>
      </c>
      <c r="E35" s="4" t="inlineStr">
        <is>
          <t>Forecasts and plans work credibly.</t>
        </is>
      </c>
      <c r="F35" s="4" t="inlineStr">
        <is>
          <t>McConnell, Software Estimation: Demystifying the Black Art (Microsoft Press, 2006) — establishes estimates as probability ranges refined by decomposition and historical data.</t>
        </is>
      </c>
      <c r="G35" s="4" t="inlineStr">
        <is>
          <t>Depth: Learns to estimate; surfaces blockers; plans own tasks with guidance. Evidenced by: Breaks an assigned task into steps, estimates them honestly, and flags slippage as soon as it is visible. Scope: task.</t>
        </is>
      </c>
      <c r="H35" s="4" t="inlineStr">
        <is>
          <t>Depth: Estimates scoped work realistically; plans own 1-3 week projects. Evidenced by: Plans component-level work in increments that ship value early. Scope: component.</t>
        </is>
      </c>
      <c r="I35" s="4" t="inlineStr">
        <is>
          <t>Depth: Plans quarter-scale, multi-workstream efforts including dependencies. Evidenced by: Plans a capability across quarters with explicit risk buffers. Scope: capability / domain (terminal level).</t>
        </is>
      </c>
      <c r="J35" s="4" t="inlineStr">
        <is>
          <t>Depth: Expert at planning large programs; anticipates risk early. Evidenced by: Builds plans that coordinate multiple teams' streams. Scope: multiple teams.</t>
        </is>
      </c>
      <c r="K35" s="4" t="inlineStr">
        <is>
          <t>Depth: Plans org-level programs across quarters/years. Evidenced by: Runs the organization's platform planning cycle. Scope: organization.</t>
        </is>
      </c>
      <c r="L35" s="4" t="inlineStr">
        <is>
          <t>Depth: Shapes how the company plans major technical change. Evidenced by: Sets the multi-year planning cycle major technical bets are sequenced against, and defends the sequencing to the executives funding it. Scope: company.</t>
        </is>
      </c>
    </row>
    <row r="36">
      <c r="A36" s="4" t="inlineStr">
        <is>
          <t>Execution &amp; Leadership</t>
        </is>
      </c>
      <c r="B36" s="4" t="inlineStr">
        <is>
          <t>Delivery &amp; Planning</t>
        </is>
      </c>
      <c r="C36" s="4" t="inlineStr">
        <is>
          <t>Prioritization &amp; trade-off judgment</t>
        </is>
      </c>
      <c r="D36" s="6" t="inlineStr">
        <is>
          <t>PD-02</t>
        </is>
      </c>
      <c r="E36" s="4" t="inlineStr">
        <is>
          <t>Weighs cost, value, risk and timing.</t>
        </is>
      </c>
      <c r="F36" s="4" t="inlineStr">
        <is>
          <t>Reinertsen, The Principles of Product Development Flow: Second Generation Lean Product Development (Celeritas, 2009) — gives trade-off and scope-cut decisions an economic footing instead of loudest-voice ordering.</t>
        </is>
      </c>
      <c r="G36" s="4" t="inlineStr">
        <is>
          <t>Depth: Works highest-priority-first when told the priorities. Evidenced by: Works their queue in the agreed order and raises it explicitly when a new ask conflicts with committed work. Scope: task.</t>
        </is>
      </c>
      <c r="H36" s="4" t="inlineStr">
        <is>
          <t>Depth: Makes sound priority calls within scope; time-boxes uncertain work. Evidenced by: Orders their component's backlog by user impact and cost of delay. Scope: component.</t>
        </is>
      </c>
      <c r="I36" s="4" t="inlineStr">
        <is>
          <t>Depth: Balances cost/value/risk across a domain; resists hype; decisions hold up over months. Evidenced by: Sequences a capability's investment across feature work, reliability, migrations, and toil paydown using explicit cost-of-delay reasoning. Scope: capability / domain (terminal level).</t>
        </is>
      </c>
      <c r="J36" s="4" t="inlineStr">
        <is>
          <t>Depth: Expert at portfolio-level trade-offs; surfaces hidden assumptions; trusted tiebreaker. Evidenced by: Arbitrates priority across teams competing for shared platform capacity. Scope: multiple teams.</t>
        </is>
      </c>
      <c r="K36" s="4" t="inlineStr">
        <is>
          <t>Depth: Sets decision frameworks for the org. Evidenced by: Sets the organization's platform investment allocation. Scope: organization.</t>
        </is>
      </c>
      <c r="L36" s="4" t="inlineStr">
        <is>
          <t>Depth: Influences company strategic direction through judgment. Evidenced by: Advises company leadership on technology sequencing. Scope: company.</t>
        </is>
      </c>
    </row>
    <row r="37">
      <c r="A37" s="4" t="inlineStr">
        <is>
          <t>Execution &amp; Leadership</t>
        </is>
      </c>
      <c r="B37" s="4" t="inlineStr">
        <is>
          <t>Growth &amp; Direction</t>
        </is>
      </c>
      <c r="C37" s="4" t="inlineStr">
        <is>
          <t>Mentorship &amp; knowledge sharing</t>
        </is>
      </c>
      <c r="D37" s="6" t="inlineStr">
        <is>
          <t>LI-01</t>
        </is>
      </c>
      <c r="E37" s="4" t="inlineStr">
        <is>
          <t>Grows other people's capability.</t>
        </is>
      </c>
      <c r="F37" s="4" t="inlineStr">
        <is>
          <t>Wenger, Communities of Practice: Learning, Meaning, and Identity (Cambridge University Press, 1998) — expertise spreads through communities of practice, from peripheral participation inward.</t>
        </is>
      </c>
      <c r="G37" s="4" t="inlineStr">
        <is>
          <t>Depth: Receptive to mentoring; shares what they learn. Evidenced by: Asks for help effectively - showing what they tried - and passes on what they learn. Scope: task.</t>
        </is>
      </c>
      <c r="H37" s="4" t="inlineStr">
        <is>
          <t>Depth: Helps onboard teammates; informally mentors juniors. Evidenced by: Onboards new teammates with pairing and honest context. Scope: component.</t>
        </is>
      </c>
      <c r="I37" s="4" t="inlineStr">
        <is>
          <t>Depth: Coaches engineers with growth-oriented feedback; measurably improves a team's skill. Evidenced by: Mentors engineers deliberately. Scope: capability / domain (terminal level).</t>
        </is>
      </c>
      <c r="J37" s="4" t="inlineStr">
        <is>
          <t>Depth: Develops future leads across teams; shapes hiring and onboarding. Evidenced by: Grows senior engineers across teams toward staff scope. Scope: multiple teams.</t>
        </is>
      </c>
      <c r="K37" s="4" t="inlineStr">
        <is>
          <t>Depth: Develops senior engineers and leaders; builds culture deliberately. Evidenced by: Builds the organization's technical talent systems. Scope: organization.</t>
        </is>
      </c>
      <c r="L37" s="4" t="inlineStr">
        <is>
          <t>Depth: Develops the next generation of top talent; legacy outlasts tenure. Evidenced by: Develops the company's next generation of principal-level technical leaders. Scope: company.</t>
        </is>
      </c>
    </row>
    <row r="38">
      <c r="A38" s="4" t="inlineStr">
        <is>
          <t>Execution &amp; Leadership</t>
        </is>
      </c>
      <c r="B38" s="4" t="inlineStr">
        <is>
          <t>Growth &amp; Direction</t>
        </is>
      </c>
      <c r="C38" s="4" t="inlineStr">
        <is>
          <t>Technical direction &amp; influence</t>
        </is>
      </c>
      <c r="D38" s="6" t="inlineStr">
        <is>
          <t>LI-03</t>
        </is>
      </c>
      <c r="E38" s="4" t="inlineStr">
        <is>
          <t>Shapes technical direction beyond own work.</t>
        </is>
      </c>
      <c r="F38" s="4" t="inlineStr">
        <is>
          <t>Nygard, Documenting Architecture Decisions (Cognitect blog, 2011) — the practice behind written, revisitable decisions from component decision records to company direction.</t>
        </is>
      </c>
      <c r="G38" s="4" t="inlineStr">
        <is>
          <t>Depth: Contributes informed opinions in technical discussions. Evidenced by: Raises a concrete thundering-herd failure scenario against a proposed retry strategy in a design review, and the design changes because of it. Scope: task.</t>
        </is>
      </c>
      <c r="H38" s="4" t="inlineStr">
        <is>
          <t>Depth: Influences component-level decisions through credibility. Evidenced by: Proposes direction within their component. Scope: component.</t>
        </is>
      </c>
      <c r="I38" s="4" t="inlineStr">
        <is>
          <t>Depth: Sets technical direction for a domain; others align to their calls. Evidenced by: Picks the message-queue technology a capability standardizes on for its next migration cycle, and engineers building on it align their designs to that call without relitigating it. Scope: capability / domain (terminal level).</t>
        </is>
      </c>
      <c r="J38" s="4" t="inlineStr">
        <is>
          <t>Depth: Shapes how multiple teams approach problems; trusted tiebreaker. Evidenced by: Aligns multiple teams behind a shared technical direction without authority over them. Scope: multiple teams.</t>
        </is>
      </c>
      <c r="K38" s="4" t="inlineStr">
        <is>
          <t>Depth: Influences org-wide technical strategy. Evidenced by: Writes the organization's technical strategy and makes it operational. Scope: organization.</t>
        </is>
      </c>
      <c r="L38" s="4" t="inlineStr">
        <is>
          <t>Depth: Influences company strategic direction through insight. Evidenced by: Sets company-level technical direction. Scope: company.</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0"/>
  <sheetViews>
    <sheetView workbookViewId="0">
      <pane ySplit="3" topLeftCell="A4" activePane="bottomLeft" state="frozen"/>
      <selection pane="bottomLeft" activeCell="A1" sqref="A1"/>
    </sheetView>
  </sheetViews>
  <sheetFormatPr baseColWidth="8" defaultRowHeight="15"/>
  <cols>
    <col width="26" customWidth="1" min="1" max="1"/>
    <col width="34" customWidth="1" min="2" max="2"/>
    <col width="9" customWidth="1" min="3" max="3"/>
    <col width="7" customWidth="1" min="4" max="4"/>
    <col width="7" customWidth="1" min="5" max="5"/>
    <col width="9" customWidth="1" min="6" max="6"/>
    <col width="7" customWidth="1" min="7" max="7"/>
    <col width="7" customWidth="1" min="8" max="8"/>
    <col hidden="1" width="13" customWidth="1" min="10" max="10"/>
    <col hidden="1" width="13" customWidth="1" min="11" max="11"/>
    <col hidden="1" width="13" customWidth="1" min="12" max="12"/>
    <col hidden="1" width="13" customWidth="1" min="13" max="13"/>
    <col hidden="1" width="13" customWidth="1" min="14" max="14"/>
    <col hidden="1" width="13" customWidth="1" min="15" max="15"/>
  </cols>
  <sheetData>
    <row r="1">
      <c r="A1" s="1" t="inlineStr">
        <is>
          <t>Target level</t>
        </is>
      </c>
      <c r="B1" s="7" t="inlineStr">
        <is>
          <t>E3</t>
        </is>
      </c>
      <c r="D1" s="2" t="inlineStr">
        <is>
          <t>Enter one of: E1, E2, E3, E4, E5, E6. Blue cells are inputs (1-6, the P number).</t>
        </is>
      </c>
    </row>
    <row r="3">
      <c r="A3" s="1" t="inlineStr">
        <is>
          <t>Key Area</t>
        </is>
      </c>
      <c r="B3" s="1" t="inlineStr">
        <is>
          <t>Competency</t>
        </is>
      </c>
      <c r="C3" s="1" t="inlineStr">
        <is>
          <t>Target P</t>
        </is>
      </c>
      <c r="D3" s="1" t="inlineStr">
        <is>
          <t>Self</t>
        </is>
      </c>
      <c r="E3" s="1" t="inlineStr">
        <is>
          <t>Peer</t>
        </is>
      </c>
      <c r="F3" s="1" t="inlineStr">
        <is>
          <t>Manager</t>
        </is>
      </c>
      <c r="G3" s="1" t="inlineStr">
        <is>
          <t>Avg</t>
        </is>
      </c>
      <c r="H3" s="1" t="inlineStr">
        <is>
          <t>Gap</t>
        </is>
      </c>
      <c r="J3" s="1" t="inlineStr">
        <is>
          <t>E1</t>
        </is>
      </c>
      <c r="K3" s="1" t="inlineStr">
        <is>
          <t>E2</t>
        </is>
      </c>
      <c r="L3" s="1" t="inlineStr">
        <is>
          <t>E3</t>
        </is>
      </c>
      <c r="M3" s="1" t="inlineStr">
        <is>
          <t>E4</t>
        </is>
      </c>
      <c r="N3" s="1" t="inlineStr">
        <is>
          <t>E5</t>
        </is>
      </c>
      <c r="O3" s="1" t="inlineStr">
        <is>
          <t>E6</t>
        </is>
      </c>
    </row>
    <row r="4">
      <c r="A4" s="2" t="inlineStr">
        <is>
          <t>Platform as a Product</t>
        </is>
      </c>
      <c r="B4" s="2" t="inlineStr">
        <is>
          <t>Internal user research</t>
        </is>
      </c>
      <c r="C4" s="2">
        <f>IFERROR(INDEX(J4:O4,MATCH($B$1,$J$3:$O$3,0)),"")</f>
        <v/>
      </c>
      <c r="D4" s="7" t="n"/>
      <c r="E4" s="7" t="n"/>
      <c r="F4" s="7" t="n"/>
      <c r="G4" s="2">
        <f>IFERROR(AVERAGE(D4:F4),"")</f>
        <v/>
      </c>
      <c r="H4" s="2">
        <f>IFERROR(G4-C4,"")</f>
        <v/>
      </c>
      <c r="J4" s="2" t="n">
        <v>1</v>
      </c>
      <c r="K4" s="2" t="n">
        <v>2</v>
      </c>
      <c r="L4" s="2" t="n">
        <v>3</v>
      </c>
      <c r="M4" s="2" t="n">
        <v>4</v>
      </c>
      <c r="N4" s="2" t="n">
        <v>5</v>
      </c>
      <c r="O4" s="2" t="n">
        <v>6</v>
      </c>
    </row>
    <row r="5">
      <c r="A5" s="2" t="inlineStr">
        <is>
          <t>Platform as a Product</t>
        </is>
      </c>
      <c r="B5" s="2" t="inlineStr">
        <is>
          <t>Adoption &amp; success metrics</t>
        </is>
      </c>
      <c r="C5" s="2">
        <f>IFERROR(INDEX(J5:O5,MATCH($B$1,$J$3:$O$3,0)),"")</f>
        <v/>
      </c>
      <c r="D5" s="7" t="n"/>
      <c r="E5" s="7" t="n"/>
      <c r="F5" s="7" t="n"/>
      <c r="G5" s="2">
        <f>IFERROR(AVERAGE(D5:F5),"")</f>
        <v/>
      </c>
      <c r="H5" s="2">
        <f>IFERROR(G5-C5,"")</f>
        <v/>
      </c>
      <c r="J5" s="2" t="n">
        <v>1</v>
      </c>
      <c r="K5" s="2" t="n">
        <v>2</v>
      </c>
      <c r="L5" s="2" t="n">
        <v>3</v>
      </c>
      <c r="M5" s="2" t="n">
        <v>4</v>
      </c>
      <c r="N5" s="2" t="n">
        <v>5</v>
      </c>
      <c r="O5" s="2" t="n">
        <v>6</v>
      </c>
    </row>
    <row r="6">
      <c r="A6" s="2" t="inlineStr">
        <is>
          <t>Platform as a Product</t>
        </is>
      </c>
      <c r="B6" s="2" t="inlineStr">
        <is>
          <t>Thinnest viable platform</t>
        </is>
      </c>
      <c r="C6" s="2">
        <f>IFERROR(INDEX(J6:O6,MATCH($B$1,$J$3:$O$3,0)),"")</f>
        <v/>
      </c>
      <c r="D6" s="7" t="n"/>
      <c r="E6" s="7" t="n"/>
      <c r="F6" s="7" t="n"/>
      <c r="G6" s="2">
        <f>IFERROR(AVERAGE(D6:F6),"")</f>
        <v/>
      </c>
      <c r="H6" s="2">
        <f>IFERROR(G6-C6,"")</f>
        <v/>
      </c>
      <c r="J6" s="2" t="n">
        <v>1</v>
      </c>
      <c r="K6" s="2" t="n">
        <v>2</v>
      </c>
      <c r="L6" s="2" t="n">
        <v>3</v>
      </c>
      <c r="M6" s="2" t="n">
        <v>4</v>
      </c>
      <c r="N6" s="2" t="n">
        <v>5</v>
      </c>
      <c r="O6" s="2" t="n">
        <v>6</v>
      </c>
    </row>
    <row r="7">
      <c r="A7" s="2" t="inlineStr">
        <is>
          <t>Platform as a Product</t>
        </is>
      </c>
      <c r="B7" s="2" t="inlineStr">
        <is>
          <t>Platform roadmap &amp; prioritization</t>
        </is>
      </c>
      <c r="C7" s="2">
        <f>IFERROR(INDEX(J7:O7,MATCH($B$1,$J$3:$O$3,0)),"")</f>
        <v/>
      </c>
      <c r="D7" s="7" t="n"/>
      <c r="E7" s="7" t="n"/>
      <c r="F7" s="7" t="n"/>
      <c r="G7" s="2">
        <f>IFERROR(AVERAGE(D7:F7),"")</f>
        <v/>
      </c>
      <c r="H7" s="2">
        <f>IFERROR(G7-C7,"")</f>
        <v/>
      </c>
      <c r="J7" s="2" t="n">
        <v>1</v>
      </c>
      <c r="K7" s="2" t="n">
        <v>2</v>
      </c>
      <c r="L7" s="2" t="n">
        <v>3</v>
      </c>
      <c r="M7" s="2" t="n">
        <v>4</v>
      </c>
      <c r="N7" s="2" t="n">
        <v>5</v>
      </c>
      <c r="O7" s="2" t="n">
        <v>6</v>
      </c>
    </row>
    <row r="8">
      <c r="A8" s="2" t="inlineStr">
        <is>
          <t>Platform as a Product</t>
        </is>
      </c>
      <c r="B8" s="2" t="inlineStr">
        <is>
          <t>Golden paths &amp; paved roads</t>
        </is>
      </c>
      <c r="C8" s="2">
        <f>IFERROR(INDEX(J8:O8,MATCH($B$1,$J$3:$O$3,0)),"")</f>
        <v/>
      </c>
      <c r="D8" s="7" t="n"/>
      <c r="E8" s="7" t="n"/>
      <c r="F8" s="7" t="n"/>
      <c r="G8" s="2">
        <f>IFERROR(AVERAGE(D8:F8),"")</f>
        <v/>
      </c>
      <c r="H8" s="2">
        <f>IFERROR(G8-C8,"")</f>
        <v/>
      </c>
      <c r="J8" s="2" t="n">
        <v>1</v>
      </c>
      <c r="K8" s="2" t="n">
        <v>2</v>
      </c>
      <c r="L8" s="2" t="n">
        <v>3</v>
      </c>
      <c r="M8" s="2" t="n">
        <v>4</v>
      </c>
      <c r="N8" s="2" t="n">
        <v>5</v>
      </c>
      <c r="O8" s="2" t="n">
        <v>6</v>
      </c>
    </row>
    <row r="9">
      <c r="A9" s="2" t="inlineStr">
        <is>
          <t>Platform as a Product</t>
        </is>
      </c>
      <c r="B9" s="2" t="inlineStr">
        <is>
          <t>Cognitive load reduction</t>
        </is>
      </c>
      <c r="C9" s="2">
        <f>IFERROR(INDEX(J9:O9,MATCH($B$1,$J$3:$O$3,0)),"")</f>
        <v/>
      </c>
      <c r="D9" s="7" t="n"/>
      <c r="E9" s="7" t="n"/>
      <c r="F9" s="7" t="n"/>
      <c r="G9" s="2">
        <f>IFERROR(AVERAGE(D9:F9),"")</f>
        <v/>
      </c>
      <c r="H9" s="2">
        <f>IFERROR(G9-C9,"")</f>
        <v/>
      </c>
      <c r="J9" s="2" t="n">
        <v>1</v>
      </c>
      <c r="K9" s="2" t="n">
        <v>2</v>
      </c>
      <c r="L9" s="2" t="n">
        <v>3</v>
      </c>
      <c r="M9" s="2" t="n">
        <v>4</v>
      </c>
      <c r="N9" s="2" t="n">
        <v>5</v>
      </c>
      <c r="O9" s="2" t="n">
        <v>6</v>
      </c>
    </row>
    <row r="10">
      <c r="A10" s="2" t="inlineStr">
        <is>
          <t>Platform Software Engineering</t>
        </is>
      </c>
      <c r="B10" s="2" t="inlineStr">
        <is>
          <t>Platform system design</t>
        </is>
      </c>
      <c r="C10" s="2">
        <f>IFERROR(INDEX(J10:O10,MATCH($B$1,$J$3:$O$3,0)),"")</f>
        <v/>
      </c>
      <c r="D10" s="7" t="n"/>
      <c r="E10" s="7" t="n"/>
      <c r="F10" s="7" t="n"/>
      <c r="G10" s="2">
        <f>IFERROR(AVERAGE(D10:F10),"")</f>
        <v/>
      </c>
      <c r="H10" s="2">
        <f>IFERROR(G10-C10,"")</f>
        <v/>
      </c>
      <c r="J10" s="2" t="n">
        <v>1</v>
      </c>
      <c r="K10" s="2" t="n">
        <v>2</v>
      </c>
      <c r="L10" s="2" t="n">
        <v>3</v>
      </c>
      <c r="M10" s="2" t="n">
        <v>4</v>
      </c>
      <c r="N10" s="2" t="n">
        <v>5</v>
      </c>
      <c r="O10" s="2" t="n">
        <v>6</v>
      </c>
    </row>
    <row r="11">
      <c r="A11" s="2" t="inlineStr">
        <is>
          <t>Platform Software Engineering</t>
        </is>
      </c>
      <c r="B11" s="2" t="inlineStr">
        <is>
          <t>API &amp; interface design</t>
        </is>
      </c>
      <c r="C11" s="2">
        <f>IFERROR(INDEX(J11:O11,MATCH($B$1,$J$3:$O$3,0)),"")</f>
        <v/>
      </c>
      <c r="D11" s="7" t="n"/>
      <c r="E11" s="7" t="n"/>
      <c r="F11" s="7" t="n"/>
      <c r="G11" s="2">
        <f>IFERROR(AVERAGE(D11:F11),"")</f>
        <v/>
      </c>
      <c r="H11" s="2">
        <f>IFERROR(G11-C11,"")</f>
        <v/>
      </c>
      <c r="J11" s="2" t="n">
        <v>1</v>
      </c>
      <c r="K11" s="2" t="n">
        <v>2</v>
      </c>
      <c r="L11" s="2" t="n">
        <v>3</v>
      </c>
      <c r="M11" s="2" t="n">
        <v>4</v>
      </c>
      <c r="N11" s="2" t="n">
        <v>5</v>
      </c>
      <c r="O11" s="2" t="n">
        <v>6</v>
      </c>
    </row>
    <row r="12">
      <c r="A12" s="2" t="inlineStr">
        <is>
          <t>Platform Software Engineering</t>
        </is>
      </c>
      <c r="B12" s="2" t="inlineStr">
        <is>
          <t>Coding &amp; implementation</t>
        </is>
      </c>
      <c r="C12" s="2">
        <f>IFERROR(INDEX(J12:O12,MATCH($B$1,$J$3:$O$3,0)),"")</f>
        <v/>
      </c>
      <c r="D12" s="7" t="n"/>
      <c r="E12" s="7" t="n"/>
      <c r="F12" s="7" t="n"/>
      <c r="G12" s="2">
        <f>IFERROR(AVERAGE(D12:F12),"")</f>
        <v/>
      </c>
      <c r="H12" s="2">
        <f>IFERROR(G12-C12,"")</f>
        <v/>
      </c>
      <c r="J12" s="2" t="n">
        <v>1</v>
      </c>
      <c r="K12" s="2" t="n">
        <v>2</v>
      </c>
      <c r="L12" s="2" t="n">
        <v>3</v>
      </c>
      <c r="M12" s="2" t="n">
        <v>4</v>
      </c>
      <c r="N12" s="2" t="n">
        <v>5</v>
      </c>
      <c r="O12" s="2" t="n">
        <v>6</v>
      </c>
    </row>
    <row r="13">
      <c r="A13" s="2" t="inlineStr">
        <is>
          <t>Platform Software Engineering</t>
        </is>
      </c>
      <c r="B13" s="2" t="inlineStr">
        <is>
          <t>Code review</t>
        </is>
      </c>
      <c r="C13" s="2">
        <f>IFERROR(INDEX(J13:O13,MATCH($B$1,$J$3:$O$3,0)),"")</f>
        <v/>
      </c>
      <c r="D13" s="7" t="n"/>
      <c r="E13" s="7" t="n"/>
      <c r="F13" s="7" t="n"/>
      <c r="G13" s="2">
        <f>IFERROR(AVERAGE(D13:F13),"")</f>
        <v/>
      </c>
      <c r="H13" s="2">
        <f>IFERROR(G13-C13,"")</f>
        <v/>
      </c>
      <c r="J13" s="2" t="n">
        <v>1</v>
      </c>
      <c r="K13" s="2" t="n">
        <v>2</v>
      </c>
      <c r="L13" s="2" t="n">
        <v>3</v>
      </c>
      <c r="M13" s="2" t="n">
        <v>4</v>
      </c>
      <c r="N13" s="2" t="n">
        <v>5</v>
      </c>
      <c r="O13" s="2" t="n">
        <v>6</v>
      </c>
    </row>
    <row r="14">
      <c r="A14" s="2" t="inlineStr">
        <is>
          <t>Platform Software Engineering</t>
        </is>
      </c>
      <c r="B14" s="2" t="inlineStr">
        <is>
          <t>Testing &amp; verification</t>
        </is>
      </c>
      <c r="C14" s="2">
        <f>IFERROR(INDEX(J14:O14,MATCH($B$1,$J$3:$O$3,0)),"")</f>
        <v/>
      </c>
      <c r="D14" s="7" t="n"/>
      <c r="E14" s="7" t="n"/>
      <c r="F14" s="7" t="n"/>
      <c r="G14" s="2">
        <f>IFERROR(AVERAGE(D14:F14),"")</f>
        <v/>
      </c>
      <c r="H14" s="2">
        <f>IFERROR(G14-C14,"")</f>
        <v/>
      </c>
      <c r="J14" s="2" t="n">
        <v>1</v>
      </c>
      <c r="K14" s="2" t="n">
        <v>2</v>
      </c>
      <c r="L14" s="2" t="n">
        <v>3</v>
      </c>
      <c r="M14" s="2" t="n">
        <v>4</v>
      </c>
      <c r="N14" s="2" t="n">
        <v>5</v>
      </c>
      <c r="O14" s="2" t="n">
        <v>6</v>
      </c>
    </row>
    <row r="15">
      <c r="A15" s="2" t="inlineStr">
        <is>
          <t>Platform Software Engineering</t>
        </is>
      </c>
      <c r="B15" s="2" t="inlineStr">
        <is>
          <t>Delivery automation &amp; CI/CD</t>
        </is>
      </c>
      <c r="C15" s="2">
        <f>IFERROR(INDEX(J15:O15,MATCH($B$1,$J$3:$O$3,0)),"")</f>
        <v/>
      </c>
      <c r="D15" s="7" t="n"/>
      <c r="E15" s="7" t="n"/>
      <c r="F15" s="7" t="n"/>
      <c r="G15" s="2">
        <f>IFERROR(AVERAGE(D15:F15),"")</f>
        <v/>
      </c>
      <c r="H15" s="2">
        <f>IFERROR(G15-C15,"")</f>
        <v/>
      </c>
      <c r="J15" s="2" t="n">
        <v>1</v>
      </c>
      <c r="K15" s="2" t="n">
        <v>2</v>
      </c>
      <c r="L15" s="2" t="n">
        <v>3</v>
      </c>
      <c r="M15" s="2" t="n">
        <v>4</v>
      </c>
      <c r="N15" s="2" t="n">
        <v>5</v>
      </c>
      <c r="O15" s="2" t="n">
        <v>6</v>
      </c>
    </row>
    <row r="16">
      <c r="A16" s="2" t="inlineStr">
        <is>
          <t>Platform Software Engineering</t>
        </is>
      </c>
      <c r="B16" s="2" t="inlineStr">
        <is>
          <t>Deprecation &amp; migration management</t>
        </is>
      </c>
      <c r="C16" s="2">
        <f>IFERROR(INDEX(J16:O16,MATCH($B$1,$J$3:$O$3,0)),"")</f>
        <v/>
      </c>
      <c r="D16" s="7" t="n"/>
      <c r="E16" s="7" t="n"/>
      <c r="F16" s="7" t="n"/>
      <c r="G16" s="2">
        <f>IFERROR(AVERAGE(D16:F16),"")</f>
        <v/>
      </c>
      <c r="H16" s="2">
        <f>IFERROR(G16-C16,"")</f>
        <v/>
      </c>
      <c r="J16" s="2" t="n">
        <v>1</v>
      </c>
      <c r="K16" s="2" t="n">
        <v>2</v>
      </c>
      <c r="L16" s="2" t="n">
        <v>3</v>
      </c>
      <c r="M16" s="2" t="n">
        <v>4</v>
      </c>
      <c r="N16" s="2" t="n">
        <v>5</v>
      </c>
      <c r="O16" s="2" t="n">
        <v>6</v>
      </c>
    </row>
    <row r="17">
      <c r="A17" s="2" t="inlineStr">
        <is>
          <t>Infrastructure &amp; Cloud</t>
        </is>
      </c>
      <c r="B17" s="2" t="inlineStr">
        <is>
          <t>Cloud architecture</t>
        </is>
      </c>
      <c r="C17" s="2">
        <f>IFERROR(INDEX(J17:O17,MATCH($B$1,$J$3:$O$3,0)),"")</f>
        <v/>
      </c>
      <c r="D17" s="7" t="n"/>
      <c r="E17" s="7" t="n"/>
      <c r="F17" s="7" t="n"/>
      <c r="G17" s="2">
        <f>IFERROR(AVERAGE(D17:F17),"")</f>
        <v/>
      </c>
      <c r="H17" s="2">
        <f>IFERROR(G17-C17,"")</f>
        <v/>
      </c>
      <c r="J17" s="2" t="n">
        <v>1</v>
      </c>
      <c r="K17" s="2" t="n">
        <v>2</v>
      </c>
      <c r="L17" s="2" t="n">
        <v>3</v>
      </c>
      <c r="M17" s="2" t="n">
        <v>4</v>
      </c>
      <c r="N17" s="2" t="n">
        <v>5</v>
      </c>
      <c r="O17" s="2" t="n">
        <v>6</v>
      </c>
    </row>
    <row r="18">
      <c r="A18" s="2" t="inlineStr">
        <is>
          <t>Infrastructure &amp; Cloud</t>
        </is>
      </c>
      <c r="B18" s="2" t="inlineStr">
        <is>
          <t>Container orchestration &amp; runtime</t>
        </is>
      </c>
      <c r="C18" s="2">
        <f>IFERROR(INDEX(J18:O18,MATCH($B$1,$J$3:$O$3,0)),"")</f>
        <v/>
      </c>
      <c r="D18" s="7" t="n"/>
      <c r="E18" s="7" t="n"/>
      <c r="F18" s="7" t="n"/>
      <c r="G18" s="2">
        <f>IFERROR(AVERAGE(D18:F18),"")</f>
        <v/>
      </c>
      <c r="H18" s="2">
        <f>IFERROR(G18-C18,"")</f>
        <v/>
      </c>
      <c r="J18" s="2" t="n">
        <v>1</v>
      </c>
      <c r="K18" s="2" t="n">
        <v>2</v>
      </c>
      <c r="L18" s="2" t="n">
        <v>3</v>
      </c>
      <c r="M18" s="2" t="n">
        <v>4</v>
      </c>
      <c r="N18" s="2" t="n">
        <v>5</v>
      </c>
      <c r="O18" s="2" t="n">
        <v>6</v>
      </c>
    </row>
    <row r="19">
      <c r="A19" s="2" t="inlineStr">
        <is>
          <t>Infrastructure &amp; Cloud</t>
        </is>
      </c>
      <c r="B19" s="2" t="inlineStr">
        <is>
          <t>Networking &amp; compute foundations</t>
        </is>
      </c>
      <c r="C19" s="2">
        <f>IFERROR(INDEX(J19:O19,MATCH($B$1,$J$3:$O$3,0)),"")</f>
        <v/>
      </c>
      <c r="D19" s="7" t="n"/>
      <c r="E19" s="7" t="n"/>
      <c r="F19" s="7" t="n"/>
      <c r="G19" s="2">
        <f>IFERROR(AVERAGE(D19:F19),"")</f>
        <v/>
      </c>
      <c r="H19" s="2">
        <f>IFERROR(G19-C19,"")</f>
        <v/>
      </c>
      <c r="J19" s="2" t="n">
        <v>1</v>
      </c>
      <c r="K19" s="2" t="n">
        <v>2</v>
      </c>
      <c r="L19" s="2" t="n">
        <v>3</v>
      </c>
      <c r="M19" s="2" t="n">
        <v>4</v>
      </c>
      <c r="N19" s="2" t="n">
        <v>5</v>
      </c>
      <c r="O19" s="2" t="n">
        <v>6</v>
      </c>
    </row>
    <row r="20">
      <c r="A20" s="2" t="inlineStr">
        <is>
          <t>Infrastructure &amp; Cloud</t>
        </is>
      </c>
      <c r="B20" s="2" t="inlineStr">
        <is>
          <t>Infrastructure as code</t>
        </is>
      </c>
      <c r="C20" s="2">
        <f>IFERROR(INDEX(J20:O20,MATCH($B$1,$J$3:$O$3,0)),"")</f>
        <v/>
      </c>
      <c r="D20" s="7" t="n"/>
      <c r="E20" s="7" t="n"/>
      <c r="F20" s="7" t="n"/>
      <c r="G20" s="2">
        <f>IFERROR(AVERAGE(D20:F20),"")</f>
        <v/>
      </c>
      <c r="H20" s="2">
        <f>IFERROR(G20-C20,"")</f>
        <v/>
      </c>
      <c r="J20" s="2" t="n">
        <v>1</v>
      </c>
      <c r="K20" s="2" t="n">
        <v>2</v>
      </c>
      <c r="L20" s="2" t="n">
        <v>3</v>
      </c>
      <c r="M20" s="2" t="n">
        <v>4</v>
      </c>
      <c r="N20" s="2" t="n">
        <v>5</v>
      </c>
      <c r="O20" s="2" t="n">
        <v>6</v>
      </c>
    </row>
    <row r="21">
      <c r="A21" s="2" t="inlineStr">
        <is>
          <t>Infrastructure &amp; Cloud</t>
        </is>
      </c>
      <c r="B21" s="2" t="inlineStr">
        <is>
          <t>Self-service provisioning</t>
        </is>
      </c>
      <c r="C21" s="2">
        <f>IFERROR(INDEX(J21:O21,MATCH($B$1,$J$3:$O$3,0)),"")</f>
        <v/>
      </c>
      <c r="D21" s="7" t="n"/>
      <c r="E21" s="7" t="n"/>
      <c r="F21" s="7" t="n"/>
      <c r="G21" s="2">
        <f>IFERROR(AVERAGE(D21:F21),"")</f>
        <v/>
      </c>
      <c r="H21" s="2">
        <f>IFERROR(G21-C21,"")</f>
        <v/>
      </c>
      <c r="J21" s="2" t="n">
        <v>1</v>
      </c>
      <c r="K21" s="2" t="n">
        <v>2</v>
      </c>
      <c r="L21" s="2" t="n">
        <v>3</v>
      </c>
      <c r="M21" s="2" t="n">
        <v>4</v>
      </c>
      <c r="N21" s="2" t="n">
        <v>5</v>
      </c>
      <c r="O21" s="2" t="n">
        <v>6</v>
      </c>
    </row>
    <row r="22">
      <c r="A22" s="2" t="inlineStr">
        <is>
          <t>Reliability &amp; Operations</t>
        </is>
      </c>
      <c r="B22" s="2" t="inlineStr">
        <is>
          <t>Observability &amp; instrumentation</t>
        </is>
      </c>
      <c r="C22" s="2">
        <f>IFERROR(INDEX(J22:O22,MATCH($B$1,$J$3:$O$3,0)),"")</f>
        <v/>
      </c>
      <c r="D22" s="7" t="n"/>
      <c r="E22" s="7" t="n"/>
      <c r="F22" s="7" t="n"/>
      <c r="G22" s="2">
        <f>IFERROR(AVERAGE(D22:F22),"")</f>
        <v/>
      </c>
      <c r="H22" s="2">
        <f>IFERROR(G22-C22,"")</f>
        <v/>
      </c>
      <c r="J22" s="2" t="n">
        <v>1</v>
      </c>
      <c r="K22" s="2" t="n">
        <v>2</v>
      </c>
      <c r="L22" s="2" t="n">
        <v>3</v>
      </c>
      <c r="M22" s="2" t="n">
        <v>4</v>
      </c>
      <c r="N22" s="2" t="n">
        <v>5</v>
      </c>
      <c r="O22" s="2" t="n">
        <v>6</v>
      </c>
    </row>
    <row r="23">
      <c r="A23" s="2" t="inlineStr">
        <is>
          <t>Reliability &amp; Operations</t>
        </is>
      </c>
      <c r="B23" s="2" t="inlineStr">
        <is>
          <t>SLOs &amp; error budgets</t>
        </is>
      </c>
      <c r="C23" s="2">
        <f>IFERROR(INDEX(J23:O23,MATCH($B$1,$J$3:$O$3,0)),"")</f>
        <v/>
      </c>
      <c r="D23" s="7" t="n"/>
      <c r="E23" s="7" t="n"/>
      <c r="F23" s="7" t="n"/>
      <c r="G23" s="2">
        <f>IFERROR(AVERAGE(D23:F23),"")</f>
        <v/>
      </c>
      <c r="H23" s="2">
        <f>IFERROR(G23-C23,"")</f>
        <v/>
      </c>
      <c r="J23" s="2" t="n">
        <v>1</v>
      </c>
      <c r="K23" s="2" t="n">
        <v>2</v>
      </c>
      <c r="L23" s="2" t="n">
        <v>3</v>
      </c>
      <c r="M23" s="2" t="n">
        <v>4</v>
      </c>
      <c r="N23" s="2" t="n">
        <v>5</v>
      </c>
      <c r="O23" s="2" t="n">
        <v>6</v>
      </c>
    </row>
    <row r="24">
      <c r="A24" s="2" t="inlineStr">
        <is>
          <t>Reliability &amp; Operations</t>
        </is>
      </c>
      <c r="B24" s="2" t="inlineStr">
        <is>
          <t>Incident response</t>
        </is>
      </c>
      <c r="C24" s="2">
        <f>IFERROR(INDEX(J24:O24,MATCH($B$1,$J$3:$O$3,0)),"")</f>
        <v/>
      </c>
      <c r="D24" s="7" t="n"/>
      <c r="E24" s="7" t="n"/>
      <c r="F24" s="7" t="n"/>
      <c r="G24" s="2">
        <f>IFERROR(AVERAGE(D24:F24),"")</f>
        <v/>
      </c>
      <c r="H24" s="2">
        <f>IFERROR(G24-C24,"")</f>
        <v/>
      </c>
      <c r="J24" s="2" t="n">
        <v>1</v>
      </c>
      <c r="K24" s="2" t="n">
        <v>2</v>
      </c>
      <c r="L24" s="2" t="n">
        <v>3</v>
      </c>
      <c r="M24" s="2" t="n">
        <v>4</v>
      </c>
      <c r="N24" s="2" t="n">
        <v>5</v>
      </c>
      <c r="O24" s="2" t="n">
        <v>6</v>
      </c>
    </row>
    <row r="25">
      <c r="A25" s="2" t="inlineStr">
        <is>
          <t>Reliability &amp; Operations</t>
        </is>
      </c>
      <c r="B25" s="2" t="inlineStr">
        <is>
          <t>Learning from incidents</t>
        </is>
      </c>
      <c r="C25" s="2">
        <f>IFERROR(INDEX(J25:O25,MATCH($B$1,$J$3:$O$3,0)),"")</f>
        <v/>
      </c>
      <c r="D25" s="7" t="n"/>
      <c r="E25" s="7" t="n"/>
      <c r="F25" s="7" t="n"/>
      <c r="G25" s="2">
        <f>IFERROR(AVERAGE(D25:F25),"")</f>
        <v/>
      </c>
      <c r="H25" s="2">
        <f>IFERROR(G25-C25,"")</f>
        <v/>
      </c>
      <c r="J25" s="2" t="n">
        <v>1</v>
      </c>
      <c r="K25" s="2" t="n">
        <v>2</v>
      </c>
      <c r="L25" s="2" t="n">
        <v>3</v>
      </c>
      <c r="M25" s="2" t="n">
        <v>4</v>
      </c>
      <c r="N25" s="2" t="n">
        <v>5</v>
      </c>
      <c r="O25" s="2" t="n">
        <v>6</v>
      </c>
    </row>
    <row r="26">
      <c r="A26" s="2" t="inlineStr">
        <is>
          <t>Reliability &amp; Operations</t>
        </is>
      </c>
      <c r="B26" s="2" t="inlineStr">
        <is>
          <t>Capacity, performance &amp; cost</t>
        </is>
      </c>
      <c r="C26" s="2">
        <f>IFERROR(INDEX(J26:O26,MATCH($B$1,$J$3:$O$3,0)),"")</f>
        <v/>
      </c>
      <c r="D26" s="7" t="n"/>
      <c r="E26" s="7" t="n"/>
      <c r="F26" s="7" t="n"/>
      <c r="G26" s="2">
        <f>IFERROR(AVERAGE(D26:F26),"")</f>
        <v/>
      </c>
      <c r="H26" s="2">
        <f>IFERROR(G26-C26,"")</f>
        <v/>
      </c>
      <c r="J26" s="2" t="n">
        <v>1</v>
      </c>
      <c r="K26" s="2" t="n">
        <v>2</v>
      </c>
      <c r="L26" s="2" t="n">
        <v>3</v>
      </c>
      <c r="M26" s="2" t="n">
        <v>4</v>
      </c>
      <c r="N26" s="2" t="n">
        <v>5</v>
      </c>
      <c r="O26" s="2" t="n">
        <v>6</v>
      </c>
    </row>
    <row r="27">
      <c r="A27" s="2" t="inlineStr">
        <is>
          <t>Reliability &amp; Operations</t>
        </is>
      </c>
      <c r="B27" s="2" t="inlineStr">
        <is>
          <t>Toil reduction &amp; automation</t>
        </is>
      </c>
      <c r="C27" s="2">
        <f>IFERROR(INDEX(J27:O27,MATCH($B$1,$J$3:$O$3,0)),"")</f>
        <v/>
      </c>
      <c r="D27" s="7" t="n"/>
      <c r="E27" s="7" t="n"/>
      <c r="F27" s="7" t="n"/>
      <c r="G27" s="2">
        <f>IFERROR(AVERAGE(D27:F27),"")</f>
        <v/>
      </c>
      <c r="H27" s="2">
        <f>IFERROR(G27-C27,"")</f>
        <v/>
      </c>
      <c r="J27" s="2" t="n">
        <v>1</v>
      </c>
      <c r="K27" s="2" t="n">
        <v>2</v>
      </c>
      <c r="L27" s="2" t="n">
        <v>3</v>
      </c>
      <c r="M27" s="2" t="n">
        <v>4</v>
      </c>
      <c r="N27" s="2" t="n">
        <v>5</v>
      </c>
      <c r="O27" s="2" t="n">
        <v>6</v>
      </c>
    </row>
    <row r="28">
      <c r="A28" s="2" t="inlineStr">
        <is>
          <t>Security &amp; Compliance</t>
        </is>
      </c>
      <c r="B28" s="2" t="inlineStr">
        <is>
          <t>Guardrails &amp; policy as code</t>
        </is>
      </c>
      <c r="C28" s="2">
        <f>IFERROR(INDEX(J28:O28,MATCH($B$1,$J$3:$O$3,0)),"")</f>
        <v/>
      </c>
      <c r="D28" s="7" t="n"/>
      <c r="E28" s="7" t="n"/>
      <c r="F28" s="7" t="n"/>
      <c r="G28" s="2">
        <f>IFERROR(AVERAGE(D28:F28),"")</f>
        <v/>
      </c>
      <c r="H28" s="2">
        <f>IFERROR(G28-C28,"")</f>
        <v/>
      </c>
      <c r="J28" s="2" t="n">
        <v>1</v>
      </c>
      <c r="K28" s="2" t="n">
        <v>2</v>
      </c>
      <c r="L28" s="2" t="n">
        <v>3</v>
      </c>
      <c r="M28" s="2" t="n">
        <v>4</v>
      </c>
      <c r="N28" s="2" t="n">
        <v>5</v>
      </c>
      <c r="O28" s="2" t="n">
        <v>6</v>
      </c>
    </row>
    <row r="29">
      <c r="A29" s="2" t="inlineStr">
        <is>
          <t>Security &amp; Compliance</t>
        </is>
      </c>
      <c r="B29" s="2" t="inlineStr">
        <is>
          <t>Identity, secrets &amp; access</t>
        </is>
      </c>
      <c r="C29" s="2">
        <f>IFERROR(INDEX(J29:O29,MATCH($B$1,$J$3:$O$3,0)),"")</f>
        <v/>
      </c>
      <c r="D29" s="7" t="n"/>
      <c r="E29" s="7" t="n"/>
      <c r="F29" s="7" t="n"/>
      <c r="G29" s="2">
        <f>IFERROR(AVERAGE(D29:F29),"")</f>
        <v/>
      </c>
      <c r="H29" s="2">
        <f>IFERROR(G29-C29,"")</f>
        <v/>
      </c>
      <c r="J29" s="2" t="n">
        <v>1</v>
      </c>
      <c r="K29" s="2" t="n">
        <v>2</v>
      </c>
      <c r="L29" s="2" t="n">
        <v>3</v>
      </c>
      <c r="M29" s="2" t="n">
        <v>4</v>
      </c>
      <c r="N29" s="2" t="n">
        <v>5</v>
      </c>
      <c r="O29" s="2" t="n">
        <v>6</v>
      </c>
    </row>
    <row r="30">
      <c r="A30" s="2" t="inlineStr">
        <is>
          <t>Security &amp; Compliance</t>
        </is>
      </c>
      <c r="B30" s="2" t="inlineStr">
        <is>
          <t>Software supply chain security</t>
        </is>
      </c>
      <c r="C30" s="2">
        <f>IFERROR(INDEX(J30:O30,MATCH($B$1,$J$3:$O$3,0)),"")</f>
        <v/>
      </c>
      <c r="D30" s="7" t="n"/>
      <c r="E30" s="7" t="n"/>
      <c r="F30" s="7" t="n"/>
      <c r="G30" s="2">
        <f>IFERROR(AVERAGE(D30:F30),"")</f>
        <v/>
      </c>
      <c r="H30" s="2">
        <f>IFERROR(G30-C30,"")</f>
        <v/>
      </c>
      <c r="J30" s="2" t="n">
        <v>1</v>
      </c>
      <c r="K30" s="2" t="n">
        <v>2</v>
      </c>
      <c r="L30" s="2" t="n">
        <v>3</v>
      </c>
      <c r="M30" s="2" t="n">
        <v>4</v>
      </c>
      <c r="N30" s="2" t="n">
        <v>5</v>
      </c>
      <c r="O30" s="2" t="n">
        <v>6</v>
      </c>
    </row>
    <row r="31">
      <c r="A31" s="2" t="inlineStr">
        <is>
          <t>Security &amp; Compliance</t>
        </is>
      </c>
      <c r="B31" s="2" t="inlineStr">
        <is>
          <t>Compliance &amp; audit readiness</t>
        </is>
      </c>
      <c r="C31" s="2">
        <f>IFERROR(INDEX(J31:O31,MATCH($B$1,$J$3:$O$3,0)),"")</f>
        <v/>
      </c>
      <c r="D31" s="7" t="n"/>
      <c r="E31" s="7" t="n"/>
      <c r="F31" s="7" t="n"/>
      <c r="G31" s="2">
        <f>IFERROR(AVERAGE(D31:F31),"")</f>
        <v/>
      </c>
      <c r="H31" s="2">
        <f>IFERROR(G31-C31,"")</f>
        <v/>
      </c>
      <c r="J31" s="2" t="n">
        <v>1</v>
      </c>
      <c r="K31" s="2" t="n">
        <v>2</v>
      </c>
      <c r="L31" s="2" t="n">
        <v>3</v>
      </c>
      <c r="M31" s="2" t="n">
        <v>4</v>
      </c>
      <c r="N31" s="2" t="n">
        <v>5</v>
      </c>
      <c r="O31" s="2" t="n">
        <v>6</v>
      </c>
    </row>
    <row r="32">
      <c r="A32" s="2" t="inlineStr">
        <is>
          <t>Communication &amp; Collaboration</t>
        </is>
      </c>
      <c r="B32" s="2" t="inlineStr">
        <is>
          <t>Technical documentation</t>
        </is>
      </c>
      <c r="C32" s="2">
        <f>IFERROR(INDEX(J32:O32,MATCH($B$1,$J$3:$O$3,0)),"")</f>
        <v/>
      </c>
      <c r="D32" s="7" t="n"/>
      <c r="E32" s="7" t="n"/>
      <c r="F32" s="7" t="n"/>
      <c r="G32" s="2">
        <f>IFERROR(AVERAGE(D32:F32),"")</f>
        <v/>
      </c>
      <c r="H32" s="2">
        <f>IFERROR(G32-C32,"")</f>
        <v/>
      </c>
      <c r="J32" s="2" t="n">
        <v>1</v>
      </c>
      <c r="K32" s="2" t="n">
        <v>2</v>
      </c>
      <c r="L32" s="2" t="n">
        <v>3</v>
      </c>
      <c r="M32" s="2" t="n">
        <v>4</v>
      </c>
      <c r="N32" s="2" t="n">
        <v>5</v>
      </c>
      <c r="O32" s="2" t="n">
        <v>6</v>
      </c>
    </row>
    <row r="33">
      <c r="A33" s="2" t="inlineStr">
        <is>
          <t>Communication &amp; Collaboration</t>
        </is>
      </c>
      <c r="B33" s="2" t="inlineStr">
        <is>
          <t>Design communication &amp; decision records</t>
        </is>
      </c>
      <c r="C33" s="2">
        <f>IFERROR(INDEX(J33:O33,MATCH($B$1,$J$3:$O$3,0)),"")</f>
        <v/>
      </c>
      <c r="D33" s="7" t="n"/>
      <c r="E33" s="7" t="n"/>
      <c r="F33" s="7" t="n"/>
      <c r="G33" s="2">
        <f>IFERROR(AVERAGE(D33:F33),"")</f>
        <v/>
      </c>
      <c r="H33" s="2">
        <f>IFERROR(G33-C33,"")</f>
        <v/>
      </c>
      <c r="J33" s="2" t="n">
        <v>1</v>
      </c>
      <c r="K33" s="2" t="n">
        <v>2</v>
      </c>
      <c r="L33" s="2" t="n">
        <v>3</v>
      </c>
      <c r="M33" s="2" t="n">
        <v>4</v>
      </c>
      <c r="N33" s="2" t="n">
        <v>5</v>
      </c>
      <c r="O33" s="2" t="n">
        <v>6</v>
      </c>
    </row>
    <row r="34">
      <c r="A34" s="2" t="inlineStr">
        <is>
          <t>Communication &amp; Collaboration</t>
        </is>
      </c>
      <c r="B34" s="2" t="inlineStr">
        <is>
          <t>Platform advocacy &amp; enablement</t>
        </is>
      </c>
      <c r="C34" s="2">
        <f>IFERROR(INDEX(J34:O34,MATCH($B$1,$J$3:$O$3,0)),"")</f>
        <v/>
      </c>
      <c r="D34" s="7" t="n"/>
      <c r="E34" s="7" t="n"/>
      <c r="F34" s="7" t="n"/>
      <c r="G34" s="2">
        <f>IFERROR(AVERAGE(D34:F34),"")</f>
        <v/>
      </c>
      <c r="H34" s="2">
        <f>IFERROR(G34-C34,"")</f>
        <v/>
      </c>
      <c r="J34" s="2" t="n">
        <v>1</v>
      </c>
      <c r="K34" s="2" t="n">
        <v>2</v>
      </c>
      <c r="L34" s="2" t="n">
        <v>3</v>
      </c>
      <c r="M34" s="2" t="n">
        <v>4</v>
      </c>
      <c r="N34" s="2" t="n">
        <v>5</v>
      </c>
      <c r="O34" s="2" t="n">
        <v>6</v>
      </c>
    </row>
    <row r="35">
      <c r="A35" s="2" t="inlineStr">
        <is>
          <t>Communication &amp; Collaboration</t>
        </is>
      </c>
      <c r="B35" s="2" t="inlineStr">
        <is>
          <t>Stakeholder management</t>
        </is>
      </c>
      <c r="C35" s="2">
        <f>IFERROR(INDEX(J35:O35,MATCH($B$1,$J$3:$O$3,0)),"")</f>
        <v/>
      </c>
      <c r="D35" s="7" t="n"/>
      <c r="E35" s="7" t="n"/>
      <c r="F35" s="7" t="n"/>
      <c r="G35" s="2">
        <f>IFERROR(AVERAGE(D35:F35),"")</f>
        <v/>
      </c>
      <c r="H35" s="2">
        <f>IFERROR(G35-C35,"")</f>
        <v/>
      </c>
      <c r="J35" s="2" t="n">
        <v>1</v>
      </c>
      <c r="K35" s="2" t="n">
        <v>2</v>
      </c>
      <c r="L35" s="2" t="n">
        <v>3</v>
      </c>
      <c r="M35" s="2" t="n">
        <v>4</v>
      </c>
      <c r="N35" s="2" t="n">
        <v>5</v>
      </c>
      <c r="O35" s="2" t="n">
        <v>6</v>
      </c>
    </row>
    <row r="36">
      <c r="A36" s="2" t="inlineStr">
        <is>
          <t>Communication &amp; Collaboration</t>
        </is>
      </c>
      <c r="B36" s="2" t="inlineStr">
        <is>
          <t>Cross-team collaboration</t>
        </is>
      </c>
      <c r="C36" s="2">
        <f>IFERROR(INDEX(J36:O36,MATCH($B$1,$J$3:$O$3,0)),"")</f>
        <v/>
      </c>
      <c r="D36" s="7" t="n"/>
      <c r="E36" s="7" t="n"/>
      <c r="F36" s="7" t="n"/>
      <c r="G36" s="2">
        <f>IFERROR(AVERAGE(D36:F36),"")</f>
        <v/>
      </c>
      <c r="H36" s="2">
        <f>IFERROR(G36-C36,"")</f>
        <v/>
      </c>
      <c r="J36" s="2" t="n">
        <v>1</v>
      </c>
      <c r="K36" s="2" t="n">
        <v>2</v>
      </c>
      <c r="L36" s="2" t="n">
        <v>3</v>
      </c>
      <c r="M36" s="2" t="n">
        <v>4</v>
      </c>
      <c r="N36" s="2" t="n">
        <v>5</v>
      </c>
      <c r="O36" s="2" t="n">
        <v>6</v>
      </c>
    </row>
    <row r="37">
      <c r="A37" s="2" t="inlineStr">
        <is>
          <t>Execution &amp; Leadership</t>
        </is>
      </c>
      <c r="B37" s="2" t="inlineStr">
        <is>
          <t>Planning &amp; estimation</t>
        </is>
      </c>
      <c r="C37" s="2">
        <f>IFERROR(INDEX(J37:O37,MATCH($B$1,$J$3:$O$3,0)),"")</f>
        <v/>
      </c>
      <c r="D37" s="7" t="n"/>
      <c r="E37" s="7" t="n"/>
      <c r="F37" s="7" t="n"/>
      <c r="G37" s="2">
        <f>IFERROR(AVERAGE(D37:F37),"")</f>
        <v/>
      </c>
      <c r="H37" s="2">
        <f>IFERROR(G37-C37,"")</f>
        <v/>
      </c>
      <c r="J37" s="2" t="n">
        <v>1</v>
      </c>
      <c r="K37" s="2" t="n">
        <v>2</v>
      </c>
      <c r="L37" s="2" t="n">
        <v>3</v>
      </c>
      <c r="M37" s="2" t="n">
        <v>4</v>
      </c>
      <c r="N37" s="2" t="n">
        <v>5</v>
      </c>
      <c r="O37" s="2" t="n">
        <v>6</v>
      </c>
    </row>
    <row r="38">
      <c r="A38" s="2" t="inlineStr">
        <is>
          <t>Execution &amp; Leadership</t>
        </is>
      </c>
      <c r="B38" s="2" t="inlineStr">
        <is>
          <t>Prioritization &amp; trade-off judgment</t>
        </is>
      </c>
      <c r="C38" s="2">
        <f>IFERROR(INDEX(J38:O38,MATCH($B$1,$J$3:$O$3,0)),"")</f>
        <v/>
      </c>
      <c r="D38" s="7" t="n"/>
      <c r="E38" s="7" t="n"/>
      <c r="F38" s="7" t="n"/>
      <c r="G38" s="2">
        <f>IFERROR(AVERAGE(D38:F38),"")</f>
        <v/>
      </c>
      <c r="H38" s="2">
        <f>IFERROR(G38-C38,"")</f>
        <v/>
      </c>
      <c r="J38" s="2" t="n">
        <v>1</v>
      </c>
      <c r="K38" s="2" t="n">
        <v>2</v>
      </c>
      <c r="L38" s="2" t="n">
        <v>3</v>
      </c>
      <c r="M38" s="2" t="n">
        <v>4</v>
      </c>
      <c r="N38" s="2" t="n">
        <v>5</v>
      </c>
      <c r="O38" s="2" t="n">
        <v>6</v>
      </c>
    </row>
    <row r="39">
      <c r="A39" s="2" t="inlineStr">
        <is>
          <t>Execution &amp; Leadership</t>
        </is>
      </c>
      <c r="B39" s="2" t="inlineStr">
        <is>
          <t>Mentorship &amp; knowledge sharing</t>
        </is>
      </c>
      <c r="C39" s="2">
        <f>IFERROR(INDEX(J39:O39,MATCH($B$1,$J$3:$O$3,0)),"")</f>
        <v/>
      </c>
      <c r="D39" s="7" t="n"/>
      <c r="E39" s="7" t="n"/>
      <c r="F39" s="7" t="n"/>
      <c r="G39" s="2">
        <f>IFERROR(AVERAGE(D39:F39),"")</f>
        <v/>
      </c>
      <c r="H39" s="2">
        <f>IFERROR(G39-C39,"")</f>
        <v/>
      </c>
      <c r="J39" s="2" t="n">
        <v>1</v>
      </c>
      <c r="K39" s="2" t="n">
        <v>2</v>
      </c>
      <c r="L39" s="2" t="n">
        <v>3</v>
      </c>
      <c r="M39" s="2" t="n">
        <v>4</v>
      </c>
      <c r="N39" s="2" t="n">
        <v>5</v>
      </c>
      <c r="O39" s="2" t="n">
        <v>6</v>
      </c>
    </row>
    <row r="40">
      <c r="A40" s="2" t="inlineStr">
        <is>
          <t>Execution &amp; Leadership</t>
        </is>
      </c>
      <c r="B40" s="2" t="inlineStr">
        <is>
          <t>Technical direction &amp; influence</t>
        </is>
      </c>
      <c r="C40" s="2">
        <f>IFERROR(INDEX(J40:O40,MATCH($B$1,$J$3:$O$3,0)),"")</f>
        <v/>
      </c>
      <c r="D40" s="7" t="n"/>
      <c r="E40" s="7" t="n"/>
      <c r="F40" s="7" t="n"/>
      <c r="G40" s="2">
        <f>IFERROR(AVERAGE(D40:F40),"")</f>
        <v/>
      </c>
      <c r="H40" s="2">
        <f>IFERROR(G40-C40,"")</f>
        <v/>
      </c>
      <c r="J40" s="2" t="n">
        <v>1</v>
      </c>
      <c r="K40" s="2" t="n">
        <v>2</v>
      </c>
      <c r="L40" s="2" t="n">
        <v>3</v>
      </c>
      <c r="M40" s="2" t="n">
        <v>4</v>
      </c>
      <c r="N40" s="2" t="n">
        <v>5</v>
      </c>
      <c r="O40" s="2"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8"/>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40" customWidth="1" min="3" max="3"/>
    <col width="45" customWidth="1" min="4" max="4"/>
  </cols>
  <sheetData>
    <row r="1">
      <c r="A1" s="1" t="inlineStr">
        <is>
          <t>Framework</t>
        </is>
      </c>
      <c r="B1" s="1" t="inlineStr">
        <is>
          <t>Source</t>
        </is>
      </c>
      <c r="C1" s="1" t="inlineStr">
        <is>
          <t>Grounds</t>
        </is>
      </c>
      <c r="D1" s="1" t="inlineStr">
        <is>
          <t>Link</t>
        </is>
      </c>
    </row>
    <row r="2">
      <c r="A2" s="4" t="inlineStr">
        <is>
          <t>Feedback loops, cognitive load, flow state as the measurable drivers of developer productivity</t>
        </is>
      </c>
      <c r="B2" s="4" t="inlineStr">
        <is>
          <t>Noda, Storey, Forsgren &amp; Greiler, DevEx: What Actually Drives Productivity, ACM Queue 21(2) (2023)</t>
        </is>
      </c>
      <c r="C2" s="4" t="inlineStr">
        <is>
          <t>Internal user research</t>
        </is>
      </c>
      <c r="D2" s="4" t="inlineStr">
        <is>
          <t>https://queue.acm.org/detail.cfm?id=3595878</t>
        </is>
      </c>
    </row>
    <row r="3">
      <c r="A3" s="4" t="inlineStr">
        <is>
          <t>Empirical linkage between deployment/release engineering maturity and organizational performance</t>
        </is>
      </c>
      <c r="B3" s="4" t="inlineStr">
        <is>
          <t>Forsgren, Humble &amp; Kim, Accelerate: The Science of Lean Software and DevOps (IT Revolution Press, 2018)</t>
        </is>
      </c>
      <c r="C3" s="4" t="inlineStr">
        <is>
          <t>Adoption &amp; success metrics</t>
        </is>
      </c>
      <c r="D3" s="4" t="inlineStr">
        <is>
          <t>https://itrevolution.com/product/accelerate/</t>
        </is>
      </c>
    </row>
    <row r="4">
      <c r="A4" s="4" t="inlineStr">
        <is>
          <t>Team boundaries; org-level team formation patterns</t>
        </is>
      </c>
      <c r="B4" s="4" t="inlineStr">
        <is>
          <t>Skelton &amp; Pais, Team Topologies (IT Revolution, 2019)</t>
        </is>
      </c>
      <c r="C4" s="4" t="inlineStr">
        <is>
          <t>Thinnest viable platform</t>
        </is>
      </c>
      <c r="D4" s="4" t="inlineStr"/>
    </row>
    <row r="5">
      <c r="A5" s="4" t="inlineStr">
        <is>
          <t>Org-level product strategy vs. output-shipping; grounds strategic/commercial leveling</t>
        </is>
      </c>
      <c r="B5" s="4" t="inlineStr">
        <is>
          <t>Perri, Escaping the Build Trap: How Effective Product Management Creates Real Value (O'Reilly, 2018)</t>
        </is>
      </c>
      <c r="C5" s="4" t="inlineStr">
        <is>
          <t>Platform roadmap &amp; prioritization</t>
        </is>
      </c>
      <c r="D5" s="4" t="inlineStr">
        <is>
          <t>https://www.oreilly.com/library/view/escaping-the-build/9781491973783/</t>
        </is>
      </c>
    </row>
    <row r="6">
      <c r="A6" s="4" t="inlineStr">
        <is>
          <t>Origin of the golden-path/paved-road pattern for internal platforms</t>
        </is>
      </c>
      <c r="B6" s="4" t="inlineStr">
        <is>
          <t>Spotify Engineering, How We Use Golden Paths to Solve Fragmentation in Our Software Ecosystem (Spotify Engineering Blog, 2020)</t>
        </is>
      </c>
      <c r="C6" s="4" t="inlineStr">
        <is>
          <t>Golden paths &amp; paved roads</t>
        </is>
      </c>
      <c r="D6" s="4" t="inlineStr">
        <is>
          <t>https://engineering.atspotify.com/2020/08/how-we-use-golden-paths-to-solve-fragmentation-in-our-software-ecosystem/</t>
        </is>
      </c>
    </row>
    <row r="7">
      <c r="A7" s="4" t="inlineStr">
        <is>
          <t>Foundational cognitive load theory; extraneous vs. intrinsic load -- DOI 403s to automated clients (Wiley) but title/journal/vol/pages confirmed by WebSearch</t>
        </is>
      </c>
      <c r="B7" s="4" t="inlineStr">
        <is>
          <t>Sweller, Cognitive Load During Problem Solving: Effects on Learning, Cognitive Science 12(2), 257-285 (1988)</t>
        </is>
      </c>
      <c r="C7" s="4" t="inlineStr">
        <is>
          <t>Cognitive load reduction</t>
        </is>
      </c>
      <c r="D7" s="4" t="inlineStr">
        <is>
          <t>https://doi.org/10.1207/s15516709cog1202_4</t>
        </is>
      </c>
    </row>
    <row r="8">
      <c r="A8" s="4" t="inlineStr">
        <is>
          <t>Conway's Law: system design mirrors the communication structure of the organization that builds it</t>
        </is>
      </c>
      <c r="B8" s="4" t="inlineStr">
        <is>
          <t>Conway, How Do Committees Invent?, Datamation 14(4), 28-31 (1968)</t>
        </is>
      </c>
      <c r="C8" s="4" t="inlineStr">
        <is>
          <t>Platform system design</t>
        </is>
      </c>
      <c r="D8" s="4" t="inlineStr">
        <is>
          <t>https://www.melconway.com/Home/Committees_Paper.html</t>
        </is>
      </c>
    </row>
    <row r="9">
      <c r="A9" s="4" t="inlineStr">
        <is>
          <t>Distinguishes programming from org-scale software engineering; anchors org-wide standard-setting levels</t>
        </is>
      </c>
      <c r="B9" s="4" t="inlineStr">
        <is>
          <t>Winters, Manshreck &amp; Wright, Software Engineering at Google: Lessons Learned from Programming Over Time (O'Reilly, 2020)</t>
        </is>
      </c>
      <c r="C9" s="4" t="inlineStr">
        <is>
          <t>API &amp; interface design</t>
        </is>
      </c>
      <c r="D9" s="4" t="inlineStr">
        <is>
          <t>https://abseil.io/resources/swe-book</t>
        </is>
      </c>
    </row>
    <row r="10">
      <c r="A10" s="4" t="inlineStr">
        <is>
          <t>Refactoring discipline; anchors maintainability leveling</t>
        </is>
      </c>
      <c r="B10" s="4" t="inlineStr">
        <is>
          <t>Fowler, Refactoring: Improving the Design of Existing Code, 2nd Edition (Addison-Wesley, 2018)</t>
        </is>
      </c>
      <c r="C10" s="4" t="inlineStr">
        <is>
          <t>Coding &amp; implementation</t>
        </is>
      </c>
      <c r="D10" s="4" t="inlineStr">
        <is>
          <t>https://martinfowler.com/books/refactoring.html</t>
        </is>
      </c>
    </row>
    <row r="11">
      <c r="A11" s="4" t="inlineStr">
        <is>
          <t>Published company code-review standard; anchors review-feedback and review-culture leveling</t>
        </is>
      </c>
      <c r="B11" s="4" t="inlineStr">
        <is>
          <t>Google, Engineering Practices Documentation: How to Do a Code Review (accessed 2026-07)</t>
        </is>
      </c>
      <c r="C11" s="4" t="inlineStr">
        <is>
          <t>Code review</t>
        </is>
      </c>
      <c r="D11" s="4" t="inlineStr">
        <is>
          <t>https://google.github.io/eng-practices/review/</t>
        </is>
      </c>
    </row>
    <row r="12">
      <c r="A12" s="4" t="inlineStr">
        <is>
          <t>Origin of the test automation pyramid; verified by web search, no stable canonical URL for a direct citation</t>
        </is>
      </c>
      <c r="B12" s="4" t="inlineStr">
        <is>
          <t>Cohn, Succeeding with Agile: Software Development Using Scrum (Addison-Wesley, 2009)</t>
        </is>
      </c>
      <c r="C12" s="4" t="inlineStr">
        <is>
          <t>Testing &amp; verification</t>
        </is>
      </c>
      <c r="D12" s="4" t="inlineStr"/>
    </row>
    <row r="13">
      <c r="A13" s="4" t="inlineStr">
        <is>
          <t>Deployment pipeline environment-parity and release-automation discipline</t>
        </is>
      </c>
      <c r="B13" s="4" t="inlineStr">
        <is>
          <t>Humble &amp; Farley, Continuous Delivery: Reliable Software Releases through Build Test and Deployment Automation (Addison-Wesley, 2010)</t>
        </is>
      </c>
      <c r="C13" s="4" t="inlineStr">
        <is>
          <t>Delivery automation &amp; CI/CD</t>
        </is>
      </c>
      <c r="D13" s="4" t="inlineStr">
        <is>
          <t>https://continuousdelivery.com/</t>
        </is>
      </c>
    </row>
    <row r="14">
      <c r="A14" s="4" t="inlineStr">
        <is>
          <t>Six pillars (operational excellence, security, reliability, performance efficiency, cost optimization, sustainability) for cloud architecture maturity</t>
        </is>
      </c>
      <c r="B14" s="4" t="inlineStr">
        <is>
          <t>Amazon Web Services, AWS Well-Architected Framework (AWS, accessed 2026-07)</t>
        </is>
      </c>
      <c r="C14" s="4" t="inlineStr">
        <is>
          <t>Cloud architecture</t>
        </is>
      </c>
      <c r="D14" s="4" t="inlineStr">
        <is>
          <t>https://docs.aws.amazon.com/wellarchitected/latest/framework/welcome.html</t>
        </is>
      </c>
    </row>
    <row r="15">
      <c r="A15" s="4" t="inlineStr">
        <is>
          <t>Written by Kubernetes co-founders; scheduling affinity resource policy and cluster topology patterns</t>
        </is>
      </c>
      <c r="B15" s="4" t="inlineStr">
        <is>
          <t>Burns, Beda, Hightower &amp; Evenson, Kubernetes: Up and Running, 3rd Edition (O'Reilly, 2022)</t>
        </is>
      </c>
      <c r="C15" s="4" t="inlineStr">
        <is>
          <t>Container orchestration &amp; runtime</t>
        </is>
      </c>
      <c r="D15" s="4" t="inlineStr">
        <is>
          <t>https://www.oreilly.com/library/view/kubernetes-up-and/9781098110192/</t>
        </is>
      </c>
    </row>
    <row r="16">
      <c r="A16" s="4" t="inlineStr">
        <is>
          <t>Layered networking</t>
        </is>
      </c>
      <c r="B16" s="4" t="inlineStr">
        <is>
          <t>Kurose &amp; Ross, Computer Networking: A Top-Down Approach, 8th ed. (Pearson, 2020)</t>
        </is>
      </c>
      <c r="C16" s="4" t="inlineStr">
        <is>
          <t>Networking &amp; compute foundations</t>
        </is>
      </c>
      <c r="D16" s="4" t="inlineStr">
        <is>
          <t>https://www.pearson.com/en-us/subject-catalog/p/computer-networking/P200000003334/9780135928615</t>
        </is>
      </c>
    </row>
    <row r="17">
      <c r="A17" s="4" t="inlineStr">
        <is>
          <t>Declarative provisioning module design state management and idempotent infrastructure patterns</t>
        </is>
      </c>
      <c r="B17" s="4" t="inlineStr">
        <is>
          <t>Morris, Infrastructure as Code: Dynamic Systems for the Cloud Age, 2nd Edition (O'Reilly, 2021)</t>
        </is>
      </c>
      <c r="C17" s="4" t="inlineStr">
        <is>
          <t>Infrastructure as code</t>
        </is>
      </c>
      <c r="D17" s="4" t="inlineStr">
        <is>
          <t>https://www.oreilly.com/library/view/infrastructure-as-code/9781098114664/</t>
        </is>
      </c>
    </row>
    <row r="18">
      <c r="A18" s="4" t="inlineStr">
        <is>
          <t>Thinnest-viable-platform framing; a platform's job is to cut cognitive load through self-service interfaces</t>
        </is>
      </c>
      <c r="B18" s="4" t="inlineStr">
        <is>
          <t>Bottcher, What I Talk About When I Talk About Platforms (martinfowler.com, 2018)</t>
        </is>
      </c>
      <c r="C18" s="4" t="inlineStr">
        <is>
          <t>Self-service provisioning</t>
        </is>
      </c>
      <c r="D18" s="4" t="inlineStr">
        <is>
          <t>https://martinfowler.com/articles/talk-about-platforms.html</t>
        </is>
      </c>
    </row>
    <row r="19">
      <c r="A19" s="4" t="inlineStr">
        <is>
          <t>High-cardinality, high-dimensionality telemetry vs. traditional monitoring</t>
        </is>
      </c>
      <c r="B19" s="4" t="inlineStr">
        <is>
          <t>Majors, Fong-Jones &amp; Miranda, Observability Engineering: Achieving Production Excellence (O'Reilly, 2022)</t>
        </is>
      </c>
      <c r="C19" s="4" t="inlineStr">
        <is>
          <t>Observability &amp; instrumentation</t>
        </is>
      </c>
      <c r="D19" s="4" t="inlineStr">
        <is>
          <t>https://www.oreilly.com/library/view/observability-engineering/9781492076438/</t>
        </is>
      </c>
    </row>
    <row r="20">
      <c r="A20" s="4" t="inlineStr">
        <is>
          <t>Google's published postmortem/root-cause and diagnostic-tooling practice; anchors debugging leveling</t>
        </is>
      </c>
      <c r="B20" s="4" t="inlineStr">
        <is>
          <t>Beyer, Jones, Petoff &amp; Murphy (eds.), Site Reliability Engineering: How Google Runs Production Systems (O'Reilly/Google, 2016)</t>
        </is>
      </c>
      <c r="C20" s="4" t="inlineStr">
        <is>
          <t>SLOs &amp; error budgets</t>
        </is>
      </c>
      <c r="D20" s="4" t="inlineStr">
        <is>
          <t>https://sre.google/sre-book/table-of-contents/</t>
        </is>
      </c>
    </row>
    <row r="21">
      <c r="A21" s="4" t="inlineStr">
        <is>
          <t>Named incident-command roles severity classification and on-call rotation design practice guide</t>
        </is>
      </c>
      <c r="B21" s="4" t="inlineStr">
        <is>
          <t>PagerDuty, Incident Response Documentation (accessed 2026-07)</t>
        </is>
      </c>
      <c r="C21" s="4" t="inlineStr">
        <is>
          <t>Incident response</t>
        </is>
      </c>
      <c r="D21" s="4" t="inlineStr">
        <is>
          <t>https://response.pagerduty.com/</t>
        </is>
      </c>
    </row>
    <row r="22">
      <c r="A22" s="4" t="inlineStr">
        <is>
          <t>Canonical articulation of blameless-postmortem practice grounded in Dekker's Just Culture -- link 403s to automated clients but title/author/venue confirmed by WebSearch</t>
        </is>
      </c>
      <c r="B22" s="4" t="inlineStr">
        <is>
          <t>Allspaw, Blameless PostMortems and a Just Culture, Code as Craft (Etsy Engineering Blog, 2012)</t>
        </is>
      </c>
      <c r="C22" s="4" t="inlineStr">
        <is>
          <t>Learning from incidents</t>
        </is>
      </c>
      <c r="D22" s="4" t="inlineStr">
        <is>
          <t>https://www.etsy.com/codeascraft/blameless-postmortems</t>
        </is>
      </c>
    </row>
    <row r="23">
      <c r="A23" s="4" t="inlineStr">
        <is>
          <t>USE method and capacity/performance methodology coupling cost, capacity and performance</t>
        </is>
      </c>
      <c r="B23" s="4" t="inlineStr">
        <is>
          <t>Gregg, Systems Performance: Enterprise and the Cloud, 2nd ed. (Addison-Wesley, 2020)</t>
        </is>
      </c>
      <c r="C23" s="4" t="inlineStr">
        <is>
          <t>Capacity, performance &amp; cost</t>
        </is>
      </c>
      <c r="D23" s="4" t="inlineStr">
        <is>
          <t>https://www.brendangregg.com/systems-performance-2nd-edition-book.html</t>
        </is>
      </c>
    </row>
    <row r="24">
      <c r="A24" s="4" t="inlineStr">
        <is>
          <t>Tiered verification levels (L1 baseline through L3 advanced) for defense-in-depth security controls</t>
        </is>
      </c>
      <c r="B24" s="4" t="inlineStr">
        <is>
          <t>OWASP Foundation, OWASP Application Security Verification Standard (accessed 2026-07)</t>
        </is>
      </c>
      <c r="C24" s="4" t="inlineStr">
        <is>
          <t>Guardrails &amp; policy as code</t>
        </is>
      </c>
      <c r="D24" s="4" t="inlineStr">
        <is>
          <t>https://owasp.org/www-project-application-security-verification-standard/</t>
        </is>
      </c>
    </row>
    <row r="25">
      <c r="A25" s="4" t="inlineStr">
        <is>
          <t>Google's device/identity-based perimeter-replacement architecture; origin of zero-trust practice later standardized in NIST SP 800-207; verified via WebSearch + curl (HTTP 200)</t>
        </is>
      </c>
      <c r="B25" s="4" t="inlineStr">
        <is>
          <t>Ward &amp; Beyer, BeyondCorp: A New Approach to Enterprise Security, ;login: 39(6), 6-11 (USENIX, 2014)</t>
        </is>
      </c>
      <c r="C25" s="4" t="inlineStr">
        <is>
          <t>Identity, secrets &amp; access</t>
        </is>
      </c>
      <c r="D25" s="4" t="inlineStr">
        <is>
          <t>https://www.usenix.org/system/files/login/articles/login_dec14_02_ward.pdf</t>
        </is>
      </c>
    </row>
    <row r="26">
      <c r="A26" s="4" t="inlineStr">
        <is>
          <t>Build-provenance maturity levels L0-L3 for artifact supply-chain integrity</t>
        </is>
      </c>
      <c r="B26" s="4" t="inlineStr">
        <is>
          <t>OpenSSF, SLSA (Supply-chain Levels for Software Artifacts), Version 1.0 (2023)</t>
        </is>
      </c>
      <c r="C26" s="4" t="inlineStr">
        <is>
          <t>Software supply chain security</t>
        </is>
      </c>
      <c r="D26" s="4" t="inlineStr">
        <is>
          <t>https://slsa.dev/spec/v1.0/levels</t>
        </is>
      </c>
    </row>
    <row r="27">
      <c r="A27" s="4" t="inlineStr">
        <is>
          <t>Six-function (incl. Govern) taxonomy for organizing enterprise cybersecurity risk strategy</t>
        </is>
      </c>
      <c r="B27" s="4" t="inlineStr">
        <is>
          <t>NIST, The NIST Cybersecurity Framework (CSF) 2.0, NIST CSWP 29 (2024)</t>
        </is>
      </c>
      <c r="C27" s="4" t="inlineStr">
        <is>
          <t>Compliance &amp; audit readiness</t>
        </is>
      </c>
      <c r="D27" s="4" t="inlineStr">
        <is>
          <t>https://csrc.nist.gov/pubs/cswp/29/the-nist-cybersecurity-framework-csf-20/final</t>
        </is>
      </c>
    </row>
    <row r="28">
      <c r="A28" s="4" t="inlineStr">
        <is>
          <t>Tutorials/how-to/reference/explanation framework; grounds documentation information-architecture leveling</t>
        </is>
      </c>
      <c r="B28" s="4" t="inlineStr">
        <is>
          <t>Procida, Diataxis: A Systematic Framework for Technical Documentation (diataxis.fr, accessed 2026-07)</t>
        </is>
      </c>
      <c r="C28" s="4" t="inlineStr">
        <is>
          <t>Technical documentation</t>
        </is>
      </c>
      <c r="D28" s="4" t="inlineStr">
        <is>
          <t>https://diataxis.fr/</t>
        </is>
      </c>
    </row>
    <row r="29">
      <c r="A29" s="4" t="inlineStr">
        <is>
          <t>Maturity tiers for platform-as-a-product investment across people/process/policy/technology; link verified 200</t>
        </is>
      </c>
      <c r="B29" s="4" t="inlineStr">
        <is>
          <t>CNCF TAG App Delivery, Platform Engineering Maturity Model (2023)</t>
        </is>
      </c>
      <c r="C29" s="4" t="inlineStr">
        <is>
          <t>Platform advocacy &amp; enablement</t>
        </is>
      </c>
      <c r="D29" s="4" t="inlineStr">
        <is>
          <t>https://tag-app-delivery.cncf.io/whitepapers/platform-eng-maturity-model/</t>
        </is>
      </c>
    </row>
    <row r="30">
      <c r="A30" s="4" t="inlineStr">
        <is>
          <t>Tech Lead / Solver / Architect / Right-Hand archetypes for senior IC technical leadership scope</t>
        </is>
      </c>
      <c r="B30" s="4" t="inlineStr">
        <is>
          <t>Larson, Staff Engineer: Leadership Beyond the Management Track (self-published, 2021)</t>
        </is>
      </c>
      <c r="C30" s="4" t="inlineStr">
        <is>
          <t>Stakeholder management</t>
        </is>
      </c>
      <c r="D30" s="4" t="inlineStr">
        <is>
          <t>https://staffeng.com/book/</t>
        </is>
      </c>
    </row>
    <row r="31">
      <c r="A31" s="4" t="inlineStr">
        <is>
          <t>Estimation as a probabilistic forecast to calibrate, distinct from Code Complete</t>
        </is>
      </c>
      <c r="B31" s="4" t="inlineStr">
        <is>
          <t>McConnell, Software Estimation: Demystifying the Black Art (Microsoft Press, 2006)</t>
        </is>
      </c>
      <c r="C31" s="4" t="inlineStr">
        <is>
          <t>Planning &amp; estimation</t>
        </is>
      </c>
      <c r="D31" s="4" t="inlineStr">
        <is>
          <t>https://www.construx.com/store/software-estimation-demystifying-the-black-art/</t>
        </is>
      </c>
    </row>
    <row r="32">
      <c r="A32" s="4" t="inlineStr">
        <is>
          <t>Cost-of-delay and queueing-theory economics for prioritization decisions; verified via web search</t>
        </is>
      </c>
      <c r="B32" s="4" t="inlineStr">
        <is>
          <t>Reinertsen, The Principles of Product Development Flow: Second Generation Lean Product Development (Celeritas, 2009)</t>
        </is>
      </c>
      <c r="C32" s="4" t="inlineStr">
        <is>
          <t>Prioritization &amp; trade-off judgment</t>
        </is>
      </c>
      <c r="D32" s="4" t="inlineStr"/>
    </row>
    <row r="33">
      <c r="A33" s="4" t="inlineStr">
        <is>
          <t>Legitimate peripheral participation and community-of-practice theory</t>
        </is>
      </c>
      <c r="B33" s="4" t="inlineStr">
        <is>
          <t>Wenger, Communities of Practice: Learning, Meaning, and Identity (Cambridge University Press, 1998)</t>
        </is>
      </c>
      <c r="C33" s="4" t="inlineStr">
        <is>
          <t>Mentorship &amp; knowledge sharing</t>
        </is>
      </c>
      <c r="D33" s="4" t="inlineStr"/>
    </row>
    <row r="34">
      <c r="A34" s="4" t="inlineStr">
        <is>
          <t>Origin of the Architecture Decision Record (ADR) pattern</t>
        </is>
      </c>
      <c r="B34" s="4" t="inlineStr">
        <is>
          <t>Nygard, Documenting Architecture Decisions (Cognitect blog, 2011)</t>
        </is>
      </c>
      <c r="C34" s="4" t="inlineStr">
        <is>
          <t>Technical direction &amp; influence</t>
        </is>
      </c>
      <c r="D34" s="4" t="inlineStr">
        <is>
          <t>https://cognitect.com/blog/2011/11/15/documenting-architecture-decisions</t>
        </is>
      </c>
    </row>
    <row r="35">
      <c r="A35" s="4" t="inlineStr"/>
      <c r="B35" s="4" t="inlineStr">
        <is>
          <t>Noda, Storey, Forsgren &amp; Greiler, DevEx: What Actually Drives Productivity, ACM Queue 21(2) (2023) — https://queue.acm.org/detail.cfm?id=3595878</t>
        </is>
      </c>
      <c r="C35" s="4" t="inlineStr"/>
      <c r="D35" s="4" t="inlineStr"/>
    </row>
    <row r="36">
      <c r="A36" s="4" t="inlineStr"/>
      <c r="B36" s="4" t="inlineStr">
        <is>
          <t>SFIA Foundation, Skills Framework for the Information Age, version 9 (2024) — https://sfia-online.org/en/sfia-9</t>
        </is>
      </c>
      <c r="C36" s="4" t="inlineStr"/>
      <c r="D36" s="4" t="inlineStr"/>
    </row>
    <row r="37">
      <c r="A37" s="4" t="inlineStr"/>
      <c r="B37" s="4" t="inlineStr">
        <is>
          <t>Larson, Staff Engineer: Leadership Beyond the Management Track (self-published, 2021) — https://staffeng.com/book/</t>
        </is>
      </c>
      <c r="C37" s="4" t="inlineStr"/>
      <c r="D37" s="4" t="inlineStr"/>
    </row>
    <row r="38">
      <c r="A38" s="4" t="inlineStr"/>
      <c r="B38" s="4" t="inlineStr">
        <is>
          <t>Forsgren, Humble &amp; Kim, Accelerate: The Science of Lean Software and DevOps (IT Revolution Press, 2018) — https://itrevolution.com/product/accelerate/</t>
        </is>
      </c>
      <c r="C38" s="4" t="inlineStr"/>
      <c r="D38" s="4" t="inlineStr"/>
    </row>
    <row r="39">
      <c r="A39" s="4" t="inlineStr"/>
      <c r="B39" s="4" t="inlineStr">
        <is>
          <t>Skelton &amp; Pais, Team Topologies (IT Revolution, 2019)</t>
        </is>
      </c>
      <c r="C39" s="4" t="inlineStr"/>
      <c r="D39" s="4" t="inlineStr"/>
    </row>
    <row r="40">
      <c r="A40" s="4" t="inlineStr"/>
      <c r="B40" s="4" t="inlineStr">
        <is>
          <t>Perri, Escaping the Build Trap: How Effective Product Management Creates Real Value (O'Reilly, 2018) — https://www.oreilly.com/library/view/escaping-the-build/9781491973783/</t>
        </is>
      </c>
      <c r="C40" s="4" t="inlineStr"/>
      <c r="D40" s="4" t="inlineStr"/>
    </row>
    <row r="41">
      <c r="A41" s="4" t="inlineStr"/>
      <c r="B41" s="4" t="inlineStr">
        <is>
          <t>Spotify Engineering, How We Use Golden Paths to Solve Fragmentation in Our Software Ecosystem (Spotify Engineering Blog, 2020) — https://engineering.atspotify.com/2020/08/how-we-use-golden-paths-to-solve-fragmentation-in-our-software-ecosystem/</t>
        </is>
      </c>
      <c r="C41" s="4" t="inlineStr"/>
      <c r="D41" s="4" t="inlineStr"/>
    </row>
    <row r="42">
      <c r="A42" s="4" t="inlineStr"/>
      <c r="B42" s="4" t="inlineStr">
        <is>
          <t>Sweller, Cognitive Load During Problem Solving: Effects on Learning, Cognitive Science 12(2), 257-285 (1988) — https://doi.org/10.1207/s15516709cog1202_4</t>
        </is>
      </c>
      <c r="C42" s="4" t="inlineStr"/>
      <c r="D42" s="4" t="inlineStr"/>
    </row>
    <row r="43">
      <c r="A43" s="4" t="inlineStr"/>
      <c r="B43" s="4" t="inlineStr">
        <is>
          <t>Conway, How Do Committees Invent?, Datamation 14(4), 28-31 (1968) — https://www.melconway.com/Home/Committees_Paper.html</t>
        </is>
      </c>
      <c r="C43" s="4" t="inlineStr"/>
      <c r="D43" s="4" t="inlineStr"/>
    </row>
    <row r="44">
      <c r="A44" s="4" t="inlineStr"/>
      <c r="B44" s="4" t="inlineStr">
        <is>
          <t>Winters, Manshreck &amp; Wright, Software Engineering at Google: Lessons Learned from Programming Over Time (O'Reilly, 2020) — https://abseil.io/resources/swe-book</t>
        </is>
      </c>
      <c r="C44" s="4" t="inlineStr"/>
      <c r="D44" s="4" t="inlineStr"/>
    </row>
    <row r="45">
      <c r="A45" s="4" t="inlineStr"/>
      <c r="B45" s="4" t="inlineStr">
        <is>
          <t>Fowler, Refactoring: Improving the Design of Existing Code, 2nd Edition (Addison-Wesley, 2018) — https://martinfowler.com/books/refactoring.html</t>
        </is>
      </c>
      <c r="C45" s="4" t="inlineStr"/>
      <c r="D45" s="4" t="inlineStr"/>
    </row>
    <row r="46">
      <c r="A46" s="4" t="inlineStr"/>
      <c r="B46" s="4" t="inlineStr">
        <is>
          <t>Google, Engineering Practices Documentation: How to Do a Code Review (accessed 2026-07) — https://google.github.io/eng-practices/review/</t>
        </is>
      </c>
      <c r="C46" s="4" t="inlineStr"/>
      <c r="D46" s="4" t="inlineStr"/>
    </row>
    <row r="47">
      <c r="A47" s="4" t="inlineStr"/>
      <c r="B47" s="4" t="inlineStr">
        <is>
          <t>Cohn, Succeeding with Agile: Software Development Using Scrum (Addison-Wesley, 2009)</t>
        </is>
      </c>
      <c r="C47" s="4" t="inlineStr"/>
      <c r="D47" s="4" t="inlineStr"/>
    </row>
    <row r="48">
      <c r="A48" s="4" t="inlineStr"/>
      <c r="B48" s="4" t="inlineStr">
        <is>
          <t>Humble &amp; Farley, Continuous Delivery: Reliable Software Releases through Build Test and Deployment Automation (Addison-Wesley, 2010) — https://continuousdelivery.com/</t>
        </is>
      </c>
      <c r="C48" s="4" t="inlineStr"/>
      <c r="D48" s="4" t="inlineStr"/>
    </row>
    <row r="49">
      <c r="A49" s="4" t="inlineStr"/>
      <c r="B49" s="4" t="inlineStr">
        <is>
          <t>Amazon Web Services, AWS Well-Architected Framework (AWS, accessed 2026-07) — https://docs.aws.amazon.com/wellarchitected/latest/framework/welcome.html</t>
        </is>
      </c>
      <c r="C49" s="4" t="inlineStr"/>
      <c r="D49" s="4" t="inlineStr"/>
    </row>
    <row r="50">
      <c r="A50" s="4" t="inlineStr"/>
      <c r="B50" s="4" t="inlineStr">
        <is>
          <t>Burns, Beda, Hightower &amp; Evenson, Kubernetes: Up and Running, 3rd Edition (O'Reilly, 2022) — https://www.oreilly.com/library/view/kubernetes-up-and/9781098110192/</t>
        </is>
      </c>
      <c r="C50" s="4" t="inlineStr"/>
      <c r="D50" s="4" t="inlineStr"/>
    </row>
    <row r="51">
      <c r="A51" s="4" t="inlineStr"/>
      <c r="B51" s="4" t="inlineStr">
        <is>
          <t>Kurose &amp; Ross, Computer Networking: A Top-Down Approach, 8th ed. (Pearson, 2020) — https://www.pearson.com/en-us/subject-catalog/p/computer-networking/P200000003334/9780135928615</t>
        </is>
      </c>
      <c r="C51" s="4" t="inlineStr"/>
      <c r="D51" s="4" t="inlineStr"/>
    </row>
    <row r="52">
      <c r="A52" s="4" t="inlineStr"/>
      <c r="B52" s="4" t="inlineStr">
        <is>
          <t>Morris, Infrastructure as Code: Dynamic Systems for the Cloud Age, 2nd Edition (O'Reilly, 2021) — https://www.oreilly.com/library/view/infrastructure-as-code/9781098114664/</t>
        </is>
      </c>
      <c r="C52" s="4" t="inlineStr"/>
      <c r="D52" s="4" t="inlineStr"/>
    </row>
    <row r="53">
      <c r="A53" s="4" t="inlineStr"/>
      <c r="B53" s="4" t="inlineStr">
        <is>
          <t>Bottcher, What I Talk About When I Talk About Platforms (martinfowler.com, 2018) — https://martinfowler.com/articles/talk-about-platforms.html</t>
        </is>
      </c>
      <c r="C53" s="4" t="inlineStr"/>
      <c r="D53" s="4" t="inlineStr"/>
    </row>
    <row r="54">
      <c r="A54" s="4" t="inlineStr"/>
      <c r="B54" s="4" t="inlineStr">
        <is>
          <t>Majors, Fong-Jones &amp; Miranda, Observability Engineering: Achieving Production Excellence (O'Reilly, 2022) — https://www.oreilly.com/library/view/observability-engineering/9781492076438/</t>
        </is>
      </c>
      <c r="C54" s="4" t="inlineStr"/>
      <c r="D54" s="4" t="inlineStr"/>
    </row>
    <row r="55">
      <c r="A55" s="4" t="inlineStr"/>
      <c r="B55" s="4" t="inlineStr">
        <is>
          <t>Beyer, Jones, Petoff &amp; Murphy (eds.), Site Reliability Engineering: How Google Runs Production Systems (O'Reilly/Google, 2016) — https://sre.google/sre-book/table-of-contents/</t>
        </is>
      </c>
      <c r="C55" s="4" t="inlineStr"/>
      <c r="D55" s="4" t="inlineStr"/>
    </row>
    <row r="56">
      <c r="A56" s="4" t="inlineStr"/>
      <c r="B56" s="4" t="inlineStr">
        <is>
          <t>PagerDuty, Incident Response Documentation (accessed 2026-07) — https://response.pagerduty.com/</t>
        </is>
      </c>
      <c r="C56" s="4" t="inlineStr"/>
      <c r="D56" s="4" t="inlineStr"/>
    </row>
    <row r="57">
      <c r="A57" s="4" t="inlineStr"/>
      <c r="B57" s="4" t="inlineStr">
        <is>
          <t>Allspaw, Blameless PostMortems and a Just Culture, Code as Craft (Etsy Engineering Blog, 2012) — https://www.etsy.com/codeascraft/blameless-postmortems</t>
        </is>
      </c>
      <c r="C57" s="4" t="inlineStr"/>
      <c r="D57" s="4" t="inlineStr"/>
    </row>
    <row r="58">
      <c r="A58" s="4" t="inlineStr"/>
      <c r="B58" s="4" t="inlineStr">
        <is>
          <t>Gregg, Systems Performance: Enterprise and the Cloud, 2nd ed. (Addison-Wesley, 2020) — https://www.brendangregg.com/systems-performance-2nd-edition-book.html</t>
        </is>
      </c>
      <c r="C58" s="4" t="inlineStr"/>
      <c r="D58" s="4" t="inlineStr"/>
    </row>
    <row r="59">
      <c r="A59" s="4" t="inlineStr"/>
      <c r="B59" s="4" t="inlineStr">
        <is>
          <t>OWASP Foundation, OWASP Application Security Verification Standard (accessed 2026-07) — https://owasp.org/www-project-application-security-verification-standard/</t>
        </is>
      </c>
      <c r="C59" s="4" t="inlineStr"/>
      <c r="D59" s="4" t="inlineStr"/>
    </row>
    <row r="60">
      <c r="A60" s="4" t="inlineStr"/>
      <c r="B60" s="4" t="inlineStr">
        <is>
          <t>Ward &amp; Beyer, BeyondCorp: A New Approach to Enterprise Security, ;login: 39(6), 6-11 (USENIX, 2014) — https://www.usenix.org/system/files/login/articles/login_dec14_02_ward.pdf</t>
        </is>
      </c>
      <c r="C60" s="4" t="inlineStr"/>
      <c r="D60" s="4" t="inlineStr"/>
    </row>
    <row r="61">
      <c r="A61" s="4" t="inlineStr"/>
      <c r="B61" s="4" t="inlineStr">
        <is>
          <t>OpenSSF, SLSA (Supply-chain Levels for Software Artifacts), Version 1.0 (2023) — https://slsa.dev/spec/v1.0/levels</t>
        </is>
      </c>
      <c r="C61" s="4" t="inlineStr"/>
      <c r="D61" s="4" t="inlineStr"/>
    </row>
    <row r="62">
      <c r="A62" s="4" t="inlineStr"/>
      <c r="B62" s="4" t="inlineStr">
        <is>
          <t>NIST, The NIST Cybersecurity Framework (CSF) 2.0, NIST CSWP 29 (2024) — https://csrc.nist.gov/pubs/cswp/29/the-nist-cybersecurity-framework-csf-20/final</t>
        </is>
      </c>
      <c r="C62" s="4" t="inlineStr"/>
      <c r="D62" s="4" t="inlineStr"/>
    </row>
    <row r="63">
      <c r="A63" s="4" t="inlineStr"/>
      <c r="B63" s="4" t="inlineStr">
        <is>
          <t>Procida, Diataxis: A Systematic Framework for Technical Documentation (diataxis.fr, accessed 2026-07) — https://diataxis.fr/</t>
        </is>
      </c>
      <c r="C63" s="4" t="inlineStr"/>
      <c r="D63" s="4" t="inlineStr"/>
    </row>
    <row r="64">
      <c r="A64" s="4" t="inlineStr"/>
      <c r="B64" s="4" t="inlineStr">
        <is>
          <t>CNCF TAG App Delivery, Platform Engineering Maturity Model (2023) — https://tag-app-delivery.cncf.io/whitepapers/platform-eng-maturity-model/</t>
        </is>
      </c>
      <c r="C64" s="4" t="inlineStr"/>
      <c r="D64" s="4" t="inlineStr"/>
    </row>
    <row r="65">
      <c r="A65" s="4" t="inlineStr"/>
      <c r="B65" s="4" t="inlineStr">
        <is>
          <t>McConnell, Software Estimation: Demystifying the Black Art (Microsoft Press, 2006) — https://www.construx.com/store/software-estimation-demystifying-the-black-art/</t>
        </is>
      </c>
      <c r="C65" s="4" t="inlineStr"/>
      <c r="D65" s="4" t="inlineStr"/>
    </row>
    <row r="66">
      <c r="A66" s="4" t="inlineStr"/>
      <c r="B66" s="4" t="inlineStr">
        <is>
          <t>Reinertsen, The Principles of Product Development Flow: Second Generation Lean Product Development (Celeritas, 2009)</t>
        </is>
      </c>
      <c r="C66" s="4" t="inlineStr"/>
      <c r="D66" s="4" t="inlineStr"/>
    </row>
    <row r="67">
      <c r="A67" s="4" t="inlineStr"/>
      <c r="B67" s="4" t="inlineStr">
        <is>
          <t>Wenger, Communities of Practice: Learning, Meaning, and Identity (Cambridge University Press, 1998)</t>
        </is>
      </c>
      <c r="C67" s="4" t="inlineStr"/>
      <c r="D67" s="4" t="inlineStr"/>
    </row>
    <row r="68">
      <c r="A68" s="4" t="inlineStr"/>
      <c r="B68" s="4" t="inlineStr">
        <is>
          <t>Nygard, Documenting Architecture Decisions (Cognitect blog, 2011) — https://cognitect.com/blog/2011/11/15/documenting-architecture-decisions</t>
        </is>
      </c>
      <c r="C68" s="4" t="inlineStr"/>
      <c r="D68"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2026-07-09T19:28:09Z</dcterms:created>
  <dcterms:modified xsi:type="dcterms:W3CDTF">2026-07-09T19:28:09Z</dcterms:modified>
</cp:coreProperties>
</file>