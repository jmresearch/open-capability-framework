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ompetency Matrix" sheetId="2" state="visible" r:id="rId2"/>
    <sheet name="Rating Template" sheetId="3" state="visible" r:id="rId3"/>
    <sheet name="Sourc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FF0563C1"/>
      <sz val="10"/>
      <u val="single"/>
    </font>
    <font>
      <name val="Arial"/>
      <color rgb="FF0000CC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jmresearch/open-capability-framework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jmresearch/open-capability-framework/blob/main/contrib/2026-07-fbm-pasteurization-control.md" TargetMode="External" Id="rId1" /><Relationship Type="http://schemas.openxmlformats.org/officeDocument/2006/relationships/hyperlink" Target="https://github.com/jmresearch/open-capability-framework/blob/main/contrib/2026-07-fbm-thermal-process-legal-limits.md" TargetMode="External" Id="rId2" /><Relationship Type="http://schemas.openxmlformats.org/officeDocument/2006/relationships/hyperlink" Target="https://github.com/jmresearch/open-capability-framework/blob/main/contrib/2026-07-fbm-haccp-ccp-monitoring.md" TargetMode="External" Id="rId3" /><Relationship Type="http://schemas.openxmlformats.org/officeDocument/2006/relationships/hyperlink" Target="https://github.com/jmresearch/open-capability-framework/blob/main/contrib/2026-07-fbm-preventive-controls-pcqi.md" TargetMode="External" Id="rId4" /><Relationship Type="http://schemas.openxmlformats.org/officeDocument/2006/relationships/hyperlink" Target="https://github.com/jmresearch/open-capability-framework/blob/main/contrib/2026-07-fbm-environmental-pathogen-control.md" TargetMode="External" Id="rId5" /><Relationship Type="http://schemas.openxmlformats.org/officeDocument/2006/relationships/hyperlink" Target="https://github.com/jmresearch/open-capability-framework/blob/main/contrib/2026-07-fbm-allergen-control.md" TargetMode="External" Id="rId6" /><Relationship Type="http://schemas.openxmlformats.org/officeDocument/2006/relationships/hyperlink" Target="https://github.com/jmresearch/open-capability-framework/blob/main/contrib/2026-07-fbm-pmo-grade-a-compliance.md" TargetMode="External" Id="rId7" /><Relationship Type="http://schemas.openxmlformats.org/officeDocument/2006/relationships/hyperlink" Target="https://github.com/jmresearch/open-capability-framework/blob/main/contrib/2026-07-fbm-gfsi-audit-readiness.md" TargetMode="External" Id="rId8" /><Relationship Type="http://schemas.openxmlformats.org/officeDocument/2006/relationships/hyperlink" Target="https://github.com/jmresearch/open-capability-framework/blob/main/contrib/2026-07-fbm-gmp-personnel-hygiene.md" TargetMode="External" Id="rId9" /><Relationship Type="http://schemas.openxmlformats.org/officeDocument/2006/relationships/hyperlink" Target="https://github.com/jmresearch/open-capability-framework/blob/main/contrib/2026-07-fbm-raw-milk-receiving.md" TargetMode="External" Id="rId10" /><Relationship Type="http://schemas.openxmlformats.org/officeDocument/2006/relationships/hyperlink" Target="https://github.com/jmresearch/open-capability-framework/blob/main/contrib/2026-07-fbm-separation-standardization.md" TargetMode="External" Id="rId11" /><Relationship Type="http://schemas.openxmlformats.org/officeDocument/2006/relationships/hyperlink" Target="https://github.com/jmresearch/open-capability-framework/blob/main/contrib/2026-07-fbm-thermal-processing-operation.md" TargetMode="External" Id="rId12" /><Relationship Type="http://schemas.openxmlformats.org/officeDocument/2006/relationships/hyperlink" Target="https://github.com/jmresearch/open-capability-framework/blob/main/contrib/2026-07-fbm-homogenization.md" TargetMode="External" Id="rId13" /><Relationship Type="http://schemas.openxmlformats.org/officeDocument/2006/relationships/hyperlink" Target="https://github.com/jmresearch/open-capability-framework/blob/main/contrib/2026-07-fbm-filling-packaging.md" TargetMode="External" Id="rId14" /><Relationship Type="http://schemas.openxmlformats.org/officeDocument/2006/relationships/hyperlink" Target="https://github.com/jmresearch/open-capability-framework/blob/main/contrib/2026-07-fbm-cold-chain-integrity.md" TargetMode="External" Id="rId15" /><Relationship Type="http://schemas.openxmlformats.org/officeDocument/2006/relationships/hyperlink" Target="https://github.com/jmresearch/open-capability-framework/blob/main/contrib/2026-07-fbm-cip-verification.md" TargetMode="External" Id="rId16" /><Relationship Type="http://schemas.openxmlformats.org/officeDocument/2006/relationships/hyperlink" Target="https://github.com/jmresearch/open-capability-framework/blob/main/contrib/2026-07-fbm-cleaning-chemistry-titration.md" TargetMode="External" Id="rId17" /><Relationship Type="http://schemas.openxmlformats.org/officeDocument/2006/relationships/hyperlink" Target="https://github.com/jmresearch/open-capability-framework/blob/main/contrib/2026-07-fbm-cop-manual-sanitation.md" TargetMode="External" Id="rId18" /><Relationship Type="http://schemas.openxmlformats.org/officeDocument/2006/relationships/hyperlink" Target="https://github.com/jmresearch/open-capability-framework/blob/main/contrib/2026-07-fbm-hygienic-design-3a.md" TargetMode="External" Id="rId19" /><Relationship Type="http://schemas.openxmlformats.org/officeDocument/2006/relationships/hyperlink" Target="https://github.com/jmresearch/open-capability-framework/blob/main/contrib/2026-07-fbm-ammonia-refrigeration.md" TargetMode="External" Id="rId20" /><Relationship Type="http://schemas.openxmlformats.org/officeDocument/2006/relationships/hyperlink" Target="https://github.com/jmresearch/open-capability-framework/blob/main/contrib/2026-07-fbm-boiler-steam-systems.md" TargetMode="External" Id="rId21" /><Relationship Type="http://schemas.openxmlformats.org/officeDocument/2006/relationships/hyperlink" Target="https://github.com/jmresearch/open-capability-framework/blob/main/data/capabilities.md#scm-09" TargetMode="External" Id="rId22" /><Relationship Type="http://schemas.openxmlformats.org/officeDocument/2006/relationships/hyperlink" Target="https://github.com/jmresearch/open-capability-framework/blob/main/contrib/2026-07-fbm-equipment-troubleshooting.md" TargetMode="External" Id="rId23" /><Relationship Type="http://schemas.openxmlformats.org/officeDocument/2006/relationships/hyperlink" Target="https://github.com/jmresearch/open-capability-framework/blob/main/data/capabilities.md#wpl-02" TargetMode="External" Id="rId24" /><Relationship Type="http://schemas.openxmlformats.org/officeDocument/2006/relationships/hyperlink" Target="https://github.com/jmresearch/open-capability-framework/blob/main/contrib/2026-07-fbm-wastewater-effluent.md" TargetMode="External" Id="rId25" /><Relationship Type="http://schemas.openxmlformats.org/officeDocument/2006/relationships/hyperlink" Target="https://github.com/jmresearch/open-capability-framework/blob/main/data/capabilities.md#wpl-08" TargetMode="External" Id="rId26" /><Relationship Type="http://schemas.openxmlformats.org/officeDocument/2006/relationships/hyperlink" Target="https://github.com/jmresearch/open-capability-framework/blob/main/data/capabilities.md#wpl-08" TargetMode="External" Id="rId27" /><Relationship Type="http://schemas.openxmlformats.org/officeDocument/2006/relationships/hyperlink" Target="https://github.com/jmresearch/open-capability-framework/blob/main/contrib/2026-07-fbm-psm-rmp-ammonia.md" TargetMode="External" Id="rId28" /><Relationship Type="http://schemas.openxmlformats.org/officeDocument/2006/relationships/hyperlink" Target="https://github.com/jmresearch/open-capability-framework/blob/main/contrib/2026-07-fbm-ammonia-emergency-response.md" TargetMode="External" Id="rId29" /><Relationship Type="http://schemas.openxmlformats.org/officeDocument/2006/relationships/hyperlink" Target="https://github.com/jmresearch/open-capability-framework/blob/main/data/capabilities.md#li-01" TargetMode="External" Id="rId30" /><Relationship Type="http://schemas.openxmlformats.org/officeDocument/2006/relationships/hyperlink" Target="https://github.com/jmresearch/open-capability-framework/blob/main/data/capabilities.md#em-01" TargetMode="External" Id="rId31" /><Relationship Type="http://schemas.openxmlformats.org/officeDocument/2006/relationships/hyperlink" Target="https://github.com/jmresearch/open-capability-framework/blob/main/data/capabilities.md#li-08" TargetMode="External" Id="rId32" /><Relationship Type="http://schemas.openxmlformats.org/officeDocument/2006/relationships/hyperlink" Target="https://github.com/jmresearch/open-capability-framework/blob/main/data/capabilities.md#cc-01" TargetMode="External" Id="rId33" /><Relationship Type="http://schemas.openxmlformats.org/officeDocument/2006/relationships/hyperlink" Target="https://github.com/jmresearch/open-capability-framework/blob/main/data/capabilities.md#cc-03" TargetMode="External" Id="rId34" /><Relationship Type="http://schemas.openxmlformats.org/officeDocument/2006/relationships/hyperlink" Target="https://github.com/jmresearch/open-capability-framework/blob/main/data/capabilities.md#scm-07" TargetMode="External" Id="rId35" /><Relationship Type="http://schemas.openxmlformats.org/officeDocument/2006/relationships/hyperlink" Target="https://github.com/jmresearch/open-capability-framework/blob/main/data/capabilities.md#sup-05" TargetMode="External" Id="rId36" /><Relationship Type="http://schemas.openxmlformats.org/officeDocument/2006/relationships/hyperlink" Target="https://github.com/jmresearch/open-capability-framework/blob/main/data/capabilities.md#scm-08" TargetMode="External" Id="rId37" /><Relationship Type="http://schemas.openxmlformats.org/officeDocument/2006/relationships/hyperlink" Target="https://github.com/jmresearch/open-capability-framework/blob/main/data/capabilities.md#em-06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4" customWidth="1" min="3" max="3"/>
    <col width="60" customWidth="1" min="4" max="4"/>
  </cols>
  <sheetData>
    <row r="1">
      <c r="A1" s="1" t="inlineStr">
        <is>
          <t>Role</t>
        </is>
      </c>
      <c r="B1" s="2" t="inlineStr">
        <is>
          <t>Dairy Plant Operations</t>
        </is>
      </c>
    </row>
    <row r="2">
      <c r="A2" s="1" t="inlineStr">
        <is>
          <t>Slug</t>
        </is>
      </c>
      <c r="B2" s="2" t="inlineStr">
        <is>
          <t>dairy-plant-operations</t>
        </is>
      </c>
    </row>
    <row r="3">
      <c r="A3" s="1" t="inlineStr">
        <is>
          <t>Variant</t>
        </is>
      </c>
      <c r="B3" s="2" t="inlineStr">
        <is>
          <t>general</t>
        </is>
      </c>
    </row>
    <row r="4">
      <c r="A4" s="1" t="inlineStr">
        <is>
          <t>Minted</t>
        </is>
      </c>
      <c r="B4" s="2" t="inlineStr">
        <is>
          <t>2026-07-07</t>
        </is>
      </c>
    </row>
    <row r="6">
      <c r="A6" s="1" t="inlineStr">
        <is>
          <t>Level</t>
        </is>
      </c>
      <c r="B6" s="1" t="inlineStr">
        <is>
          <t>Title</t>
        </is>
      </c>
      <c r="C6" s="1" t="inlineStr">
        <is>
          <t>Scope</t>
        </is>
      </c>
      <c r="D6" s="1" t="inlineStr">
        <is>
          <t>Focus</t>
        </is>
      </c>
    </row>
    <row r="7">
      <c r="A7" s="3" t="inlineStr">
        <is>
          <t>L1</t>
        </is>
      </c>
      <c r="B7" s="3" t="inlineStr">
        <is>
          <t>Operator I</t>
        </is>
      </c>
      <c r="C7" s="4" t="inlineStr">
        <is>
          <t>one machine / task under direction</t>
        </is>
      </c>
      <c r="D7" s="4" t="inlineStr">
        <is>
          <t>learns the plant and runs a single process area under direction</t>
        </is>
      </c>
    </row>
    <row r="8">
      <c r="A8" s="3" t="inlineStr">
        <is>
          <t>L2</t>
        </is>
      </c>
      <c r="B8" s="3" t="inlineStr">
        <is>
          <t>Operator II</t>
        </is>
      </c>
      <c r="C8" s="4" t="inlineStr">
        <is>
          <t>a process area across a shift</t>
        </is>
      </c>
      <c r="D8" s="4" t="inlineStr">
        <is>
          <t>runs a process area independently across a full shift</t>
        </is>
      </c>
    </row>
    <row r="9">
      <c r="A9" s="3" t="inlineStr">
        <is>
          <t>L3</t>
        </is>
      </c>
      <c r="B9" s="3" t="inlineStr">
        <is>
          <t>Senior Operator</t>
        </is>
      </c>
      <c r="C9" s="4" t="inlineStr">
        <is>
          <t>multiple process areas</t>
        </is>
      </c>
      <c r="D9" s="4" t="inlineStr">
        <is>
          <t>operates multiple areas, troubleshoots, and coaches peers</t>
        </is>
      </c>
    </row>
    <row r="10">
      <c r="A10" s="3" t="inlineStr">
        <is>
          <t>L4</t>
        </is>
      </c>
      <c r="B10" s="3" t="inlineStr">
        <is>
          <t>Lead Operator</t>
        </is>
      </c>
      <c r="C10" s="4" t="inlineStr">
        <is>
          <t>a line / process end to end (IC terminal)</t>
        </is>
      </c>
      <c r="D10" s="4" t="inlineStr">
        <is>
          <t>owns a line end to end and leads the floor without the title - IC terminal</t>
        </is>
      </c>
    </row>
    <row r="11">
      <c r="A11" s="3" t="inlineStr">
        <is>
          <t>L5</t>
        </is>
      </c>
      <c r="B11" s="3" t="inlineStr">
        <is>
          <t>Shift Supervisor</t>
        </is>
      </c>
      <c r="C11" s="4" t="inlineStr">
        <is>
          <t>a shift crew</t>
        </is>
      </c>
      <c r="D11" s="4" t="inlineStr">
        <is>
          <t>leads a shift crew and its safety, quality, and output</t>
        </is>
      </c>
    </row>
    <row r="12">
      <c r="A12" s="3" t="inlineStr">
        <is>
          <t>L6</t>
        </is>
      </c>
      <c r="B12" s="3" t="inlineStr">
        <is>
          <t>Area / Production Manager</t>
        </is>
      </c>
      <c r="C12" s="4" t="inlineStr">
        <is>
          <t>a department across shifts</t>
        </is>
      </c>
      <c r="D12" s="4" t="inlineStr">
        <is>
          <t>owns a department across shifts - its people, cost, and performance</t>
        </is>
      </c>
    </row>
    <row r="13">
      <c r="A13" s="3" t="inlineStr">
        <is>
          <t>L7</t>
        </is>
      </c>
      <c r="B13" s="3" t="inlineStr">
        <is>
          <t>Plant Operations Manager</t>
        </is>
      </c>
      <c r="C13" s="4" t="inlineStr">
        <is>
          <t>the whole plant</t>
        </is>
      </c>
      <c r="D13" s="4" t="inlineStr">
        <is>
          <t>owns whole-plant operations, safety, quality, and cost</t>
        </is>
      </c>
    </row>
    <row r="15" ht="60" customHeight="1">
      <c r="A15" s="4" t="inlineStr">
        <is>
          <t>How to read: each row of the Competency Matrix is one competency, mapped to an Open Capability Framework capability (OCF ID column — click through for the catalog entry and its P1-P6 profile). Level columns describe observable behavior at each level; use the Rating Template for self/peer/manager scoring.</t>
        </is>
      </c>
    </row>
    <row r="17">
      <c r="A17" s="1" t="inlineStr">
        <is>
          <t>Framework repository</t>
        </is>
      </c>
      <c r="B17" s="5" t="inlineStr">
        <is>
          <t>https://github.com/jmresearch/open-capability-framework</t>
        </is>
      </c>
    </row>
  </sheetData>
  <mergeCells count="1">
    <mergeCell ref="A15:D15"/>
  </mergeCells>
  <hyperlinks>
    <hyperlink xmlns:r="http://schemas.openxmlformats.org/officeDocument/2006/relationships" ref="B1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12" customWidth="1" min="4" max="4"/>
    <col width="40" customWidth="1" min="5" max="5"/>
    <col width="55" customWidth="1" min="6" max="6"/>
    <col width="55" customWidth="1" min="7" max="7"/>
    <col width="55" customWidth="1" min="8" max="8"/>
    <col width="55" customWidth="1" min="9" max="9"/>
    <col width="55" customWidth="1" min="10" max="10"/>
    <col width="55" customWidth="1" min="11" max="11"/>
    <col width="55" customWidth="1" min="12" max="12"/>
  </cols>
  <sheetData>
    <row r="1">
      <c r="A1" s="1" t="inlineStr">
        <is>
          <t>Key Area</t>
        </is>
      </c>
      <c r="B1" s="1" t="inlineStr">
        <is>
          <t>Focus Area</t>
        </is>
      </c>
      <c r="C1" s="1" t="inlineStr">
        <is>
          <t>Competency</t>
        </is>
      </c>
      <c r="D1" s="1" t="inlineStr">
        <is>
          <t>OCF ID</t>
        </is>
      </c>
      <c r="E1" s="1" t="inlineStr">
        <is>
          <t>Theory Anchor</t>
        </is>
      </c>
      <c r="F1" s="1" t="inlineStr">
        <is>
          <t>L1</t>
        </is>
      </c>
      <c r="G1" s="1" t="inlineStr">
        <is>
          <t>L2</t>
        </is>
      </c>
      <c r="H1" s="1" t="inlineStr">
        <is>
          <t>L3</t>
        </is>
      </c>
      <c r="I1" s="1" t="inlineStr">
        <is>
          <t>L4</t>
        </is>
      </c>
      <c r="J1" s="1" t="inlineStr">
        <is>
          <t>L5</t>
        </is>
      </c>
      <c r="K1" s="1" t="inlineStr">
        <is>
          <t>L6</t>
        </is>
      </c>
      <c r="L1" s="1" t="inlineStr">
        <is>
          <t>L7</t>
        </is>
      </c>
    </row>
    <row r="2">
      <c r="A2" s="4" t="inlineStr">
        <is>
          <t>Food Safety &amp; Regulatory Compliance</t>
        </is>
      </c>
      <c r="B2" s="4" t="inlineStr">
        <is>
          <t>Thermal Process Control</t>
        </is>
      </c>
      <c r="C2" s="4" t="inlineStr">
        <is>
          <t>Pasteurization &amp; flow-diversion control</t>
        </is>
      </c>
      <c r="D2" s="6" t="inlineStr">
        <is>
          <t>proposed</t>
        </is>
      </c>
      <c r="E2" s="4" t="inlineStr">
        <is>
          <t>FDA Grade "A" Pasteurized Milk Ordinance (PMO), current revision</t>
        </is>
      </c>
      <c r="F2" s="4" t="inlineStr">
        <is>
          <t>Depth: Watches the pasteurizer chart and flow-diversion valve under a lead and flags a divert without clearing it. States the legal cut-in temperature for the product running. Scope: one HTST unit, work checked.</t>
        </is>
      </c>
      <c r="G2" s="4" t="inlineStr">
        <is>
          <t>Depth: Runs the pasteurizer across a shift alone, confirms the flow-diversion valve cuts in on a divert, and logs the chart. Clears a routine divert and records its cause unprompted. Scope: the pasteurization area across a shift.</t>
        </is>
      </c>
      <c r="H2" s="4" t="inlineStr">
        <is>
          <t>Depth: The go-to when the flow-diversion valve misbehaves; diagnoses sensor drift or a slow divert across areas and holds product legal. Cracks a nuisance-divert pattern others cannot explain. Scope: multiple areas.</t>
        </is>
      </c>
      <c r="I2" s="4" t="inlineStr">
        <is>
          <t>Depth: Defines the divert response the floor follows and teaches the chart to new operators — IC terminal. Sets the local standard for how a divert is cleared and proven. Scope: a line end to end.</t>
        </is>
      </c>
      <c r="J2" s="4" t="inlineStr">
        <is>
          <t>Depth: Applies the same expert command of pasteurization across the crew, auditing every operator's chart and divert log each shift. Surfaces crew-wide pasteurization compliance in the shift review. Scope: a shift crew.</t>
        </is>
      </c>
      <c r="K2" s="4" t="inlineStr">
        <is>
          <t>Depth: Sets the department's pasteurization-control standard and drives divert rate down department-wide with a targeted standard, anticipating valve and chart failures before they occur. Scope: a department across shifts.</t>
        </is>
      </c>
      <c r="L2" s="4" t="inlineStr">
        <is>
          <t>Depth: Owns the plant's pasteurization guarantee to the regulator and shapes divert-control practice beyond the plant. Signs the PMO compliance the plant is inspected against. Scope: whole plant.</t>
        </is>
      </c>
    </row>
    <row r="3">
      <c r="A3" s="4" t="inlineStr">
        <is>
          <t>Food Safety &amp; Regulatory Compliance</t>
        </is>
      </c>
      <c r="B3" s="4" t="inlineStr">
        <is>
          <t>Thermal Process Control</t>
        </is>
      </c>
      <c r="C3" s="4" t="inlineStr">
        <is>
          <t>Thermal-process legal limits &amp; records</t>
        </is>
      </c>
      <c r="D3" s="6" t="inlineStr">
        <is>
          <t>proposed</t>
        </is>
      </c>
      <c r="E3" s="4" t="inlineStr">
        <is>
          <t>PMO time/temperature legal minima; IDFA thermal-processing guidance</t>
        </is>
      </c>
      <c r="F3" s="4" t="inlineStr">
        <is>
          <t>Depth: Records time and temperature readings on the batch sheet under direction and knows which numbers are legal minima. Reads the required minimum hold temperature off the process record. Scope: one unit, entries checked.</t>
        </is>
      </c>
      <c r="G3" s="4" t="inlineStr">
        <is>
          <t>Depth: Completes the thermal-process record independently for a shift and flags a reading below the legal minimum. Catches and reports an out-of-limit hold time without prompting. Scope: a process area across a shift.</t>
        </is>
      </c>
      <c r="H3" s="4" t="inlineStr">
        <is>
          <t>Depth: The go-to for reconciling a questionable record; reconstructs what happened from charts and logs across areas. Defends a borderline record with the supporting evidence. Scope: multiple areas.</t>
        </is>
      </c>
      <c r="I3" s="4" t="inlineStr">
        <is>
          <t>Depth: Defines how the floor documents and proves the scheduled thermal process and teaches it — IC terminal. Sets the recordkeeping standard an inspector can follow end to end. Scope: a line end to end.</t>
        </is>
      </c>
      <c r="J3" s="4" t="inlineStr">
        <is>
          <t>Depth: Audits the crew's thermal-process records each shift and holds every operator to the legal minima. Signs off the crew's thermal records as inspection-ready. Scope: a shift crew.</t>
        </is>
      </c>
      <c r="K3" s="4" t="inlineStr">
        <is>
          <t>Depth: Sets the department's thermal-record standard and closes record gaps before an audit finds them, anticipating where records will not withstand scrutiny. Scope: a department across shifts.</t>
        </is>
      </c>
      <c r="L3" s="4" t="inlineStr">
        <is>
          <t>Depth: Establishes the plant's legally defensible thermal process and owns the records to the regulator; shapes practice beyond the plant. Is the plant's authority on thermal-process legality. Scope: whole plant.</t>
        </is>
      </c>
    </row>
    <row r="4">
      <c r="A4" s="4" t="inlineStr">
        <is>
          <t>Food Safety &amp; Regulatory Compliance</t>
        </is>
      </c>
      <c r="B4" s="4" t="inlineStr">
        <is>
          <t>Food Safety Systems</t>
        </is>
      </c>
      <c r="C4" s="4" t="inlineStr">
        <is>
          <t>HACCP plan &amp; CCP monitoring</t>
        </is>
      </c>
      <c r="D4" s="6" t="inlineStr">
        <is>
          <t>proposed</t>
        </is>
      </c>
      <c r="E4" s="4" t="inlineStr">
        <is>
          <t>Codex Alimentarius HACCP (CXC 1-1969); NACMCF HACCP Principles (1998)</t>
        </is>
      </c>
      <c r="F4" s="4" t="inlineStr">
        <is>
          <t>Depth: Monitors a critical control point and records the reading on the log under direction, escalating a deviation to a lead. Knows which step on the line is a CCP. Scope: one CCP, entries checked.</t>
        </is>
      </c>
      <c r="G4" s="4" t="inlineStr">
        <is>
          <t>Depth: Runs CCP monitoring for an area across a shift and initiates the documented corrective action on a deviation. Takes the first corrective action on a CCP deviation without waiting. Scope: a process area across a shift.</t>
        </is>
      </c>
      <c r="H4" s="4" t="inlineStr">
        <is>
          <t>Depth: The go-to for ambiguous CCP calls across areas; distinguishes a real deviation from a monitoring artifact. Judges a borderline CCP reading correctly under pressure. Scope: multiple areas.</t>
        </is>
      </c>
      <c r="I4" s="4" t="inlineStr">
        <is>
          <t>Depth: Defines how the floor monitors and verifies CCPs on the line and teaches the crew — IC terminal. Sets the CCP-monitoring standard the line runs to. Scope: a line end to end.</t>
        </is>
      </c>
      <c r="J4" s="4" t="inlineStr">
        <is>
          <t>Depth: Verifies the crew's CCP monitoring each shift and owns corrective-action closure for the crew. Signs the crew's CCP verification records. Scope: a shift crew.</t>
        </is>
      </c>
      <c r="K4" s="4" t="inlineStr">
        <is>
          <t>Depth: Owns the department's HACCP plan and reanalyzes it, catching a hazard the current plan misses before it reaches product. Scope: a department across shifts.</t>
        </is>
      </c>
      <c r="L4" s="4" t="inlineStr">
        <is>
          <t>Depth: Owns the plant HACCP plan to the regulator and shapes HACCP practice beyond the plant. Is accountable for the plant's HACCP validity at audit. Scope: whole plant.</t>
        </is>
      </c>
    </row>
    <row r="5">
      <c r="A5" s="4" t="inlineStr">
        <is>
          <t>Food Safety &amp; Regulatory Compliance</t>
        </is>
      </c>
      <c r="B5" s="4" t="inlineStr">
        <is>
          <t>Food Safety Systems</t>
        </is>
      </c>
      <c r="C5" s="4" t="inlineStr">
        <is>
          <t>Preventive controls &amp; PCQI oversight</t>
        </is>
      </c>
      <c r="D5" s="6" t="inlineStr">
        <is>
          <t>proposed</t>
        </is>
      </c>
      <c r="E5" s="4" t="inlineStr">
        <is>
          <t>FSMA Preventive Controls for Human Food (21 CFR 117 Subpart C); FSPCA</t>
        </is>
      </c>
      <c r="F5" s="4" t="inlineStr">
        <is>
          <t>Depth: Executes a preventive-control monitoring task under direction and records it on the food-safety-plan log. Follows a preventive-control monitoring procedure as written. Scope: one control, checked.</t>
        </is>
      </c>
      <c r="G5" s="4" t="inlineStr">
        <is>
          <t>Depth: Independently monitors and documents assigned preventive controls across a shift and flags a gap. Reports a preventive-control lapse before it recurs. Scope: a process area across a shift.</t>
        </is>
      </c>
      <c r="H5" s="4" t="inlineStr">
        <is>
          <t>Depth: The go-to for interpreting a preventive control in an ambiguous situation across areas. Decides correctly whether a preventive control held. Scope: multiple areas.</t>
        </is>
      </c>
      <c r="I5" s="4" t="inlineStr">
        <is>
          <t>Depth: Defines how the floor executes preventive controls on the line and coaches operators — IC terminal. Sets the line's preventive-control monitoring standard. Scope: a line end to end.</t>
        </is>
      </c>
      <c r="J5" s="4" t="inlineStr">
        <is>
          <t>Depth: Oversees the crew's preventive controls and verification each shift. Holds the crew's food-safety plan current for the shift. Scope: a shift crew.</t>
        </is>
      </c>
      <c r="K5" s="4" t="inlineStr">
        <is>
          <t>Depth: Acts as the qualified individual for the department — validates, verifies, and reanalyzes the plan, and defines a preventive control other areas adopt. Scope: a department across shifts.</t>
        </is>
      </c>
      <c r="L5" s="4" t="inlineStr">
        <is>
          <t>Depth: Owns the plant's preventive-controls program to the regulator and shapes FSMA practice beyond the plant. Is the plant's qualified authority on the food-safety plan. Scope: whole plant.</t>
        </is>
      </c>
    </row>
    <row r="6">
      <c r="A6" s="4" t="inlineStr">
        <is>
          <t>Food Safety &amp; Regulatory Compliance</t>
        </is>
      </c>
      <c r="B6" s="4" t="inlineStr">
        <is>
          <t>Contamination Control</t>
        </is>
      </c>
      <c r="C6" s="4" t="inlineStr">
        <is>
          <t>Environmental monitoring &amp; pathogen control</t>
        </is>
      </c>
      <c r="D6" s="6" t="inlineStr">
        <is>
          <t>proposed</t>
        </is>
      </c>
      <c r="E6" s="4" t="inlineStr">
        <is>
          <t>FDA Control of Listeria monocytogenes guidance (2017); zoning (Zone 1-4)</t>
        </is>
      </c>
      <c r="F6" s="4" t="inlineStr">
        <is>
          <t>Depth: Collects environmental swabs on a route under direction and labels sites by zone. Swabs a Zone 1 site correctly on the sampling map. Scope: one route, work checked.</t>
        </is>
      </c>
      <c r="G6" s="4" t="inlineStr">
        <is>
          <t>Depth: Runs the swab schedule for an area independently and records results, flagging a presumptive positive. Executes the presumptive-positive response steps unprompted. Scope: a process area across a shift.</t>
        </is>
      </c>
      <c r="H6" s="4" t="inlineStr">
        <is>
          <t>Depth: The go-to for interpreting a positive trend across areas; runs a basic seek-and-destroy on a harborage. Traces a recurring positive to its harborage site. Scope: multiple areas.</t>
        </is>
      </c>
      <c r="I6" s="4" t="inlineStr">
        <is>
          <t>Depth: Defines the floor's zoning and swab discipline on the line and teaches it — IC terminal. Sets the line's environmental-monitoring standard. Scope: a line end to end.</t>
        </is>
      </c>
      <c r="J6" s="4" t="inlineStr">
        <is>
          <t>Depth: Owns the crew's environmental program and drives corrective sanitation on positives each shift. Closes out the crew's positive findings to negative. Scope: a shift crew.</t>
        </is>
      </c>
      <c r="K6" s="4" t="inlineStr">
        <is>
          <t>Depth: Sets the department's environmental-monitoring program and redesigns zoning to eliminate a recurring pathogen niche. Scope: a department across shifts.</t>
        </is>
      </c>
      <c r="L6" s="4" t="inlineStr">
        <is>
          <t>Depth: Owns the plant's pathogen-control program to the regulator and shapes environmental-monitoring practice beyond the plant. Is accountable for the plant's Listeria-control posture. Scope: whole plant.</t>
        </is>
      </c>
    </row>
    <row r="7">
      <c r="A7" s="4" t="inlineStr">
        <is>
          <t>Food Safety &amp; Regulatory Compliance</t>
        </is>
      </c>
      <c r="B7" s="4" t="inlineStr">
        <is>
          <t>Contamination Control</t>
        </is>
      </c>
      <c r="C7" s="4" t="inlineStr">
        <is>
          <t>Allergen control &amp; changeover</t>
        </is>
      </c>
      <c r="D7" s="6" t="inlineStr">
        <is>
          <t>proposed</t>
        </is>
      </c>
      <c r="E7" s="4" t="inlineStr">
        <is>
          <t>FALCPA (2004); FDA allergen preventive-control expectations (21 CFR 117)</t>
        </is>
      </c>
      <c r="F7" s="4" t="inlineStr">
        <is>
          <t>Depth: Follows the allergen changeover checklist under direction and verifies a label matches the run. Confirms the correct label is loaded for the product. Scope: one changeover, checked.</t>
        </is>
      </c>
      <c r="G7" s="4" t="inlineStr">
        <is>
          <t>Depth: Runs an allergen changeover independently and documents the validated cleaning between profiles. Completes a validated allergen changeover across the shift alone. Scope: a process area across a shift.</t>
        </is>
      </c>
      <c r="H7" s="4" t="inlineStr">
        <is>
          <t>Depth: The go-to when an allergen sequence is ambiguous; sequences production to minimize cross-contact. Resequences a run to avoid an allergen conflict. Scope: multiple areas.</t>
        </is>
      </c>
      <c r="I7" s="4" t="inlineStr">
        <is>
          <t>Depth: Defines the line's allergen matrix and changeover discipline and teaches it — IC terminal. Sets the changeover-validation standard the line follows. Scope: a line end to end.</t>
        </is>
      </c>
      <c r="J7" s="4" t="inlineStr">
        <is>
          <t>Depth: Audits the crew's allergen segregation, changeovers, and labeling each shift. Verifies every crew changeover against the allergen matrix. Scope: a shift crew.</t>
        </is>
      </c>
      <c r="K7" s="4" t="inlineStr">
        <is>
          <t>Depth: Owns the department's allergen program and eliminates a cross-contact risk by redesigning the production sequence. Scope: a department across shifts.</t>
        </is>
      </c>
      <c r="L7" s="4" t="inlineStr">
        <is>
          <t>Depth: Owns the plant's allergen program and label control and shapes practice beyond the plant. Is accountable for zero undeclared-allergen escapes plant-wide. Scope: whole plant.</t>
        </is>
      </c>
    </row>
    <row r="8">
      <c r="A8" s="4" t="inlineStr">
        <is>
          <t>Food Safety &amp; Regulatory Compliance</t>
        </is>
      </c>
      <c r="B8" s="4" t="inlineStr">
        <is>
          <t>Regulatory &amp; Audit Readiness</t>
        </is>
      </c>
      <c r="C8" s="4" t="inlineStr">
        <is>
          <t>PMO &amp; Grade A regulatory recordkeeping</t>
        </is>
      </c>
      <c r="D8" s="6" t="inlineStr">
        <is>
          <t>proposed</t>
        </is>
      </c>
      <c r="E8" s="4" t="inlineStr">
        <is>
          <t>PMO; NCIMS (National Conference on Interstate Milk Shipments)</t>
        </is>
      </c>
      <c r="F8" s="4" t="inlineStr">
        <is>
          <t>Depth: Completes assigned Grade A records under direction and files them correctly. Fills a PMO record legibly and completely. Scope: one record set, checked.</t>
        </is>
      </c>
      <c r="G8" s="4" t="inlineStr">
        <is>
          <t>Depth: Maintains the area's Grade A records across a shift and flags a missing entry. Keeps the area's regulatory log current unprompted. Scope: a process area across a shift.</t>
        </is>
      </c>
      <c r="H8" s="4" t="inlineStr">
        <is>
          <t>Depth: The go-to for reconstructing an incomplete record across areas ahead of inspection. Reconciles a record discrepancy before the inspector arrives. Scope: multiple areas.</t>
        </is>
      </c>
      <c r="I8" s="4" t="inlineStr">
        <is>
          <t>Depth: Defines how the floor keeps PMO records on the line and teaches it — IC terminal. Sets the line's Grade A recordkeeping standard. Scope: a line end to end.</t>
        </is>
      </c>
      <c r="J8" s="4" t="inlineStr">
        <is>
          <t>Depth: Audits the crew's regulatory records each shift for inspection-readiness. Holds the crew's Grade A records audit-ready every shift. Scope: a shift crew.</t>
        </is>
      </c>
      <c r="K8" s="4" t="inlineStr">
        <is>
          <t>Depth: Owns the department's regulatory recordkeeping and closes a systemic record gap the NCIMS audit would flag. Scope: a department across shifts.</t>
        </is>
      </c>
      <c r="L8" s="4" t="inlineStr">
        <is>
          <t>Depth: Owns the plant's Grade A / PMO compliance to NCIMS and shapes practice beyond the plant. Is the plant's signatory for Grade A regulatory standing. Scope: whole plant.</t>
        </is>
      </c>
    </row>
    <row r="9">
      <c r="A9" s="4" t="inlineStr">
        <is>
          <t>Food Safety &amp; Regulatory Compliance</t>
        </is>
      </c>
      <c r="B9" s="4" t="inlineStr">
        <is>
          <t>Regulatory &amp; Audit Readiness</t>
        </is>
      </c>
      <c r="C9" s="4" t="inlineStr">
        <is>
          <t>GFSI audit &amp; certification readiness</t>
        </is>
      </c>
      <c r="D9" s="6" t="inlineStr">
        <is>
          <t>proposed</t>
        </is>
      </c>
      <c r="E9" s="4" t="inlineStr">
        <is>
          <t>GFSI Benchmarking Requirements; SQF / BRCGS / FSSC 22000</t>
        </is>
      </c>
      <c r="F9" s="4" t="inlineStr">
        <is>
          <t>Depth: Prepares assigned records and area for audit under direction. Presents a clean workstation and its records at audit. Scope: one area, checked.</t>
        </is>
      </c>
      <c r="G9" s="4" t="inlineStr">
        <is>
          <t>Depth: Keeps an area continuously audit-ready across a shift and answers routine auditor questions. Fields a standard SQF auditor question about their area. Scope: a process area across a shift.</t>
        </is>
      </c>
      <c r="H9" s="4" t="inlineStr">
        <is>
          <t>Depth: The go-to during an audit for the tricky findings across areas. Handles a non-conformance question others defer. Scope: multiple areas.</t>
        </is>
      </c>
      <c r="I9" s="4" t="inlineStr">
        <is>
          <t>Depth: Defines the line's audit-readiness routine and teaches the crew — IC terminal. Sets the continuous-readiness standard the line holds. Scope: a line end to end.</t>
        </is>
      </c>
      <c r="J9" s="4" t="inlineStr">
        <is>
          <t>Depth: Leads the crew through the audit and owns corrective actions for the shift. Fronts the crew's portion of the certification audit. Scope: a shift crew.</t>
        </is>
      </c>
      <c r="K9" s="4" t="inlineStr">
        <is>
          <t>Depth: Owns the department's certification scheme and drives closure of audit findings into permanent system changes. Scope: a department across shifts.</t>
        </is>
      </c>
      <c r="L9" s="4" t="inlineStr">
        <is>
          <t>Depth: Owns the plant's GFSI certification and shapes food-safety-scheme practice beyond the plant. Is accountable for the plant keeping its certificate. Scope: whole plant.</t>
        </is>
      </c>
    </row>
    <row r="10">
      <c r="A10" s="4" t="inlineStr">
        <is>
          <t>Food Safety &amp; Regulatory Compliance</t>
        </is>
      </c>
      <c r="B10" s="4" t="inlineStr">
        <is>
          <t>Regulatory &amp; Audit Readiness</t>
        </is>
      </c>
      <c r="C10" s="4" t="inlineStr">
        <is>
          <t>GMP &amp; personnel hygiene</t>
        </is>
      </c>
      <c r="D10" s="6" t="inlineStr">
        <is>
          <t>proposed</t>
        </is>
      </c>
      <c r="E10" s="4" t="inlineStr">
        <is>
          <t>Current Good Manufacturing Practice (21 CFR 117 Subpart B)</t>
        </is>
      </c>
      <c r="F10" s="4" t="inlineStr">
        <is>
          <t>Depth: Follows GMP and hygiene rules under direction and gowns correctly. Enters the process area with correct hygiene and gowning. Scope: self, checked.</t>
        </is>
      </c>
      <c r="G10" s="4" t="inlineStr">
        <is>
          <t>Depth: Maintains GMP compliance across a shift and corrects a peer's minor lapse informally. Reminds a peer of a GMP rule without being asked. Scope: a process area across a shift.</t>
        </is>
      </c>
      <c r="H10" s="4" t="inlineStr">
        <is>
          <t>Depth: The go-to for GMP judgment calls across areas. Rules on an ambiguous hygiene situation correctly. Scope: multiple areas.</t>
        </is>
      </c>
      <c r="I10" s="4" t="inlineStr">
        <is>
          <t>Depth: Defines the line's GMP practice and teaches new operators — IC terminal. Sets the hygiene standard the line follows. Scope: a line end to end.</t>
        </is>
      </c>
      <c r="J10" s="4" t="inlineStr">
        <is>
          <t>Depth: Enforces GMP across the crew each shift and owns the corrective conversation. Holds the crew to the GMP standard visibly. Scope: a shift crew.</t>
        </is>
      </c>
      <c r="K10" s="4" t="inlineStr">
        <is>
          <t>Depth: Owns the department's GMP program and closes a recurring hygiene gap through a system change. Scope: a department across shifts.</t>
        </is>
      </c>
      <c r="L10" s="4" t="inlineStr">
        <is>
          <t>Depth: Owns the plant's cGMP program and shapes practice beyond the plant. Is accountable for the plant's GMP foundation at audit. Scope: whole plant.</t>
        </is>
      </c>
    </row>
    <row r="11">
      <c r="A11" s="4" t="inlineStr">
        <is>
          <t>Process Operations &amp; Control</t>
        </is>
      </c>
      <c r="B11" s="4" t="inlineStr">
        <is>
          <t>Receiving &amp; Standardization</t>
        </is>
      </c>
      <c r="C11" s="4" t="inlineStr">
        <is>
          <t>Raw milk receiving &amp; grading</t>
        </is>
      </c>
      <c r="D11" s="6" t="inlineStr">
        <is>
          <t>proposed</t>
        </is>
      </c>
      <c r="E11" s="4" t="inlineStr">
        <is>
          <t>PMO raw-milk standards; Standard Methods for the Examination of Dairy Products (APHA)</t>
        </is>
      </c>
      <c r="F11" s="4" t="inlineStr">
        <is>
          <t>Depth: Assists raw-milk intake under direction — hooks the tanker and pulls a sample. Draws a receiving sample by the correct method. Scope: one bay, checked.</t>
        </is>
      </c>
      <c r="G11" s="4" t="inlineStr">
        <is>
          <t>Depth: Receives and grades a load independently across a shift, running platform tests and logging results. Rejects an out-of-spec load on the antibiotic or temperature screen alone. Scope: the receiving area across a shift.</t>
        </is>
      </c>
      <c r="H11" s="4" t="inlineStr">
        <is>
          <t>Depth: The go-to for a questionable load across areas; interprets sensory and lab screens under ambiguity. Calls a marginal load correctly on limited evidence. Scope: multiple areas.</t>
        </is>
      </c>
      <c r="I11" s="4" t="inlineStr">
        <is>
          <t>Depth: Defines the receiving and grading standard on the line and teaches it — IC terminal. Sets the accept/reject standard the floor uses. Scope: a line end to end.</t>
        </is>
      </c>
      <c r="J11" s="4" t="inlineStr">
        <is>
          <t>Depth: Owns the crew's receiving discipline and dispositions each shift. Backs the crew's accept/reject calls to suppliers. Scope: a shift crew.</t>
        </is>
      </c>
      <c r="K11" s="4" t="inlineStr">
        <is>
          <t>Depth: Owns the department's raw-milk quality program and drives supplier quality up through receiving data. Scope: a department across shifts.</t>
        </is>
      </c>
      <c r="L11" s="4" t="inlineStr">
        <is>
          <t>Depth: Owns the plant's raw-milk standards and shapes receiving practice beyond the plant. Sets the plant's incoming-milk acceptance policy. Scope: whole plant.</t>
        </is>
      </c>
    </row>
    <row r="12">
      <c r="A12" s="4" t="inlineStr">
        <is>
          <t>Process Operations &amp; Control</t>
        </is>
      </c>
      <c r="B12" s="4" t="inlineStr">
        <is>
          <t>Receiving &amp; Standardization</t>
        </is>
      </c>
      <c r="C12" s="4" t="inlineStr">
        <is>
          <t>Separation &amp; standardization</t>
        </is>
      </c>
      <c r="D12" s="6" t="inlineStr">
        <is>
          <t>proposed</t>
        </is>
      </c>
      <c r="E12" s="4" t="inlineStr">
        <is>
          <t>Bylund, Dairy Processing Handbook (Tetra Pak)</t>
        </is>
      </c>
      <c r="F12" s="4" t="inlineStr">
        <is>
          <t>Depth: Operates the separator under direction and reads the fat target off the sheet. Runs the separator to a given cream/skim setpoint. Scope: one unit, checked.</t>
        </is>
      </c>
      <c r="G12" s="4" t="inlineStr">
        <is>
          <t>Depth: Standardizes to a fat and solids target independently across a shift and adjusts for routine variation. Hits the standardization target across the shift alone. Scope: the separation area across a shift.</t>
        </is>
      </c>
      <c r="H12" s="4" t="inlineStr">
        <is>
          <t>Depth: The go-to when standardization drifts across areas; diagnoses a separator or metering fault. Corrects a persistent fat-target miss others cannot. Scope: multiple areas.</t>
        </is>
      </c>
      <c r="I12" s="4" t="inlineStr">
        <is>
          <t>Depth: Defines the standardization method on the line and teaches it — IC terminal. Sets the standardization standard the line runs to. Scope: a line end to end.</t>
        </is>
      </c>
      <c r="J12" s="4" t="inlineStr">
        <is>
          <t>Depth: Audits the crew's standardization accuracy and giveaway each shift. Holds crew standardization within target and cost. Scope: a shift crew.</t>
        </is>
      </c>
      <c r="K12" s="4" t="inlineStr">
        <is>
          <t>Depth: Owns the department's standardization performance and cuts fat giveaway through a tightened method. Scope: a department across shifts.</t>
        </is>
      </c>
      <c r="L12" s="4" t="inlineStr">
        <is>
          <t>Depth: Owns the plant's composition compliance and shapes practice beyond the plant. Is accountable for legal composition plant-wide. Scope: whole plant.</t>
        </is>
      </c>
    </row>
    <row r="13">
      <c r="A13" s="4" t="inlineStr">
        <is>
          <t>Process Operations &amp; Control</t>
        </is>
      </c>
      <c r="B13" s="4" t="inlineStr">
        <is>
          <t>Thermal Processing &amp; Homogenization</t>
        </is>
      </c>
      <c r="C13" s="4" t="inlineStr">
        <is>
          <t>Thermal processing operation (HTST/HHST/UHT)</t>
        </is>
      </c>
      <c r="D13" s="6" t="inlineStr">
        <is>
          <t>proposed</t>
        </is>
      </c>
      <c r="E13" s="4" t="inlineStr">
        <is>
          <t>Bylund, Dairy Processing Handbook; PMO pasteurization equipment specs</t>
        </is>
      </c>
      <c r="F13" s="4" t="inlineStr">
        <is>
          <t>Depth: Assists heat-treatment startup and shutdown under direction — water-to-product, chart on. Performs a water-to-product startup under a lead. Scope: one unit, checked.</t>
        </is>
      </c>
      <c r="G13" s="4" t="inlineStr">
        <is>
          <t>Depth: Runs an HTST or UHT system independently across a shift, managing regeneration and pressure balance. Holds pressure balance correct through a full run alone. Scope: the thermal area across a shift.</t>
        </is>
      </c>
      <c r="H13" s="4" t="inlineStr">
        <is>
          <t>Depth: The go-to for run-length, fouling, and sterility-hold problems across areas. Extends run length by managing fouling others could not. Scope: multiple areas.</t>
        </is>
      </c>
      <c r="I13" s="4" t="inlineStr">
        <is>
          <t>Depth: Defines the line's heat-treatment operating method and teaches it — IC terminal. Sets the startup, run, and CIP-out standard for the system. Scope: a line end to end.</t>
        </is>
      </c>
      <c r="J13" s="4" t="inlineStr">
        <is>
          <t>Depth: Owns the crew's thermal-system operation and uptime each shift. Keeps the crew's heat-treatment running legal and stable. Scope: a shift crew.</t>
        </is>
      </c>
      <c r="K13" s="4" t="inlineStr">
        <is>
          <t>Depth: Owns the department's thermal-processing performance and redesigns a run strategy to raise uptime. Scope: a department across shifts.</t>
        </is>
      </c>
      <c r="L13" s="4" t="inlineStr">
        <is>
          <t>Depth: Owns plant thermal-processing capability and shapes practice beyond the plant. Sets how the plant operates its heat-treatment fleet. Scope: whole plant.</t>
        </is>
      </c>
    </row>
    <row r="14">
      <c r="A14" s="4" t="inlineStr">
        <is>
          <t>Process Operations &amp; Control</t>
        </is>
      </c>
      <c r="B14" s="4" t="inlineStr">
        <is>
          <t>Thermal Processing &amp; Homogenization</t>
        </is>
      </c>
      <c r="C14" s="4" t="inlineStr">
        <is>
          <t>Homogenization &amp; product finishing</t>
        </is>
      </c>
      <c r="D14" s="6" t="inlineStr">
        <is>
          <t>proposed</t>
        </is>
      </c>
      <c r="E14" s="4" t="inlineStr">
        <is>
          <t>Bylund, Dairy Processing Handbook</t>
        </is>
      </c>
      <c r="F14" s="4" t="inlineStr">
        <is>
          <t>Depth: Operates the homogenizer under direction and reads pressure targets. Sets homogenizer pressures to the recipe. Scope: one unit, checked.</t>
        </is>
      </c>
      <c r="G14" s="4" t="inlineStr">
        <is>
          <t>Depth: Runs homogenization independently across a shift and verifies product finish. Confirms homogenization efficiency on the shift's product alone. Scope: the area across a shift.</t>
        </is>
      </c>
      <c r="H14" s="4" t="inlineStr">
        <is>
          <t>Depth: The go-to for a homogenizer or finish problem across areas. Diagnoses a poor-finish batch to the homogenization stage. Scope: multiple areas.</t>
        </is>
      </c>
      <c r="I14" s="4" t="inlineStr">
        <is>
          <t>Depth: Defines the line's homogenization and finishing method and teaches it — IC terminal. Sets the finishing standard the line runs to. Scope: a line end to end.</t>
        </is>
      </c>
      <c r="J14" s="4" t="inlineStr">
        <is>
          <t>Depth: Owns the crew's homogenization quality each shift. Holds product finish consistent across the crew. Scope: a shift crew.</t>
        </is>
      </c>
      <c r="K14" s="4" t="inlineStr">
        <is>
          <t>Depth: Owns the department's finishing performance and improves stability through a revised homogenization standard. Scope: a department across shifts.</t>
        </is>
      </c>
      <c r="L14" s="4" t="inlineStr">
        <is>
          <t>Depth: Owns plant product-finishing capability and shapes practice beyond the plant. Sets the plant's homogenization and composition standard. Scope: whole plant.</t>
        </is>
      </c>
    </row>
    <row r="15">
      <c r="A15" s="4" t="inlineStr">
        <is>
          <t>Process Operations &amp; Control</t>
        </is>
      </c>
      <c r="B15" s="4" t="inlineStr">
        <is>
          <t>Filling, Packaging &amp; Cold Chain</t>
        </is>
      </c>
      <c r="C15" s="4" t="inlineStr">
        <is>
          <t>Filling &amp; packaging operation</t>
        </is>
      </c>
      <c r="D15" s="6" t="inlineStr">
        <is>
          <t>proposed</t>
        </is>
      </c>
      <c r="E15" s="4" t="inlineStr">
        <is>
          <t>Hygienic filling practice; Bylund, Dairy Processing Handbook</t>
        </is>
      </c>
      <c r="F15" s="4" t="inlineStr">
        <is>
          <t>Depth: Operates a filler under direction, monitoring fill weight and seal. Checks fill weight and seal against target. Scope: one machine, checked.</t>
        </is>
      </c>
      <c r="G15" s="4" t="inlineStr">
        <is>
          <t>Depth: Runs a filling and packaging line independently across a shift and corrects routine fill/seal drift. Holds fill weight and seal integrity across the shift alone. Scope: a process area across a shift.</t>
        </is>
      </c>
      <c r="H15" s="4" t="inlineStr">
        <is>
          <t>Depth: The go-to for filler and seal faults across areas under hygienic constraint. Recovers a filler from a recurring seal defect others could not. Scope: multiple areas.</t>
        </is>
      </c>
      <c r="I15" s="4" t="inlineStr">
        <is>
          <t>Depth: Defines the line's hygienic filling and changeover method and teaches it — IC terminal. Sets the fill-accuracy and seal standard for the line. Scope: a line end to end.</t>
        </is>
      </c>
      <c r="J15" s="4" t="inlineStr">
        <is>
          <t>Depth: Owns the crew's filling performance, giveaway, and seals each shift. Holds crew fill giveaway and seal quality in target. Scope: a shift crew.</t>
        </is>
      </c>
      <c r="K15" s="4" t="inlineStr">
        <is>
          <t>Depth: Owns the department's packaging performance and cuts giveaway and rejects through a filling standard. Scope: a department across shifts.</t>
        </is>
      </c>
      <c r="L15" s="4" t="inlineStr">
        <is>
          <t>Depth: Owns plant filling and packaging capability and shapes practice beyond the plant. Sets the plant's hygienic-filling standard. Scope: whole plant.</t>
        </is>
      </c>
    </row>
    <row r="16">
      <c r="A16" s="4" t="inlineStr">
        <is>
          <t>Process Operations &amp; Control</t>
        </is>
      </c>
      <c r="B16" s="4" t="inlineStr">
        <is>
          <t>Filling, Packaging &amp; Cold Chain</t>
        </is>
      </c>
      <c r="C16" s="4" t="inlineStr">
        <is>
          <t>Cold chain &amp; finished-goods integrity</t>
        </is>
      </c>
      <c r="D16" s="6" t="inlineStr">
        <is>
          <t>proposed</t>
        </is>
      </c>
      <c r="E16" s="4" t="inlineStr">
        <is>
          <t>PMO finished-product temperature limits; cold-chain best practice</t>
        </is>
      </c>
      <c r="F16" s="4" t="inlineStr">
        <is>
          <t>Depth: Monitors and logs cold-storage and product temperatures under direction. Logs a finished-product temperature against the PMO limit. Scope: one store or task, checked.</t>
        </is>
      </c>
      <c r="G16" s="4" t="inlineStr">
        <is>
          <t>Depth: Manages cold-chain handoffs for an area across a shift and flags an excursion. Acts on a cold-chain excursion before product is at risk. Scope: a process area across a shift.</t>
        </is>
      </c>
      <c r="H16" s="4" t="inlineStr">
        <is>
          <t>Depth: The go-to for a cold-chain problem across areas; dispositions product on a temperature abuse. Judges product disposition on a temperature excursion correctly. Scope: multiple areas.</t>
        </is>
      </c>
      <c r="I16" s="4" t="inlineStr">
        <is>
          <t>Depth: Defines the line's cold-chain discipline through to dispatch and teaches it — IC terminal. Sets the finished-goods temperature standard the line holds. Scope: a line end to end.</t>
        </is>
      </c>
      <c r="J16" s="4" t="inlineStr">
        <is>
          <t>Depth: Owns the crew's cold-chain integrity each shift. Keeps the crew's finished goods within temperature to dispatch. Scope: a shift crew.</t>
        </is>
      </c>
      <c r="K16" s="4" t="inlineStr">
        <is>
          <t>Depth: Owns the department's cold-chain performance and closes a recurring excursion point in the flow. Scope: a department across shifts.</t>
        </is>
      </c>
      <c r="L16" s="4" t="inlineStr">
        <is>
          <t>Depth: Owns plant cold-chain integrity and shapes practice beyond the plant. Is accountable for finished-goods safety plant-wide. Scope: whole plant.</t>
        </is>
      </c>
    </row>
    <row r="17">
      <c r="A17" s="4" t="inlineStr">
        <is>
          <t>Sanitation &amp; Hygiene</t>
        </is>
      </c>
      <c r="B17" s="4" t="inlineStr">
        <is>
          <t>Clean-in-Place</t>
        </is>
      </c>
      <c r="C17" s="4" t="inlineStr">
        <is>
          <t>CIP cycle execution &amp; verification</t>
        </is>
      </c>
      <c r="D17" s="6" t="inlineStr">
        <is>
          <t>proposed</t>
        </is>
      </c>
      <c r="E17" s="4" t="inlineStr">
        <is>
          <t>Bylund, Dairy Processing Handbook (CIP); 3-A Sanitary Standards</t>
        </is>
      </c>
      <c r="F17" s="4" t="inlineStr">
        <is>
          <t>Depth: Sets up and starts a CIP circuit under direction and reads the cycle steps. Confirms a CIP circuit is connected to the right target. Scope: one circuit, checked.</t>
        </is>
      </c>
      <c r="G17" s="4" t="inlineStr">
        <is>
          <t>Depth: Runs a CIP cycle independently across a shift and verifies it by conductivity, temperature, and time. Verifies a completed CIP against its parameters alone. Scope: a process area across a shift.</t>
        </is>
      </c>
      <c r="H17" s="4" t="inlineStr">
        <is>
          <t>Depth: The go-to for a failed or doubtful CIP across areas; troubleshoots coverage and return. Traces a CIP failure to a spray path others missed. Scope: multiple areas.</t>
        </is>
      </c>
      <c r="I17" s="4" t="inlineStr">
        <is>
          <t>Depth: Defines the line's CIP-verification discipline, including ATP and swab checks, and teaches it — IC terminal. Sets the proven-clean standard the line accepts. Scope: a line end to end.</t>
        </is>
      </c>
      <c r="J17" s="4" t="inlineStr">
        <is>
          <t>Depth: Audits the crew's CIP records and verification each shift. Signs off the crew's CIP as verified clean. Scope: a shift crew.</t>
        </is>
      </c>
      <c r="K17" s="4" t="inlineStr">
        <is>
          <t>Depth: Owns the department's CIP program and re-engineers a circuit to close a cleaning-failure pattern. Scope: a department across shifts.</t>
        </is>
      </c>
      <c r="L17" s="4" t="inlineStr">
        <is>
          <t>Depth: Owns plant CIP standards and shapes practice beyond the plant. Sets how the plant proves closed equipment clean. Scope: whole plant.</t>
        </is>
      </c>
    </row>
    <row r="18">
      <c r="A18" s="4" t="inlineStr">
        <is>
          <t>Sanitation &amp; Hygiene</t>
        </is>
      </c>
      <c r="B18" s="4" t="inlineStr">
        <is>
          <t>Clean-in-Place</t>
        </is>
      </c>
      <c r="C18" s="4" t="inlineStr">
        <is>
          <t>Cleaning chemistry &amp; titration control</t>
        </is>
      </c>
      <c r="D18" s="6" t="inlineStr">
        <is>
          <t>proposed</t>
        </is>
      </c>
      <c r="E18" s="4" t="inlineStr">
        <is>
          <t>Cleaning-chemical supplier standards; 3-A; alkaline/acid CIP chemistry</t>
        </is>
      </c>
      <c r="F18" s="4" t="inlineStr">
        <is>
          <t>Depth: Titrates a CIP solution under direction and records concentration. Runs a titration and reads the concentration correctly. Scope: one task, checked.</t>
        </is>
      </c>
      <c r="G18" s="4" t="inlineStr">
        <is>
          <t>Depth: Manages CIP chemical concentrations across a shift and adjusts to target safely. Corrects an out-of-range CIP concentration alone. Scope: a process area across a shift.</t>
        </is>
      </c>
      <c r="H18" s="4" t="inlineStr">
        <is>
          <t>Depth: The go-to for a chemistry problem across areas; balances efficacy, safety, and cost. Diagnoses a cleaning failure to a chemistry cause others missed. Scope: multiple areas.</t>
        </is>
      </c>
      <c r="I18" s="4" t="inlineStr">
        <is>
          <t>Depth: Defines the line's cleaning-chemistry standard and teaches safe handling — IC terminal. Sets the concentration and titration standard for the line. Scope: a line end to end.</t>
        </is>
      </c>
      <c r="J18" s="4" t="inlineStr">
        <is>
          <t>Depth: Audits the crew's chemistry control and chemical safety each shift. Holds crew CIP chemistry in range and handled safely. Scope: a shift crew.</t>
        </is>
      </c>
      <c r="K18" s="4" t="inlineStr">
        <is>
          <t>Depth: Owns the department's cleaning-chemistry program and cuts chemical cost while holding efficacy. Scope: a department across shifts.</t>
        </is>
      </c>
      <c r="L18" s="4" t="inlineStr">
        <is>
          <t>Depth: Owns plant cleaning-chemistry strategy and shapes practice beyond the plant. Sets the plant's chemical-supplier and chemistry standard. Scope: whole plant.</t>
        </is>
      </c>
    </row>
    <row r="19">
      <c r="A19" s="4" t="inlineStr">
        <is>
          <t>Sanitation &amp; Hygiene</t>
        </is>
      </c>
      <c r="B19" s="4" t="inlineStr">
        <is>
          <t>Hygienic Operations</t>
        </is>
      </c>
      <c r="C19" s="4" t="inlineStr">
        <is>
          <t>COP &amp; manual sanitation</t>
        </is>
      </c>
      <c r="D19" s="6" t="inlineStr">
        <is>
          <t>proposed</t>
        </is>
      </c>
      <c r="E19" s="4" t="inlineStr">
        <is>
          <t>cGMP sanitation (21 CFR 117 Subpart B); Master Sanitation Schedule practice</t>
        </is>
      </c>
      <c r="F19" s="4" t="inlineStr">
        <is>
          <t>Depth: Cleans parts through COP and by hand under direction to the procedure. Disassembles, washes, and sanitizes a part as instructed. Scope: one task, checked.</t>
        </is>
      </c>
      <c r="G19" s="4" t="inlineStr">
        <is>
          <t>Depth: Runs COP and manual sanitation for an area across a shift to a verified result. Verifies a manually cleaned surface is hygienic alone. Scope: a process area across a shift.</t>
        </is>
      </c>
      <c r="H19" s="4" t="inlineStr">
        <is>
          <t>Depth: The go-to for a hard-to-clean item across areas. Cleans a fouled part to spec that defeated others. Scope: multiple areas.</t>
        </is>
      </c>
      <c r="I19" s="4" t="inlineStr">
        <is>
          <t>Depth: Defines the line's COP and manual method and the master sanitation schedule and teaches it — IC terminal. Sets the manual-clean standard the line accepts. Scope: a line end to end.</t>
        </is>
      </c>
      <c r="J19" s="4" t="inlineStr">
        <is>
          <t>Depth: Audits the crew's COP and manual sanitation each shift. Confirms the crew's manual sanitation to a hygienic result. Scope: a shift crew.</t>
        </is>
      </c>
      <c r="K19" s="4" t="inlineStr">
        <is>
          <t>Depth: Owns the department's master sanitation schedule and closes a recurring manual-clean miss through a schedule change. Scope: a department across shifts.</t>
        </is>
      </c>
      <c r="L19" s="4" t="inlineStr">
        <is>
          <t>Depth: Owns plant sanitation practice beyond CIP and shapes it beyond the plant. Sets the plant's non-CIP sanitation standard. Scope: whole plant.</t>
        </is>
      </c>
    </row>
    <row r="20">
      <c r="A20" s="4" t="inlineStr">
        <is>
          <t>Sanitation &amp; Hygiene</t>
        </is>
      </c>
      <c r="B20" s="4" t="inlineStr">
        <is>
          <t>Hygienic Operations</t>
        </is>
      </c>
      <c r="C20" s="4" t="inlineStr">
        <is>
          <t>Hygienic design &amp; 3-A conformance</t>
        </is>
      </c>
      <c r="D20" s="6" t="inlineStr">
        <is>
          <t>proposed</t>
        </is>
      </c>
      <c r="E20" s="4" t="inlineStr">
        <is>
          <t>3-A Sanitary Standards; EHEDG hygienic-design principles</t>
        </is>
      </c>
      <c r="F20" s="4" t="inlineStr">
        <is>
          <t>Depth: Recognizes hygienic-design features under direction and spots an obvious dead leg. Points out a cleanability concern on equipment. Scope: one item, checked.</t>
        </is>
      </c>
      <c r="G20" s="4" t="inlineStr">
        <is>
          <t>Depth: Assesses an area's equipment for 3-A conformance across a shift and flags a non-conforming fitting. Flags a non-hygienic connection before it causes a failure. Scope: a process area across a shift.</t>
        </is>
      </c>
      <c r="H20" s="4" t="inlineStr">
        <is>
          <t>Depth: The go-to for a cleanability problem across areas; links a design flaw to a cleaning failure. Traces a chronic cleaning miss to a design defect. Scope: multiple areas.</t>
        </is>
      </c>
      <c r="I20" s="4" t="inlineStr">
        <is>
          <t>Depth: Defines hygienic-design acceptance on the line and teaches it — IC terminal. Sets the 3-A conformance bar the line installs to. Scope: a line end to end.</t>
        </is>
      </c>
      <c r="J20" s="4" t="inlineStr">
        <is>
          <t>Depth: Reviews the crew's equipment changes for hygienic design each shift. Blocks a non-hygienic install before it runs. Scope: a shift crew.</t>
        </is>
      </c>
      <c r="K20" s="4" t="inlineStr">
        <is>
          <t>Depth: Owns the department's hygienic-design standard for new equipment and specifies 3-A and EHEDG requirements into projects. Scope: a department across shifts.</t>
        </is>
      </c>
      <c r="L20" s="4" t="inlineStr">
        <is>
          <t>Depth: Owns plant hygienic-design standards and shapes practice beyond the plant. Sets what the plant will and will not install. Scope: whole plant.</t>
        </is>
      </c>
    </row>
    <row r="21">
      <c r="A21" s="4" t="inlineStr">
        <is>
          <t>Equipment, Utilities &amp; Reliability</t>
        </is>
      </c>
      <c r="B21" s="4" t="inlineStr">
        <is>
          <t>Refrigeration &amp; Steam</t>
        </is>
      </c>
      <c r="C21" s="4" t="inlineStr">
        <is>
          <t>Ammonia / CO2 refrigeration operation</t>
        </is>
      </c>
      <c r="D21" s="6" t="inlineStr">
        <is>
          <t>proposed</t>
        </is>
      </c>
      <c r="E21" s="4" t="inlineStr">
        <is>
          <t>IIAR standards (ANSI/IIAR 2, 6, 7) for closed-circuit ammonia refrigeration</t>
        </is>
      </c>
      <c r="F21" s="4" t="inlineStr">
        <is>
          <t>Depth: Reads refrigeration gauges and logs under direction and recognizes an abnormal condition. Logs suction and discharge readings and flags an anomaly. Scope: one task, checked.</t>
        </is>
      </c>
      <c r="G21" s="4" t="inlineStr">
        <is>
          <t>Depth: Operates the refrigeration system across a shift independently within safe limits. Adjusts the system to hold temperature safely alone. Scope: the utility area across a shift.</t>
        </is>
      </c>
      <c r="H21" s="4" t="inlineStr">
        <is>
          <t>Depth: The go-to for a refrigeration upset across areas; troubleshoots within IIAR limits. Recovers a refrigeration fault others could not, safely. Scope: multiple areas.</t>
        </is>
      </c>
      <c r="I21" s="4" t="inlineStr">
        <is>
          <t>Depth: Defines safe refrigeration operating practice on the line and teaches it — IC terminal. Sets the operating and response standard for the system. Scope: a line end to end.</t>
        </is>
      </c>
      <c r="J21" s="4" t="inlineStr">
        <is>
          <t>Depth: Owns the crew's refrigeration operation and safety each shift. Holds the crew's refrigeration within safe, efficient limits. Scope: a shift crew.</t>
        </is>
      </c>
      <c r="K21" s="4" t="inlineStr">
        <is>
          <t>Depth: Owns the department's refrigeration reliability and improves efficiency through an operating-standard change. Scope: a department across shifts.</t>
        </is>
      </c>
      <c r="L21" s="4" t="inlineStr">
        <is>
          <t>Depth: Owns plant refrigeration strategy, with PSM, and shapes practice beyond the plant. Is accountable for the ammonia system's safe operation plant-wide. Scope: whole plant.</t>
        </is>
      </c>
    </row>
    <row r="22">
      <c r="A22" s="4" t="inlineStr">
        <is>
          <t>Equipment, Utilities &amp; Reliability</t>
        </is>
      </c>
      <c r="B22" s="4" t="inlineStr">
        <is>
          <t>Refrigeration &amp; Steam</t>
        </is>
      </c>
      <c r="C22" s="4" t="inlineStr">
        <is>
          <t>Boiler &amp; steam system operation</t>
        </is>
      </c>
      <c r="D22" s="6" t="inlineStr">
        <is>
          <t>proposed</t>
        </is>
      </c>
      <c r="E22" s="4" t="inlineStr">
        <is>
          <t>ASME Boiler &amp; Pressure Vessel Code; state boiler-operation regulations</t>
        </is>
      </c>
      <c r="F22" s="4" t="inlineStr">
        <is>
          <t>Depth: Reads boiler gauges and performs logged checks under direction. Records boiler pressure and water level correctly. Scope: one task, checked.</t>
        </is>
      </c>
      <c r="G22" s="4" t="inlineStr">
        <is>
          <t>Depth: Operates the boiler and steam system across a shift within code limits. Manages steam demand safely across the shift alone. Scope: the utility area across a shift.</t>
        </is>
      </c>
      <c r="H22" s="4" t="inlineStr">
        <is>
          <t>Depth: The go-to for a boiler or steam fault across areas. Corrects a steam-supply problem others could not, safely. Scope: multiple areas.</t>
        </is>
      </c>
      <c r="I22" s="4" t="inlineStr">
        <is>
          <t>Depth: Defines safe boiler operating practice on the line and teaches it — IC terminal. Sets the operating and blowdown standard for the system. Scope: a line end to end.</t>
        </is>
      </c>
      <c r="J22" s="4" t="inlineStr">
        <is>
          <t>Depth: Owns the crew's boiler operation, water treatment, and safety each shift. Holds the steam plant safe and to code across the crew. Scope: a shift crew.</t>
        </is>
      </c>
      <c r="K22" s="4" t="inlineStr">
        <is>
          <t>Depth: Owns the department's steam reliability and cuts fuel cost through an operating-standard change. Scope: a department across shifts.</t>
        </is>
      </c>
      <c r="L22" s="4" t="inlineStr">
        <is>
          <t>Depth: Owns plant steam strategy and code compliance and shapes practice beyond the plant. Is accountable for the plant's boiler compliance. Scope: whole plant.</t>
        </is>
      </c>
    </row>
    <row r="23">
      <c r="A23" s="4" t="inlineStr">
        <is>
          <t>Equipment, Utilities &amp; Reliability</t>
        </is>
      </c>
      <c r="B23" s="4" t="inlineStr">
        <is>
          <t>Maintenance &amp; Reliability</t>
        </is>
      </c>
      <c r="C23" s="4" t="inlineStr">
        <is>
          <t>Autonomous &amp; preventive maintenance</t>
        </is>
      </c>
      <c r="D23" s="6" t="inlineStr">
        <is>
          <t>SCM-09</t>
        </is>
      </c>
      <c r="E23" s="4" t="inlineStr">
        <is>
          <t>Nakajima, Introduction to TPM (1988); Reliability-Centered Maintenance</t>
        </is>
      </c>
      <c r="F23" s="4" t="inlineStr">
        <is>
          <t>Depth: Performs autonomous-maintenance basics under direction — clean, inspect, lubricate. Completes a clean-inspect-lubricate task and reports an abnormality. Scope: one machine, checked.</t>
        </is>
      </c>
      <c r="G23" s="4" t="inlineStr">
        <is>
          <t>Depth: Executes the preventive-maintenance schedule for an area across a shift and records findings. Completes preventive work orders on time alone. Scope: a process area across a shift.</t>
        </is>
      </c>
      <c r="H23" s="4" t="inlineStr">
        <is>
          <t>Depth: The go-to for a maintenance judgment across areas — repair now or run. Calls the fix-now-versus-defer maintenance decision correctly. Scope: multiple areas.</t>
        </is>
      </c>
      <c r="I23" s="4" t="inlineStr">
        <is>
          <t>Depth: Defines the line's autonomous-maintenance standards and teaches operators — IC terminal. Sets the PM and clean-inspect-lubricate standard the line runs to. Scope: a line end to end.</t>
        </is>
      </c>
      <c r="J23" s="4" t="inlineStr">
        <is>
          <t>Depth: Owns the crew's PM adherence and autonomous-maintenance behaviors each shift. Holds the crew's PM completion and machine ownership up. Scope: a shift crew.</t>
        </is>
      </c>
      <c r="K23" s="4" t="inlineStr">
        <is>
          <t>Depth: Owns the department's reliability program and raises uptime through a revised maintenance strategy. Scope: a department across shifts.</t>
        </is>
      </c>
      <c r="L23" s="4" t="inlineStr">
        <is>
          <t>Depth: Owns plant reliability strategy and shapes maintenance practice beyond the plant. Sets the plant's asset-reliability standard. Scope: whole plant.</t>
        </is>
      </c>
    </row>
    <row r="24">
      <c r="A24" s="4" t="inlineStr">
        <is>
          <t>Equipment, Utilities &amp; Reliability</t>
        </is>
      </c>
      <c r="B24" s="4" t="inlineStr">
        <is>
          <t>Maintenance &amp; Reliability</t>
        </is>
      </c>
      <c r="C24" s="4" t="inlineStr">
        <is>
          <t>Equipment troubleshooting &amp; breakdown recovery</t>
        </is>
      </c>
      <c r="D24" s="6" t="inlineStr">
        <is>
          <t>proposed</t>
        </is>
      </c>
      <c r="E24" s="4" t="inlineStr">
        <is>
          <t>TPM focused-improvement pillar (Nakajima, 1988); structured breakdown analysis</t>
        </is>
      </c>
      <c r="F24" s="4" t="inlineStr">
        <is>
          <t>Depth: Assists breakdown recovery under direction and describes the symptom accurately. Reports a breakdown with the observable symptoms. Scope: one machine, checked.</t>
        </is>
      </c>
      <c r="G24" s="4" t="inlineStr">
        <is>
          <t>Depth: Diagnoses and clears routine breakdowns for an area across a shift. Restores a common fault to running alone. Scope: a process area across a shift.</t>
        </is>
      </c>
      <c r="H24" s="4" t="inlineStr">
        <is>
          <t>Depth: The go-to for a stubborn breakdown across areas; works a structured diagnosis. Cracks an intermittent fault others could not find. Scope: multiple areas.</t>
        </is>
      </c>
      <c r="I24" s="4" t="inlineStr">
        <is>
          <t>Depth: Defines the line's breakdown-analysis method and teaches it — IC terminal. Sets the structured troubleshooting standard the line uses. Scope: a line end to end.</t>
        </is>
      </c>
      <c r="J24" s="4" t="inlineStr">
        <is>
          <t>Depth: Leads breakdown recovery for the crew and drives permanent fixes each shift. Turns a crew breakdown into a countermeasure that holds. Scope: a shift crew.</t>
        </is>
      </c>
      <c r="K24" s="4" t="inlineStr">
        <is>
          <t>Depth: Owns the department's breakdown-elimination program and removes a chronic loss through focused improvement. Scope: a department across shifts.</t>
        </is>
      </c>
      <c r="L24" s="4" t="inlineStr">
        <is>
          <t>Depth: Owns plant breakdown-elimination strategy and shapes practice beyond the plant. Sets how the plant eliminates recurring failure. Scope: whole plant.</t>
        </is>
      </c>
    </row>
    <row r="25">
      <c r="A25" s="4" t="inlineStr">
        <is>
          <t>Equipment, Utilities &amp; Reliability</t>
        </is>
      </c>
      <c r="B25" s="4" t="inlineStr">
        <is>
          <t>Utilities &amp; Environmental</t>
        </is>
      </c>
      <c r="C25" s="4" t="inlineStr">
        <is>
          <t>Utilities stewardship (water/air/energy)</t>
        </is>
      </c>
      <c r="D25" s="6" t="inlineStr">
        <is>
          <t>WPL-02</t>
        </is>
      </c>
      <c r="E25" s="4" t="inlineStr">
        <is>
          <t>Facilities utility-operations practice; ISO 50001 energy management</t>
        </is>
      </c>
      <c r="F25" s="4" t="inlineStr">
        <is>
          <t>Depth: Reads utility meters and logs usage under direction. Records water, air, and energy readings accurately. Scope: one task, checked.</t>
        </is>
      </c>
      <c r="G25" s="4" t="inlineStr">
        <is>
          <t>Depth: Operates utility systems for an area across a shift and flags waste. Reports a compressed-air leak or water waste unprompted. Scope: a process area across a shift.</t>
        </is>
      </c>
      <c r="H25" s="4" t="inlineStr">
        <is>
          <t>Depth: The go-to for a utility problem across areas; balances supply and demand. Resolves a utility shortfall others could not. Scope: multiple areas.</t>
        </is>
      </c>
      <c r="I25" s="4" t="inlineStr">
        <is>
          <t>Depth: Defines utility-stewardship practice on the line and teaches it — IC terminal. Sets the usage and conservation standard the line follows. Scope: a line end to end.</t>
        </is>
      </c>
      <c r="J25" s="4" t="inlineStr">
        <is>
          <t>Depth: Owns the crew's utility usage and losses each shift. Holds crew utility consumption to target. Scope: a shift crew.</t>
        </is>
      </c>
      <c r="K25" s="4" t="inlineStr">
        <is>
          <t>Depth: Owns the department's utility performance and cuts energy cost through an ISO 50001-aligned standard. Scope: a department across shifts.</t>
        </is>
      </c>
      <c r="L25" s="4" t="inlineStr">
        <is>
          <t>Depth: Owns plant utility strategy and shapes stewardship practice beyond the plant. Sets the plant's energy and utility strategy. Scope: whole plant.</t>
        </is>
      </c>
    </row>
    <row r="26">
      <c r="A26" s="4" t="inlineStr">
        <is>
          <t>Equipment, Utilities &amp; Reliability</t>
        </is>
      </c>
      <c r="B26" s="4" t="inlineStr">
        <is>
          <t>Utilities &amp; Environmental</t>
        </is>
      </c>
      <c r="C26" s="4" t="inlineStr">
        <is>
          <t>Wastewater &amp; effluent compliance</t>
        </is>
      </c>
      <c r="D26" s="6" t="inlineStr">
        <is>
          <t>proposed</t>
        </is>
      </c>
      <c r="E26" s="4" t="inlineStr">
        <is>
          <t>Clean Water Act; EPA NPDES permitting; pretreatment standards</t>
        </is>
      </c>
      <c r="F26" s="4" t="inlineStr">
        <is>
          <t>Depth: Samples and logs effluent under direction and knows the permit limits exist. Pulls an effluent sample by the correct method. Scope: one task, checked.</t>
        </is>
      </c>
      <c r="G26" s="4" t="inlineStr">
        <is>
          <t>Depth: Operates pretreatment for a shift independently and flags an out-of-limit reading. Corrects a routine pH or loading excursion alone. Scope: the effluent area across a shift.</t>
        </is>
      </c>
      <c r="H26" s="4" t="inlineStr">
        <is>
          <t>Depth: The go-to for an effluent upset across areas; keeps discharge within permit under ambiguity. Holds discharge legal through an upset others could not. Scope: multiple areas.</t>
        </is>
      </c>
      <c r="I26" s="4" t="inlineStr">
        <is>
          <t>Depth: Defines the line's effluent-control practice and teaches it — IC terminal. Sets the discharge-compliance standard the line meets. Scope: a line end to end.</t>
        </is>
      </c>
      <c r="J26" s="4" t="inlineStr">
        <is>
          <t>Depth: Owns the crew's effluent compliance and reporting each shift. Keeps the crew's discharge within NPDES limits. Scope: a shift crew.</t>
        </is>
      </c>
      <c r="K26" s="4" t="inlineStr">
        <is>
          <t>Depth: Owns the department's effluent program and cuts loading to protect the permit through a process change. Scope: a department across shifts.</t>
        </is>
      </c>
      <c r="L26" s="4" t="inlineStr">
        <is>
          <t>Depth: Owns plant effluent compliance to the regulator and shapes practice beyond the plant. Is accountable for the plant's discharge permit. Scope: whole plant.</t>
        </is>
      </c>
    </row>
    <row r="27">
      <c r="A27" s="4" t="inlineStr">
        <is>
          <t>Safety &amp; Process Safety Management</t>
        </is>
      </c>
      <c r="B27" s="4" t="inlineStr">
        <is>
          <t>Personal Safety &amp; Energy Control</t>
        </is>
      </c>
      <c r="C27" s="4" t="inlineStr">
        <is>
          <t>Lockout/tagout &amp; hazardous energy control</t>
        </is>
      </c>
      <c r="D27" s="6" t="inlineStr">
        <is>
          <t>WPL-08</t>
        </is>
      </c>
      <c r="E27" s="4" t="inlineStr">
        <is>
          <t>OSHA Control of Hazardous Energy, Lockout/Tagout (29 CFR 1910.147)</t>
        </is>
      </c>
      <c r="F27" s="4" t="inlineStr">
        <is>
          <t>Depth: Applies a personal lock and tag under direction following the procedure. Locks out one energy source correctly and verifies zero energy. Scope: one machine, checked.</t>
        </is>
      </c>
      <c r="G27" s="4" t="inlineStr">
        <is>
          <t>Depth: Executes lockout/tagout for routine tasks independently across a shift. Completes a multi-point lockout by the procedure alone. Scope: a process area across a shift.</t>
        </is>
      </c>
      <c r="H27" s="4" t="inlineStr">
        <is>
          <t>Depth: The go-to for a complex or group lockout across areas. Plans a group lockout for a job others found ambiguous. Scope: multiple areas.</t>
        </is>
      </c>
      <c r="I27" s="4" t="inlineStr">
        <is>
          <t>Depth: Defines the line's lockout/tagout discipline and teaches it — IC terminal. Sets the energy-control standard the line follows. Scope: a line end to end.</t>
        </is>
      </c>
      <c r="J27" s="4" t="inlineStr">
        <is>
          <t>Depth: Verifies the crew's lockout on every applicable job each shift. Stops a task with incomplete lockout before it starts. Scope: a shift crew.</t>
        </is>
      </c>
      <c r="K27" s="4" t="inlineStr">
        <is>
          <t>Depth: Owns the department's hazardous-energy-control program and closes a lockout gap through a procedure change. Scope: a department across shifts.</t>
        </is>
      </c>
      <c r="L27" s="4" t="inlineStr">
        <is>
          <t>Depth: Owns the plant's energy-control program and shapes practice beyond the plant. Is accountable for zero hazardous-energy incidents plant-wide. Scope: whole plant.</t>
        </is>
      </c>
    </row>
    <row r="28">
      <c r="A28" s="4" t="inlineStr">
        <is>
          <t>Safety &amp; Process Safety Management</t>
        </is>
      </c>
      <c r="B28" s="4" t="inlineStr">
        <is>
          <t>Personal Safety &amp; Energy Control</t>
        </is>
      </c>
      <c r="C28" s="4" t="inlineStr">
        <is>
          <t>Hazard recognition, PPE &amp; permits</t>
        </is>
      </c>
      <c r="D28" s="6" t="inlineStr">
        <is>
          <t>WPL-08</t>
        </is>
      </c>
      <c r="E28" s="4" t="inlineStr">
        <is>
          <t>OSHA PPE (1910 Subpart I), confined space (1910.146), hot work permits</t>
        </is>
      </c>
      <c r="F28" s="4" t="inlineStr">
        <is>
          <t>Depth: Wears required PPE and recognizes obvious hazards under direction. Selects and wears the correct PPE for the task. Scope: self or one task, checked.</t>
        </is>
      </c>
      <c r="G28" s="4" t="inlineStr">
        <is>
          <t>Depth: Recognizes area hazards across a shift and completes routine permits. Fills a hot-work or confined-space permit correctly alone. Scope: a process area across a shift.</t>
        </is>
      </c>
      <c r="H28" s="4" t="inlineStr">
        <is>
          <t>Depth: The go-to for a hazard or permit judgment across areas. Calls a confined-space entry decision correctly. Scope: multiple areas.</t>
        </is>
      </c>
      <c r="I28" s="4" t="inlineStr">
        <is>
          <t>Depth: Defines the line's hazard-recognition and permit discipline and teaches it — IC terminal. Sets the permit-to-work standard the line uses. Scope: a line end to end.</t>
        </is>
      </c>
      <c r="J28" s="4" t="inlineStr">
        <is>
          <t>Depth: Authorizes and verifies the crew's permits each shift. Refuses a permit until the hazard is controlled. Scope: a shift crew.</t>
        </is>
      </c>
      <c r="K28" s="4" t="inlineStr">
        <is>
          <t>Depth: Owns the department's permit and PPE program and closes a recurring hazard through a control change. Scope: a department across shifts.</t>
        </is>
      </c>
      <c r="L28" s="4" t="inlineStr">
        <is>
          <t>Depth: Owns the plant's hazard-control program and shapes practice beyond the plant. Sets the plant's permit-to-work and PPE standard. Scope: whole plant.</t>
        </is>
      </c>
    </row>
    <row r="29">
      <c r="A29" s="4" t="inlineStr">
        <is>
          <t>Safety &amp; Process Safety Management</t>
        </is>
      </c>
      <c r="B29" s="4" t="inlineStr">
        <is>
          <t>Process Safety &amp; Emergency Response</t>
        </is>
      </c>
      <c r="C29" s="4" t="inlineStr">
        <is>
          <t>Process safety management (PSM/RMP)</t>
        </is>
      </c>
      <c r="D29" s="6" t="inlineStr">
        <is>
          <t>proposed</t>
        </is>
      </c>
      <c r="E29" s="4" t="inlineStr">
        <is>
          <t>OSHA PSM (29 CFR 1910.119); EPA Risk Management Program (40 CFR 68)</t>
        </is>
      </c>
      <c r="F29" s="4" t="inlineStr">
        <is>
          <t>Depth: Follows PSM procedures on the ammonia system under direction. Follows a covered-process operating procedure as written. Scope: one task, checked.</t>
        </is>
      </c>
      <c r="G29" s="4" t="inlineStr">
        <is>
          <t>Depth: Executes assigned PSM elements across a shift — operating procedures and mechanical-integrity checks. Completes a mechanical-integrity check and logs it alone. Scope: a process area across a shift.</t>
        </is>
      </c>
      <c r="H29" s="4" t="inlineStr">
        <is>
          <t>Depth: The go-to for a PSM question across areas; participates in a process-hazard analysis. Contributes a real hazard to a process-hazard analysis. Scope: multiple areas.</t>
        </is>
      </c>
      <c r="I29" s="4" t="inlineStr">
        <is>
          <t>Depth: Defines how the floor executes PSM elements on the line and teaches it — IC terminal. Sets the operating-procedure and management-of-change standard the line follows. Scope: a line end to end.</t>
        </is>
      </c>
      <c r="J29" s="4" t="inlineStr">
        <is>
          <t>Depth: Owns the crew's PSM compliance and management-of-change each shift. Blocks a change until management-of-change is complete. Scope: a shift crew.</t>
        </is>
      </c>
      <c r="K29" s="4" t="inlineStr">
        <is>
          <t>Depth: Owns the department's PSM program elements and closes a hazard-analysis finding into a permanent safeguard. Scope: a department across shifts.</t>
        </is>
      </c>
      <c r="L29" s="4" t="inlineStr">
        <is>
          <t>Depth: Owns the plant's PSM and RMP program to the regulator and shapes practice beyond the plant. Is accountable for the covered process's integrity plant-wide. Scope: whole plant.</t>
        </is>
      </c>
    </row>
    <row r="30">
      <c r="A30" s="4" t="inlineStr">
        <is>
          <t>Safety &amp; Process Safety Management</t>
        </is>
      </c>
      <c r="B30" s="4" t="inlineStr">
        <is>
          <t>Process Safety &amp; Emergency Response</t>
        </is>
      </c>
      <c r="C30" s="4" t="inlineStr">
        <is>
          <t>Ammonia emergency response &amp; readiness</t>
        </is>
      </c>
      <c r="D30" s="6" t="inlineStr">
        <is>
          <t>proposed</t>
        </is>
      </c>
      <c r="E30" s="4" t="inlineStr">
        <is>
          <t>OSHA HAZWOPER (29 CFR 1910.120); IIAR emergency-response guidance</t>
        </is>
      </c>
      <c r="F30" s="4" t="inlineStr">
        <is>
          <t>Depth: Knows the evacuation and alarm response under direction. Responds correctly to an ammonia alarm and evacuates. Scope: self or one task, checked.</t>
        </is>
      </c>
      <c r="G30" s="4" t="inlineStr">
        <is>
          <t>Depth: Performs an assigned emergency-response role across a shift and knows the notifications. Executes their emergency-response duty in a drill alone. Scope: a process area across a shift.</t>
        </is>
      </c>
      <c r="H30" s="4" t="inlineStr">
        <is>
          <t>Depth: The go-to responder across areas; assesses a small release and isolates safely. Isolates a minor leak safely under pressure. Scope: multiple areas.</t>
        </is>
      </c>
      <c r="I30" s="4" t="inlineStr">
        <is>
          <t>Depth: Defines the line's emergency-readiness routine and drills the crew — IC terminal. Sets the release-response standard the line rehearses. Scope: a line end to end.</t>
        </is>
      </c>
      <c r="J30" s="4" t="inlineStr">
        <is>
          <t>Depth: Takes incident command for the crew on a release and owns readiness each shift. Runs the crew's response and agency notification in a drill. Scope: a shift crew.</t>
        </is>
      </c>
      <c r="K30" s="4" t="inlineStr">
        <is>
          <t>Depth: Owns the department's emergency-response program and hardens readiness through drill-driven changes. Scope: a department across shifts.</t>
        </is>
      </c>
      <c r="L30" s="4" t="inlineStr">
        <is>
          <t>Depth: Owns the plant's emergency-response program with responders and agencies and shapes practice beyond the plant. Is accountable for the plant's ammonia-release preparedness. Scope: whole plant.</t>
        </is>
      </c>
    </row>
    <row r="31">
      <c r="A31" s="4" t="inlineStr">
        <is>
          <t>Leadership, People &amp; Continuous Improvement</t>
        </is>
      </c>
      <c r="B31" s="4" t="inlineStr">
        <is>
          <t>People Leadership &amp; Development</t>
        </is>
      </c>
      <c r="C31" s="4" t="inlineStr">
        <is>
          <t>Operator training &amp; development</t>
        </is>
      </c>
      <c r="D31" s="6" t="inlineStr">
        <is>
          <t>LI-01</t>
        </is>
      </c>
      <c r="E31" s="4" t="inlineStr">
        <is>
          <t>Training Within Industry (TWI) Job Instruction; Dreyfus skill acquisition</t>
        </is>
      </c>
      <c r="F31" s="4" t="inlineStr">
        <is>
          <t>Depth: Shows a new hire one task under direction and shares what they were taught. Walks a peer through a single task step by step. Scope: one task, informal, checked.</t>
        </is>
      </c>
      <c r="G31" s="4" t="inlineStr">
        <is>
          <t>Depth: Buddies a new operator on their own area, still guided on how to teach. Onboards a peer to their area with a lead's support. Scope: a process area, informal.</t>
        </is>
      </c>
      <c r="H31" s="4" t="inlineStr">
        <is>
          <t>Depth: Independently onboards operators on their areas and gives clear job instruction. Qualifies a new operator on their area unaided. Scope: multiple areas, informal proxy.</t>
        </is>
      </c>
      <c r="I31" s="4" t="inlineStr">
        <is>
          <t>Depth: The floor's go-to trainer who owns qualification for the line without the title — IC terminal. Sets the on-the-job training standard the line uses. Scope: a line, informal-terminal.</t>
        </is>
      </c>
      <c r="J31" s="4" t="inlineStr">
        <is>
          <t>Depth: Formally develops the crew — builds skills matrices and closes gaps each shift. Owns the crew's training plan and qualification records. Scope: a shift crew, formal.</t>
        </is>
      </c>
      <c r="K31" s="4" t="inlineStr">
        <is>
          <t>Depth: Develops leads and operators across the department and builds a capability pipeline other areas adopt. Scope: a department across shifts.</t>
        </is>
      </c>
      <c r="L31" s="4" t="inlineStr">
        <is>
          <t>Depth: Owns plant workforce development and shapes training practice beyond the plant. Sets how the plant grows operator talent. Scope: whole plant.</t>
        </is>
      </c>
    </row>
    <row r="32">
      <c r="A32" s="4" t="inlineStr">
        <is>
          <t>Leadership, People &amp; Continuous Improvement</t>
        </is>
      </c>
      <c r="B32" s="4" t="inlineStr">
        <is>
          <t>People Leadership &amp; Development</t>
        </is>
      </c>
      <c r="C32" s="4" t="inlineStr">
        <is>
          <t>Coaching &amp; performance feedback</t>
        </is>
      </c>
      <c r="D32" s="6" t="inlineStr">
        <is>
          <t>EM-01</t>
        </is>
      </c>
      <c r="E32" s="4" t="inlineStr">
        <is>
          <t>Grove, High Output Management (1983)</t>
        </is>
      </c>
      <c r="F32" s="4" t="inlineStr">
        <is>
          <t>Depth: Gives a peer a helpful pointer under direction. Offers a peer specific, in-the-moment feedback. Scope: one interaction, informal, checked.</t>
        </is>
      </c>
      <c r="G32" s="4" t="inlineStr">
        <is>
          <t>Depth: Coaches a peer on a task with a lead's backing. Helps a struggling peer improve on a specific task. Scope: a process area, informal.</t>
        </is>
      </c>
      <c r="H32" s="4" t="inlineStr">
        <is>
          <t>Depth: Independently coaches peers with growth-oriented feedback across areas. Turns a peer's recurring miss around through coaching. Scope: multiple areas, informal proxy.</t>
        </is>
      </c>
      <c r="I32" s="4" t="inlineStr">
        <is>
          <t>Depth: The floor's informal performance leader who addresses issues without the title — IC terminal. Holds a peer accountable constructively before it escalates. Scope: a line, informal-terminal.</t>
        </is>
      </c>
      <c r="J32" s="4" t="inlineStr">
        <is>
          <t>Depth: Formally coaches the crew and runs performance conversations each shift. Owns fair performance feedback for the crew. Scope: a shift crew, formal.</t>
        </is>
      </c>
      <c r="K32" s="4" t="inlineStr">
        <is>
          <t>Depth: Coaches leads across the department and defines the feedback practice other supervisors adopt. Scope: a department across shifts.</t>
        </is>
      </c>
      <c r="L32" s="4" t="inlineStr">
        <is>
          <t>Depth: Owns the plant's performance culture and shapes coaching practice beyond the plant. Sets how the plant develops and holds people accountable. Scope: whole plant.</t>
        </is>
      </c>
    </row>
    <row r="33">
      <c r="A33" s="4" t="inlineStr">
        <is>
          <t>Leadership, People &amp; Continuous Improvement</t>
        </is>
      </c>
      <c r="B33" s="4" t="inlineStr">
        <is>
          <t>People Leadership &amp; Development</t>
        </is>
      </c>
      <c r="C33" s="4" t="inlineStr">
        <is>
          <t>Shift leadership &amp; crew coordination</t>
        </is>
      </c>
      <c r="D33" s="6" t="inlineStr">
        <is>
          <t>LI-08</t>
        </is>
      </c>
      <c r="E33" s="4" t="inlineStr">
        <is>
          <t>Hersey &amp; Blanchard, situational leadership (1969); Geller, behavior-based safety leadership</t>
        </is>
      </c>
      <c r="F33" s="4" t="inlineStr">
        <is>
          <t>Depth: Follows the shift lead's direction and helps a new peer find their footing. Models the crew's norms and calls out an unsafe act in the moment. Scope: self or one task, informal, checked.</t>
        </is>
      </c>
      <c r="G33" s="4" t="inlineStr">
        <is>
          <t>Depth: Sets the pace on their area and steps up to coordinate peers when the lead is away. Keeps the area's work moving and reinforces a rule with peers informally. Scope: a process area, informal.</t>
        </is>
      </c>
      <c r="H33" s="4" t="inlineStr">
        <is>
          <t>Depth: The crew's informal go-to across areas; reads the situation and adapts how they direct. Rallies the crew through an upset and calls a stand-down on a real hazard. Scope: multiple areas, informal proxy.</t>
        </is>
      </c>
      <c r="I33" s="4" t="inlineStr">
        <is>
          <t>Depth: Leads the floor and holds shift discipline without the title — IC terminal. Sets the crew-conduct and safety-behavior standard the line follows. Scope: a line, informal-terminal.</t>
        </is>
      </c>
      <c r="J33" s="4" t="inlineStr">
        <is>
          <t>Depth: Formally leads the shift crew — assigns work, adapts to each operator, and owns the shift's safety and output. Runs the crew day to day and owns its safety and delivery outcomes. Scope: a shift crew, formal.</t>
        </is>
      </c>
      <c r="K33" s="4" t="inlineStr">
        <is>
          <t>Depth: Develops shift leaders across the department and sets the crew-leadership and behavior-based-safety practice other shifts adopt. Scope: a department across shifts.</t>
        </is>
      </c>
      <c r="L33" s="4" t="inlineStr">
        <is>
          <t>Depth: Owns the plant's shift-leadership model and culture and shapes practice beyond the plant. Is accountable for how the whole plant is led and how safely it runs. Scope: whole plant.</t>
        </is>
      </c>
    </row>
    <row r="34">
      <c r="A34" s="4" t="inlineStr">
        <is>
          <t>Leadership, People &amp; Continuous Improvement</t>
        </is>
      </c>
      <c r="B34" s="4" t="inlineStr">
        <is>
          <t>Communication &amp; Coordination</t>
        </is>
      </c>
      <c r="C34" s="4" t="inlineStr">
        <is>
          <t>Pre-shift huddles &amp; shift handover</t>
        </is>
      </c>
      <c r="D34" s="6" t="inlineStr">
        <is>
          <t>CC-01</t>
        </is>
      </c>
      <c r="E34" s="4" t="inlineStr">
        <is>
          <t>Lean daily management; structured shift-handover practice (HSE guidance)</t>
        </is>
      </c>
      <c r="F34" s="4" t="inlineStr">
        <is>
          <t>Depth: Attends the huddle and gives a clear handover of their task under direction. Hands over their machine's status accurately. Scope: one task, informal, checked.</t>
        </is>
      </c>
      <c r="G34" s="4" t="inlineStr">
        <is>
          <t>Depth: Gives a complete area handover independently and contributes to the huddle. Runs a clean area-to-area handover unprompted. Scope: a process area, informal.</t>
        </is>
      </c>
      <c r="H34" s="4" t="inlineStr">
        <is>
          <t>Depth: The reliable handover point across areas; surfaces the issues that matter. Flags the one handover item that prevents a downstream miss. Scope: multiple areas.</t>
        </is>
      </c>
      <c r="I34" s="4" t="inlineStr">
        <is>
          <t>Depth: Runs the pre-shift huddle on the line without the title — IC terminal. Leads a huddle that sets the line's priorities for the shift. Scope: a line, informal-terminal.</t>
        </is>
      </c>
      <c r="J34" s="4" t="inlineStr">
        <is>
          <t>Depth: Formally owns the crew's huddle and handover discipline each shift. Runs the crew huddle and shift-to-shift handover. Scope: a shift crew, formal.</t>
        </is>
      </c>
      <c r="K34" s="4" t="inlineStr">
        <is>
          <t>Depth: Owns the department's daily-management cadence and standardizes handover other shifts adopt. Scope: a department across shifts.</t>
        </is>
      </c>
      <c r="L34" s="4" t="inlineStr">
        <is>
          <t>Depth: Owns the plant's communication cadence and shapes handover practice beyond the plant. Sets how information flows across the plant's shifts. Scope: whole plant.</t>
        </is>
      </c>
    </row>
    <row r="35">
      <c r="A35" s="4" t="inlineStr">
        <is>
          <t>Leadership, People &amp; Continuous Improvement</t>
        </is>
      </c>
      <c r="B35" s="4" t="inlineStr">
        <is>
          <t>Communication &amp; Coordination</t>
        </is>
      </c>
      <c r="C35" s="4" t="inlineStr">
        <is>
          <t>Escalation &amp; cross-functional coordination</t>
        </is>
      </c>
      <c r="D35" s="6" t="inlineStr">
        <is>
          <t>CC-03</t>
        </is>
      </c>
      <c r="E35" s="4" t="inlineStr">
        <is>
          <t>Cross-functional teamwork &amp; partnership; structured shop-floor escalation practice</t>
        </is>
      </c>
      <c r="F35" s="4" t="inlineStr">
        <is>
          <t>Depth: Escalates a problem to a lead by the script under direction. Raises an issue to the right person promptly. Scope: one task, informal, checked.</t>
        </is>
      </c>
      <c r="G35" s="4" t="inlineStr">
        <is>
          <t>Depth: Manages routine escalations for their area independently. Coordinates with maintenance or QA to clear a routine issue alone. Scope: a process area, informal.</t>
        </is>
      </c>
      <c r="H35" s="4" t="inlineStr">
        <is>
          <t>Depth: The go-to for coordinating across functions on the floor. Pulls the right functions together to solve a cross-area problem. Scope: multiple areas.</t>
        </is>
      </c>
      <c r="I35" s="4" t="inlineStr">
        <is>
          <t>Depth: Owns escalation and cross-functional coordination for the line without the title — IC terminal. Sets when and how the line escalates. Scope: a line, informal-terminal.</t>
        </is>
      </c>
      <c r="J35" s="4" t="inlineStr">
        <is>
          <t>Depth: Formally owns the crew's escalation and coordination each shift. Runs the crew's response when a line goes down or a quality hold hits, pulling in maintenance and QA. Scope: a shift crew, formal.</t>
        </is>
      </c>
      <c r="K35" s="4" t="inlineStr">
        <is>
          <t>Depth: Owns cross-functional coordination across the department and defines the escalation protocol other shifts adopt. Scope: a department across shifts.</t>
        </is>
      </c>
      <c r="L35" s="4" t="inlineStr">
        <is>
          <t>Depth: Owns plant-wide escalation and cross-functional alignment and shapes practice beyond the plant. Sets how the plant coordinates in a major event. Scope: whole plant.</t>
        </is>
      </c>
    </row>
    <row r="36">
      <c r="A36" s="4" t="inlineStr">
        <is>
          <t>Leadership, People &amp; Continuous Improvement</t>
        </is>
      </c>
      <c r="B36" s="4" t="inlineStr">
        <is>
          <t>Continuous Improvement &amp; Cost</t>
        </is>
      </c>
      <c r="C36" s="4" t="inlineStr">
        <is>
          <t>OEE &amp; loss elimination</t>
        </is>
      </c>
      <c r="D36" s="6" t="inlineStr">
        <is>
          <t>SCM-07</t>
        </is>
      </c>
      <c r="E36" s="4" t="inlineStr">
        <is>
          <t>Nakajima, TPM &amp; Overall Equipment Effectiveness (1988)</t>
        </is>
      </c>
      <c r="F36" s="4" t="inlineStr">
        <is>
          <t>Depth: Records downtime and OEE data under direction and reads the board. Logs a downtime reason accurately against the run. Scope: one machine, checked.</t>
        </is>
      </c>
      <c r="G36" s="4" t="inlineStr">
        <is>
          <t>Depth: Tracks OEE for an area across a shift and identifies the top loss. Names the shift's biggest loss from the OEE data alone. Scope: a process area across a shift.</t>
        </is>
      </c>
      <c r="H36" s="4" t="inlineStr">
        <is>
          <t>Depth: The go-to for attacking a loss across areas; runs a focused improvement. Recovers measurable OEE by eliminating a specific loss. Scope: multiple areas.</t>
        </is>
      </c>
      <c r="I36" s="4" t="inlineStr">
        <is>
          <t>Depth: Defines the line's loss-elimination method and teaches it — IC terminal. Sets the OEE and loss-tracking standard the line runs to. Scope: a line end to end.</t>
        </is>
      </c>
      <c r="J36" s="4" t="inlineStr">
        <is>
          <t>Depth: Owns the crew's OEE and loss actions each shift. Drives the crew's OEE up against a target. Scope: a shift crew.</t>
        </is>
      </c>
      <c r="K36" s="4" t="inlineStr">
        <is>
          <t>Depth: Owns the department's OEE performance and removes a systemic loss other areas adopt the fix for. Scope: a department across shifts.</t>
        </is>
      </c>
      <c r="L36" s="4" t="inlineStr">
        <is>
          <t>Depth: Owns plant productivity strategy and shapes loss-elimination practice beyond the plant. Sets the plant's OEE and improvement agenda. Scope: whole plant.</t>
        </is>
      </c>
    </row>
    <row r="37">
      <c r="A37" s="4" t="inlineStr">
        <is>
          <t>Leadership, People &amp; Continuous Improvement</t>
        </is>
      </c>
      <c r="B37" s="4" t="inlineStr">
        <is>
          <t>Continuous Improvement &amp; Cost</t>
        </is>
      </c>
      <c r="C37" s="4" t="inlineStr">
        <is>
          <t>Root-cause problem solving</t>
        </is>
      </c>
      <c r="D37" s="6" t="inlineStr">
        <is>
          <t>SUP-05</t>
        </is>
      </c>
      <c r="E37" s="4" t="inlineStr">
        <is>
          <t>Ohno / Toyota Production System (5 Whys); Ishikawa cause-and-effect; Deming</t>
        </is>
      </c>
      <c r="F37" s="4" t="inlineStr">
        <is>
          <t>Depth: Gathers facts for a problem-solving effort under direction. Documents a problem's details for analysis. Scope: one issue, checked.</t>
        </is>
      </c>
      <c r="G37" s="4" t="inlineStr">
        <is>
          <t>Depth: Runs a 5-Why on a standard recurring problem for an area. Completes a basic 5-Why to a plausible root cause alone. Scope: a process area across a shift.</t>
        </is>
      </c>
      <c r="H37" s="4" t="inlineStr">
        <is>
          <t>Depth: The go-to for an ambiguous recurring problem across areas. Cracks a systemic root cause others could not find. Scope: multiple areas.</t>
        </is>
      </c>
      <c r="I37" s="4" t="inlineStr">
        <is>
          <t>Depth: Defines the line's problem-solving method and teaches it — IC terminal. Sets the root-cause standard the line uses. Scope: a line end to end.</t>
        </is>
      </c>
      <c r="J37" s="4" t="inlineStr">
        <is>
          <t>Depth: Leads structured problem solving for the crew and verifies countermeasures each shift. Confirms a crew countermeasure actually held. Scope: a shift crew.</t>
        </is>
      </c>
      <c r="K37" s="4" t="inlineStr">
        <is>
          <t>Depth: Owns the department's problem-management method and prevents a class of failure before it recurs. Scope: a department across shifts.</t>
        </is>
      </c>
      <c r="L37" s="4" t="inlineStr">
        <is>
          <t>Depth: Owns plant problem-solving capability and shapes practice beyond the plant. Sets how the plant permanently removes problems. Scope: whole plant.</t>
        </is>
      </c>
    </row>
    <row r="38">
      <c r="A38" s="4" t="inlineStr">
        <is>
          <t>Leadership, People &amp; Continuous Improvement</t>
        </is>
      </c>
      <c r="B38" s="4" t="inlineStr">
        <is>
          <t>Continuous Improvement &amp; Cost</t>
        </is>
      </c>
      <c r="C38" s="4" t="inlineStr">
        <is>
          <t>Production scheduling &amp; changeover</t>
        </is>
      </c>
      <c r="D38" s="6" t="inlineStr">
        <is>
          <t>SCM-08</t>
        </is>
      </c>
      <c r="E38" s="4" t="inlineStr">
        <is>
          <t>APICS/ASCM planning body of knowledge; SMED changeover (Shingo)</t>
        </is>
      </c>
      <c r="F38" s="4" t="inlineStr">
        <is>
          <t>Depth: Follows the schedule and logs changeover steps under direction. Executes a changeover step by the SMED sheet. Scope: one task, checked.</t>
        </is>
      </c>
      <c r="G38" s="4" t="inlineStr">
        <is>
          <t>Depth: Runs an area's schedule and changeovers independently across a shift. Completes a routine changeover to time alone. Scope: a process area across a shift.</t>
        </is>
      </c>
      <c r="H38" s="4" t="inlineStr">
        <is>
          <t>Depth: The go-to for resequencing across areas when the plan slips. Rebalances the run to protect on-time output. Scope: multiple areas.</t>
        </is>
      </c>
      <c r="I38" s="4" t="inlineStr">
        <is>
          <t>Depth: Owns the line's changeover discipline and scheduling without the title — IC terminal. Sets the changeover and sequencing standard the line uses. Scope: a line end to end.</t>
        </is>
      </c>
      <c r="J38" s="4" t="inlineStr">
        <is>
          <t>Depth: Formally owns the crew's schedule adherence and changeover performance each shift. Holds crew changeover times and schedule to target. Scope: a shift crew.</t>
        </is>
      </c>
      <c r="K38" s="4" t="inlineStr">
        <is>
          <t>Depth: Owns the department's scheduling and cuts changeover loss through an SMED standard other shifts adopt. Scope: a department across shifts.</t>
        </is>
      </c>
      <c r="L38" s="4" t="inlineStr">
        <is>
          <t>Depth: Owns plant scheduling strategy and shapes changeover practice beyond the plant. Sets how the plant schedules and changes over. Scope: whole plant.</t>
        </is>
      </c>
    </row>
    <row r="39">
      <c r="A39" s="4" t="inlineStr">
        <is>
          <t>Leadership, People &amp; Continuous Improvement</t>
        </is>
      </c>
      <c r="B39" s="4" t="inlineStr">
        <is>
          <t>Continuous Improvement &amp; Cost</t>
        </is>
      </c>
      <c r="C39" s="4" t="inlineStr">
        <is>
          <t>Cost, labor &amp; budget ownership</t>
        </is>
      </c>
      <c r="D39" s="6" t="inlineStr">
        <is>
          <t>EM-06</t>
        </is>
      </c>
      <c r="E39" s="4" t="inlineStr">
        <is>
          <t>Managerial cost accounting; plant P&amp;L, labor-variance, and budget ownership practice</t>
        </is>
      </c>
      <c r="F39" s="4" t="inlineStr">
        <is>
          <t>Depth: Records cost and labor data under direction and understands that giveaway costs money. Logs yield and labor data accurately for the shift. Scope: one task, informal, checked.</t>
        </is>
      </c>
      <c r="G39" s="4" t="inlineStr">
        <is>
          <t>Depth: Watches an area's cost drivers with a lead's guidance. Points out a waste or overtime driver on their area. Scope: a process area, informal.</t>
        </is>
      </c>
      <c r="H39" s="4" t="inlineStr">
        <is>
          <t>Depth: Independently manages an area's cost levers — yield, waste, overtime — across areas. Cuts a controllable cost on the floor unprompted. Scope: multiple areas, informal proxy.</t>
        </is>
      </c>
      <c r="I39" s="4" t="inlineStr">
        <is>
          <t>Depth: Owns cost discipline for the line without the title — IC terminal. Sets the yield and labor-efficiency standard the line runs to. Scope: a line, informal-terminal.</t>
        </is>
      </c>
      <c r="J39" s="4" t="inlineStr">
        <is>
          <t>Depth: Formally owns the crew's labor and controllable cost against budget each shift. Manages the crew to its labor and cost targets. Scope: a shift crew, formal.</t>
        </is>
      </c>
      <c r="K39" s="4" t="inlineStr">
        <is>
          <t>Depth: Owns the department's budget and P&amp;L lines and drives a labor-variance improvement other areas adopt. Scope: a department across shifts.</t>
        </is>
      </c>
      <c r="L39" s="4" t="inlineStr">
        <is>
          <t>Depth: Owns plant operating cost and budget and shapes cost practice beyond the plant. Is accountable for the plant's operations P&amp;L. Scope: whole plant.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9" customWidth="1" min="3" max="3"/>
    <col width="7" customWidth="1" min="4" max="4"/>
    <col width="7" customWidth="1" min="5" max="5"/>
    <col width="9" customWidth="1" min="6" max="6"/>
    <col width="7" customWidth="1" min="7" max="7"/>
    <col width="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</cols>
  <sheetData>
    <row r="1">
      <c r="A1" s="1" t="inlineStr">
        <is>
          <t>Target level</t>
        </is>
      </c>
      <c r="B1" s="7" t="inlineStr">
        <is>
          <t>L4</t>
        </is>
      </c>
      <c r="D1" s="2" t="inlineStr">
        <is>
          <t>Enter one of: L1, L2, L3, L4, L5, L6, L7. Blue cells are inputs (1-6, the P number).</t>
        </is>
      </c>
    </row>
    <row r="3">
      <c r="A3" s="1" t="inlineStr">
        <is>
          <t>Key Area</t>
        </is>
      </c>
      <c r="B3" s="1" t="inlineStr">
        <is>
          <t>Competency</t>
        </is>
      </c>
      <c r="C3" s="1" t="inlineStr">
        <is>
          <t>Target P</t>
        </is>
      </c>
      <c r="D3" s="1" t="inlineStr">
        <is>
          <t>Self</t>
        </is>
      </c>
      <c r="E3" s="1" t="inlineStr">
        <is>
          <t>Peer</t>
        </is>
      </c>
      <c r="F3" s="1" t="inlineStr">
        <is>
          <t>Manager</t>
        </is>
      </c>
      <c r="G3" s="1" t="inlineStr">
        <is>
          <t>Avg</t>
        </is>
      </c>
      <c r="H3" s="1" t="inlineStr">
        <is>
          <t>Gap</t>
        </is>
      </c>
      <c r="J3" s="1" t="inlineStr">
        <is>
          <t>L1</t>
        </is>
      </c>
      <c r="K3" s="1" t="inlineStr">
        <is>
          <t>L2</t>
        </is>
      </c>
      <c r="L3" s="1" t="inlineStr">
        <is>
          <t>L3</t>
        </is>
      </c>
      <c r="M3" s="1" t="inlineStr">
        <is>
          <t>L4</t>
        </is>
      </c>
      <c r="N3" s="1" t="inlineStr">
        <is>
          <t>L5</t>
        </is>
      </c>
      <c r="O3" s="1" t="inlineStr">
        <is>
          <t>L6</t>
        </is>
      </c>
      <c r="P3" s="1" t="inlineStr">
        <is>
          <t>L7</t>
        </is>
      </c>
    </row>
    <row r="4">
      <c r="A4" s="2" t="inlineStr">
        <is>
          <t>Food Safety &amp; Regulatory Compliance</t>
        </is>
      </c>
      <c r="B4" s="2" t="inlineStr">
        <is>
          <t>Pasteurization &amp; flow-diversion control</t>
        </is>
      </c>
      <c r="C4" s="2">
        <f>IFERROR(INDEX(J4:P4,MATCH($B$1,$J$3:$P$3,0)),"")</f>
        <v/>
      </c>
      <c r="D4" s="7" t="n"/>
      <c r="E4" s="7" t="n"/>
      <c r="F4" s="7" t="n"/>
      <c r="G4" s="2">
        <f>IFERROR(AVERAGE(D4:F4),"")</f>
        <v/>
      </c>
      <c r="H4" s="2">
        <f>IFERROR(G4-C4,"")</f>
        <v/>
      </c>
      <c r="J4" s="2" t="n">
        <v>1</v>
      </c>
      <c r="K4" s="2" t="n">
        <v>2</v>
      </c>
      <c r="L4" s="2" t="n">
        <v>3</v>
      </c>
      <c r="M4" s="2" t="n">
        <v>4</v>
      </c>
      <c r="N4" s="2" t="n">
        <v>4</v>
      </c>
      <c r="O4" s="2" t="n">
        <v>5</v>
      </c>
      <c r="P4" s="2" t="n">
        <v>6</v>
      </c>
    </row>
    <row r="5">
      <c r="A5" s="2" t="inlineStr">
        <is>
          <t>Food Safety &amp; Regulatory Compliance</t>
        </is>
      </c>
      <c r="B5" s="2" t="inlineStr">
        <is>
          <t>Thermal-process legal limits &amp; records</t>
        </is>
      </c>
      <c r="C5" s="2">
        <f>IFERROR(INDEX(J5:P5,MATCH($B$1,$J$3:$P$3,0)),"")</f>
        <v/>
      </c>
      <c r="D5" s="7" t="n"/>
      <c r="E5" s="7" t="n"/>
      <c r="F5" s="7" t="n"/>
      <c r="G5" s="2">
        <f>IFERROR(AVERAGE(D5:F5),"")</f>
        <v/>
      </c>
      <c r="H5" s="2">
        <f>IFERROR(G5-C5,"")</f>
        <v/>
      </c>
      <c r="J5" s="2" t="n">
        <v>1</v>
      </c>
      <c r="K5" s="2" t="n">
        <v>2</v>
      </c>
      <c r="L5" s="2" t="n">
        <v>3</v>
      </c>
      <c r="M5" s="2" t="n">
        <v>4</v>
      </c>
      <c r="N5" s="2" t="n">
        <v>4</v>
      </c>
      <c r="O5" s="2" t="n">
        <v>5</v>
      </c>
      <c r="P5" s="2" t="n">
        <v>6</v>
      </c>
    </row>
    <row r="6">
      <c r="A6" s="2" t="inlineStr">
        <is>
          <t>Food Safety &amp; Regulatory Compliance</t>
        </is>
      </c>
      <c r="B6" s="2" t="inlineStr">
        <is>
          <t>HACCP plan &amp; CCP monitoring</t>
        </is>
      </c>
      <c r="C6" s="2">
        <f>IFERROR(INDEX(J6:P6,MATCH($B$1,$J$3:$P$3,0)),"")</f>
        <v/>
      </c>
      <c r="D6" s="7" t="n"/>
      <c r="E6" s="7" t="n"/>
      <c r="F6" s="7" t="n"/>
      <c r="G6" s="2">
        <f>IFERROR(AVERAGE(D6:F6),"")</f>
        <v/>
      </c>
      <c r="H6" s="2">
        <f>IFERROR(G6-C6,"")</f>
        <v/>
      </c>
      <c r="J6" s="2" t="n">
        <v>1</v>
      </c>
      <c r="K6" s="2" t="n">
        <v>2</v>
      </c>
      <c r="L6" s="2" t="n">
        <v>3</v>
      </c>
      <c r="M6" s="2" t="n">
        <v>4</v>
      </c>
      <c r="N6" s="2" t="n">
        <v>4</v>
      </c>
      <c r="O6" s="2" t="n">
        <v>5</v>
      </c>
      <c r="P6" s="2" t="n">
        <v>6</v>
      </c>
    </row>
    <row r="7">
      <c r="A7" s="2" t="inlineStr">
        <is>
          <t>Food Safety &amp; Regulatory Compliance</t>
        </is>
      </c>
      <c r="B7" s="2" t="inlineStr">
        <is>
          <t>Preventive controls &amp; PCQI oversight</t>
        </is>
      </c>
      <c r="C7" s="2">
        <f>IFERROR(INDEX(J7:P7,MATCH($B$1,$J$3:$P$3,0)),"")</f>
        <v/>
      </c>
      <c r="D7" s="7" t="n"/>
      <c r="E7" s="7" t="n"/>
      <c r="F7" s="7" t="n"/>
      <c r="G7" s="2">
        <f>IFERROR(AVERAGE(D7:F7),"")</f>
        <v/>
      </c>
      <c r="H7" s="2">
        <f>IFERROR(G7-C7,"")</f>
        <v/>
      </c>
      <c r="J7" s="2" t="n">
        <v>1</v>
      </c>
      <c r="K7" s="2" t="n">
        <v>2</v>
      </c>
      <c r="L7" s="2" t="n">
        <v>3</v>
      </c>
      <c r="M7" s="2" t="n">
        <v>4</v>
      </c>
      <c r="N7" s="2" t="n">
        <v>4</v>
      </c>
      <c r="O7" s="2" t="n">
        <v>5</v>
      </c>
      <c r="P7" s="2" t="n">
        <v>6</v>
      </c>
    </row>
    <row r="8">
      <c r="A8" s="2" t="inlineStr">
        <is>
          <t>Food Safety &amp; Regulatory Compliance</t>
        </is>
      </c>
      <c r="B8" s="2" t="inlineStr">
        <is>
          <t>Environmental monitoring &amp; pathogen control</t>
        </is>
      </c>
      <c r="C8" s="2">
        <f>IFERROR(INDEX(J8:P8,MATCH($B$1,$J$3:$P$3,0)),"")</f>
        <v/>
      </c>
      <c r="D8" s="7" t="n"/>
      <c r="E8" s="7" t="n"/>
      <c r="F8" s="7" t="n"/>
      <c r="G8" s="2">
        <f>IFERROR(AVERAGE(D8:F8),"")</f>
        <v/>
      </c>
      <c r="H8" s="2">
        <f>IFERROR(G8-C8,"")</f>
        <v/>
      </c>
      <c r="J8" s="2" t="n">
        <v>1</v>
      </c>
      <c r="K8" s="2" t="n">
        <v>2</v>
      </c>
      <c r="L8" s="2" t="n">
        <v>3</v>
      </c>
      <c r="M8" s="2" t="n">
        <v>4</v>
      </c>
      <c r="N8" s="2" t="n">
        <v>4</v>
      </c>
      <c r="O8" s="2" t="n">
        <v>5</v>
      </c>
      <c r="P8" s="2" t="n">
        <v>6</v>
      </c>
    </row>
    <row r="9">
      <c r="A9" s="2" t="inlineStr">
        <is>
          <t>Food Safety &amp; Regulatory Compliance</t>
        </is>
      </c>
      <c r="B9" s="2" t="inlineStr">
        <is>
          <t>Allergen control &amp; changeover</t>
        </is>
      </c>
      <c r="C9" s="2">
        <f>IFERROR(INDEX(J9:P9,MATCH($B$1,$J$3:$P$3,0)),"")</f>
        <v/>
      </c>
      <c r="D9" s="7" t="n"/>
      <c r="E9" s="7" t="n"/>
      <c r="F9" s="7" t="n"/>
      <c r="G9" s="2">
        <f>IFERROR(AVERAGE(D9:F9),"")</f>
        <v/>
      </c>
      <c r="H9" s="2">
        <f>IFERROR(G9-C9,"")</f>
        <v/>
      </c>
      <c r="J9" s="2" t="n">
        <v>1</v>
      </c>
      <c r="K9" s="2" t="n">
        <v>2</v>
      </c>
      <c r="L9" s="2" t="n">
        <v>3</v>
      </c>
      <c r="M9" s="2" t="n">
        <v>4</v>
      </c>
      <c r="N9" s="2" t="n">
        <v>4</v>
      </c>
      <c r="O9" s="2" t="n">
        <v>5</v>
      </c>
      <c r="P9" s="2" t="n">
        <v>6</v>
      </c>
    </row>
    <row r="10">
      <c r="A10" s="2" t="inlineStr">
        <is>
          <t>Food Safety &amp; Regulatory Compliance</t>
        </is>
      </c>
      <c r="B10" s="2" t="inlineStr">
        <is>
          <t>PMO &amp; Grade A regulatory recordkeeping</t>
        </is>
      </c>
      <c r="C10" s="2">
        <f>IFERROR(INDEX(J10:P10,MATCH($B$1,$J$3:$P$3,0)),"")</f>
        <v/>
      </c>
      <c r="D10" s="7" t="n"/>
      <c r="E10" s="7" t="n"/>
      <c r="F10" s="7" t="n"/>
      <c r="G10" s="2">
        <f>IFERROR(AVERAGE(D10:F10),"")</f>
        <v/>
      </c>
      <c r="H10" s="2">
        <f>IFERROR(G10-C10,"")</f>
        <v/>
      </c>
      <c r="J10" s="2" t="n">
        <v>1</v>
      </c>
      <c r="K10" s="2" t="n">
        <v>2</v>
      </c>
      <c r="L10" s="2" t="n">
        <v>3</v>
      </c>
      <c r="M10" s="2" t="n">
        <v>4</v>
      </c>
      <c r="N10" s="2" t="n">
        <v>4</v>
      </c>
      <c r="O10" s="2" t="n">
        <v>5</v>
      </c>
      <c r="P10" s="2" t="n">
        <v>6</v>
      </c>
    </row>
    <row r="11">
      <c r="A11" s="2" t="inlineStr">
        <is>
          <t>Food Safety &amp; Regulatory Compliance</t>
        </is>
      </c>
      <c r="B11" s="2" t="inlineStr">
        <is>
          <t>GFSI audit &amp; certification readiness</t>
        </is>
      </c>
      <c r="C11" s="2">
        <f>IFERROR(INDEX(J11:P11,MATCH($B$1,$J$3:$P$3,0)),"")</f>
        <v/>
      </c>
      <c r="D11" s="7" t="n"/>
      <c r="E11" s="7" t="n"/>
      <c r="F11" s="7" t="n"/>
      <c r="G11" s="2">
        <f>IFERROR(AVERAGE(D11:F11),"")</f>
        <v/>
      </c>
      <c r="H11" s="2">
        <f>IFERROR(G11-C11,"")</f>
        <v/>
      </c>
      <c r="J11" s="2" t="n">
        <v>1</v>
      </c>
      <c r="K11" s="2" t="n">
        <v>2</v>
      </c>
      <c r="L11" s="2" t="n">
        <v>3</v>
      </c>
      <c r="M11" s="2" t="n">
        <v>4</v>
      </c>
      <c r="N11" s="2" t="n">
        <v>4</v>
      </c>
      <c r="O11" s="2" t="n">
        <v>5</v>
      </c>
      <c r="P11" s="2" t="n">
        <v>6</v>
      </c>
    </row>
    <row r="12">
      <c r="A12" s="2" t="inlineStr">
        <is>
          <t>Food Safety &amp; Regulatory Compliance</t>
        </is>
      </c>
      <c r="B12" s="2" t="inlineStr">
        <is>
          <t>GMP &amp; personnel hygiene</t>
        </is>
      </c>
      <c r="C12" s="2">
        <f>IFERROR(INDEX(J12:P12,MATCH($B$1,$J$3:$P$3,0)),"")</f>
        <v/>
      </c>
      <c r="D12" s="7" t="n"/>
      <c r="E12" s="7" t="n"/>
      <c r="F12" s="7" t="n"/>
      <c r="G12" s="2">
        <f>IFERROR(AVERAGE(D12:F12),"")</f>
        <v/>
      </c>
      <c r="H12" s="2">
        <f>IFERROR(G12-C12,"")</f>
        <v/>
      </c>
      <c r="J12" s="2" t="n">
        <v>1</v>
      </c>
      <c r="K12" s="2" t="n">
        <v>2</v>
      </c>
      <c r="L12" s="2" t="n">
        <v>3</v>
      </c>
      <c r="M12" s="2" t="n">
        <v>4</v>
      </c>
      <c r="N12" s="2" t="n">
        <v>4</v>
      </c>
      <c r="O12" s="2" t="n">
        <v>5</v>
      </c>
      <c r="P12" s="2" t="n">
        <v>6</v>
      </c>
    </row>
    <row r="13">
      <c r="A13" s="2" t="inlineStr">
        <is>
          <t>Process Operations &amp; Control</t>
        </is>
      </c>
      <c r="B13" s="2" t="inlineStr">
        <is>
          <t>Raw milk receiving &amp; grading</t>
        </is>
      </c>
      <c r="C13" s="2">
        <f>IFERROR(INDEX(J13:P13,MATCH($B$1,$J$3:$P$3,0)),"")</f>
        <v/>
      </c>
      <c r="D13" s="7" t="n"/>
      <c r="E13" s="7" t="n"/>
      <c r="F13" s="7" t="n"/>
      <c r="G13" s="2">
        <f>IFERROR(AVERAGE(D13:F13),"")</f>
        <v/>
      </c>
      <c r="H13" s="2">
        <f>IFERROR(G13-C13,"")</f>
        <v/>
      </c>
      <c r="J13" s="2" t="n">
        <v>1</v>
      </c>
      <c r="K13" s="2" t="n">
        <v>2</v>
      </c>
      <c r="L13" s="2" t="n">
        <v>3</v>
      </c>
      <c r="M13" s="2" t="n">
        <v>4</v>
      </c>
      <c r="N13" s="2" t="n">
        <v>4</v>
      </c>
      <c r="O13" s="2" t="n">
        <v>5</v>
      </c>
      <c r="P13" s="2" t="n">
        <v>6</v>
      </c>
    </row>
    <row r="14">
      <c r="A14" s="2" t="inlineStr">
        <is>
          <t>Process Operations &amp; Control</t>
        </is>
      </c>
      <c r="B14" s="2" t="inlineStr">
        <is>
          <t>Separation &amp; standardization</t>
        </is>
      </c>
      <c r="C14" s="2">
        <f>IFERROR(INDEX(J14:P14,MATCH($B$1,$J$3:$P$3,0)),"")</f>
        <v/>
      </c>
      <c r="D14" s="7" t="n"/>
      <c r="E14" s="7" t="n"/>
      <c r="F14" s="7" t="n"/>
      <c r="G14" s="2">
        <f>IFERROR(AVERAGE(D14:F14),"")</f>
        <v/>
      </c>
      <c r="H14" s="2">
        <f>IFERROR(G14-C14,"")</f>
        <v/>
      </c>
      <c r="J14" s="2" t="n">
        <v>1</v>
      </c>
      <c r="K14" s="2" t="n">
        <v>2</v>
      </c>
      <c r="L14" s="2" t="n">
        <v>3</v>
      </c>
      <c r="M14" s="2" t="n">
        <v>4</v>
      </c>
      <c r="N14" s="2" t="n">
        <v>4</v>
      </c>
      <c r="O14" s="2" t="n">
        <v>5</v>
      </c>
      <c r="P14" s="2" t="n">
        <v>6</v>
      </c>
    </row>
    <row r="15">
      <c r="A15" s="2" t="inlineStr">
        <is>
          <t>Process Operations &amp; Control</t>
        </is>
      </c>
      <c r="B15" s="2" t="inlineStr">
        <is>
          <t>Thermal processing operation (HTST/HHST/UHT)</t>
        </is>
      </c>
      <c r="C15" s="2">
        <f>IFERROR(INDEX(J15:P15,MATCH($B$1,$J$3:$P$3,0)),"")</f>
        <v/>
      </c>
      <c r="D15" s="7" t="n"/>
      <c r="E15" s="7" t="n"/>
      <c r="F15" s="7" t="n"/>
      <c r="G15" s="2">
        <f>IFERROR(AVERAGE(D15:F15),"")</f>
        <v/>
      </c>
      <c r="H15" s="2">
        <f>IFERROR(G15-C15,"")</f>
        <v/>
      </c>
      <c r="J15" s="2" t="n">
        <v>1</v>
      </c>
      <c r="K15" s="2" t="n">
        <v>2</v>
      </c>
      <c r="L15" s="2" t="n">
        <v>3</v>
      </c>
      <c r="M15" s="2" t="n">
        <v>4</v>
      </c>
      <c r="N15" s="2" t="n">
        <v>4</v>
      </c>
      <c r="O15" s="2" t="n">
        <v>5</v>
      </c>
      <c r="P15" s="2" t="n">
        <v>6</v>
      </c>
    </row>
    <row r="16">
      <c r="A16" s="2" t="inlineStr">
        <is>
          <t>Process Operations &amp; Control</t>
        </is>
      </c>
      <c r="B16" s="2" t="inlineStr">
        <is>
          <t>Homogenization &amp; product finishing</t>
        </is>
      </c>
      <c r="C16" s="2">
        <f>IFERROR(INDEX(J16:P16,MATCH($B$1,$J$3:$P$3,0)),"")</f>
        <v/>
      </c>
      <c r="D16" s="7" t="n"/>
      <c r="E16" s="7" t="n"/>
      <c r="F16" s="7" t="n"/>
      <c r="G16" s="2">
        <f>IFERROR(AVERAGE(D16:F16),"")</f>
        <v/>
      </c>
      <c r="H16" s="2">
        <f>IFERROR(G16-C16,"")</f>
        <v/>
      </c>
      <c r="J16" s="2" t="n">
        <v>1</v>
      </c>
      <c r="K16" s="2" t="n">
        <v>2</v>
      </c>
      <c r="L16" s="2" t="n">
        <v>3</v>
      </c>
      <c r="M16" s="2" t="n">
        <v>4</v>
      </c>
      <c r="N16" s="2" t="n">
        <v>4</v>
      </c>
      <c r="O16" s="2" t="n">
        <v>5</v>
      </c>
      <c r="P16" s="2" t="n">
        <v>6</v>
      </c>
    </row>
    <row r="17">
      <c r="A17" s="2" t="inlineStr">
        <is>
          <t>Process Operations &amp; Control</t>
        </is>
      </c>
      <c r="B17" s="2" t="inlineStr">
        <is>
          <t>Filling &amp; packaging operation</t>
        </is>
      </c>
      <c r="C17" s="2">
        <f>IFERROR(INDEX(J17:P17,MATCH($B$1,$J$3:$P$3,0)),"")</f>
        <v/>
      </c>
      <c r="D17" s="7" t="n"/>
      <c r="E17" s="7" t="n"/>
      <c r="F17" s="7" t="n"/>
      <c r="G17" s="2">
        <f>IFERROR(AVERAGE(D17:F17),"")</f>
        <v/>
      </c>
      <c r="H17" s="2">
        <f>IFERROR(G17-C17,"")</f>
        <v/>
      </c>
      <c r="J17" s="2" t="n">
        <v>1</v>
      </c>
      <c r="K17" s="2" t="n">
        <v>2</v>
      </c>
      <c r="L17" s="2" t="n">
        <v>3</v>
      </c>
      <c r="M17" s="2" t="n">
        <v>4</v>
      </c>
      <c r="N17" s="2" t="n">
        <v>4</v>
      </c>
      <c r="O17" s="2" t="n">
        <v>5</v>
      </c>
      <c r="P17" s="2" t="n">
        <v>6</v>
      </c>
    </row>
    <row r="18">
      <c r="A18" s="2" t="inlineStr">
        <is>
          <t>Process Operations &amp; Control</t>
        </is>
      </c>
      <c r="B18" s="2" t="inlineStr">
        <is>
          <t>Cold chain &amp; finished-goods integrity</t>
        </is>
      </c>
      <c r="C18" s="2">
        <f>IFERROR(INDEX(J18:P18,MATCH($B$1,$J$3:$P$3,0)),"")</f>
        <v/>
      </c>
      <c r="D18" s="7" t="n"/>
      <c r="E18" s="7" t="n"/>
      <c r="F18" s="7" t="n"/>
      <c r="G18" s="2">
        <f>IFERROR(AVERAGE(D18:F18),"")</f>
        <v/>
      </c>
      <c r="H18" s="2">
        <f>IFERROR(G18-C18,"")</f>
        <v/>
      </c>
      <c r="J18" s="2" t="n">
        <v>1</v>
      </c>
      <c r="K18" s="2" t="n">
        <v>2</v>
      </c>
      <c r="L18" s="2" t="n">
        <v>3</v>
      </c>
      <c r="M18" s="2" t="n">
        <v>4</v>
      </c>
      <c r="N18" s="2" t="n">
        <v>4</v>
      </c>
      <c r="O18" s="2" t="n">
        <v>5</v>
      </c>
      <c r="P18" s="2" t="n">
        <v>6</v>
      </c>
    </row>
    <row r="19">
      <c r="A19" s="2" t="inlineStr">
        <is>
          <t>Sanitation &amp; Hygiene</t>
        </is>
      </c>
      <c r="B19" s="2" t="inlineStr">
        <is>
          <t>CIP cycle execution &amp; verification</t>
        </is>
      </c>
      <c r="C19" s="2">
        <f>IFERROR(INDEX(J19:P19,MATCH($B$1,$J$3:$P$3,0)),"")</f>
        <v/>
      </c>
      <c r="D19" s="7" t="n"/>
      <c r="E19" s="7" t="n"/>
      <c r="F19" s="7" t="n"/>
      <c r="G19" s="2">
        <f>IFERROR(AVERAGE(D19:F19),"")</f>
        <v/>
      </c>
      <c r="H19" s="2">
        <f>IFERROR(G19-C19,"")</f>
        <v/>
      </c>
      <c r="J19" s="2" t="n">
        <v>1</v>
      </c>
      <c r="K19" s="2" t="n">
        <v>2</v>
      </c>
      <c r="L19" s="2" t="n">
        <v>3</v>
      </c>
      <c r="M19" s="2" t="n">
        <v>4</v>
      </c>
      <c r="N19" s="2" t="n">
        <v>4</v>
      </c>
      <c r="O19" s="2" t="n">
        <v>5</v>
      </c>
      <c r="P19" s="2" t="n">
        <v>6</v>
      </c>
    </row>
    <row r="20">
      <c r="A20" s="2" t="inlineStr">
        <is>
          <t>Sanitation &amp; Hygiene</t>
        </is>
      </c>
      <c r="B20" s="2" t="inlineStr">
        <is>
          <t>Cleaning chemistry &amp; titration control</t>
        </is>
      </c>
      <c r="C20" s="2">
        <f>IFERROR(INDEX(J20:P20,MATCH($B$1,$J$3:$P$3,0)),"")</f>
        <v/>
      </c>
      <c r="D20" s="7" t="n"/>
      <c r="E20" s="7" t="n"/>
      <c r="F20" s="7" t="n"/>
      <c r="G20" s="2">
        <f>IFERROR(AVERAGE(D20:F20),"")</f>
        <v/>
      </c>
      <c r="H20" s="2">
        <f>IFERROR(G20-C20,"")</f>
        <v/>
      </c>
      <c r="J20" s="2" t="n">
        <v>1</v>
      </c>
      <c r="K20" s="2" t="n">
        <v>2</v>
      </c>
      <c r="L20" s="2" t="n">
        <v>3</v>
      </c>
      <c r="M20" s="2" t="n">
        <v>4</v>
      </c>
      <c r="N20" s="2" t="n">
        <v>4</v>
      </c>
      <c r="O20" s="2" t="n">
        <v>5</v>
      </c>
      <c r="P20" s="2" t="n">
        <v>6</v>
      </c>
    </row>
    <row r="21">
      <c r="A21" s="2" t="inlineStr">
        <is>
          <t>Sanitation &amp; Hygiene</t>
        </is>
      </c>
      <c r="B21" s="2" t="inlineStr">
        <is>
          <t>COP &amp; manual sanitation</t>
        </is>
      </c>
      <c r="C21" s="2">
        <f>IFERROR(INDEX(J21:P21,MATCH($B$1,$J$3:$P$3,0)),"")</f>
        <v/>
      </c>
      <c r="D21" s="7" t="n"/>
      <c r="E21" s="7" t="n"/>
      <c r="F21" s="7" t="n"/>
      <c r="G21" s="2">
        <f>IFERROR(AVERAGE(D21:F21),"")</f>
        <v/>
      </c>
      <c r="H21" s="2">
        <f>IFERROR(G21-C21,"")</f>
        <v/>
      </c>
      <c r="J21" s="2" t="n">
        <v>1</v>
      </c>
      <c r="K21" s="2" t="n">
        <v>2</v>
      </c>
      <c r="L21" s="2" t="n">
        <v>3</v>
      </c>
      <c r="M21" s="2" t="n">
        <v>4</v>
      </c>
      <c r="N21" s="2" t="n">
        <v>4</v>
      </c>
      <c r="O21" s="2" t="n">
        <v>5</v>
      </c>
      <c r="P21" s="2" t="n">
        <v>6</v>
      </c>
    </row>
    <row r="22">
      <c r="A22" s="2" t="inlineStr">
        <is>
          <t>Sanitation &amp; Hygiene</t>
        </is>
      </c>
      <c r="B22" s="2" t="inlineStr">
        <is>
          <t>Hygienic design &amp; 3-A conformance</t>
        </is>
      </c>
      <c r="C22" s="2">
        <f>IFERROR(INDEX(J22:P22,MATCH($B$1,$J$3:$P$3,0)),"")</f>
        <v/>
      </c>
      <c r="D22" s="7" t="n"/>
      <c r="E22" s="7" t="n"/>
      <c r="F22" s="7" t="n"/>
      <c r="G22" s="2">
        <f>IFERROR(AVERAGE(D22:F22),"")</f>
        <v/>
      </c>
      <c r="H22" s="2">
        <f>IFERROR(G22-C22,"")</f>
        <v/>
      </c>
      <c r="J22" s="2" t="n">
        <v>1</v>
      </c>
      <c r="K22" s="2" t="n">
        <v>2</v>
      </c>
      <c r="L22" s="2" t="n">
        <v>3</v>
      </c>
      <c r="M22" s="2" t="n">
        <v>4</v>
      </c>
      <c r="N22" s="2" t="n">
        <v>4</v>
      </c>
      <c r="O22" s="2" t="n">
        <v>5</v>
      </c>
      <c r="P22" s="2" t="n">
        <v>6</v>
      </c>
    </row>
    <row r="23">
      <c r="A23" s="2" t="inlineStr">
        <is>
          <t>Equipment, Utilities &amp; Reliability</t>
        </is>
      </c>
      <c r="B23" s="2" t="inlineStr">
        <is>
          <t>Ammonia / CO2 refrigeration operation</t>
        </is>
      </c>
      <c r="C23" s="2">
        <f>IFERROR(INDEX(J23:P23,MATCH($B$1,$J$3:$P$3,0)),"")</f>
        <v/>
      </c>
      <c r="D23" s="7" t="n"/>
      <c r="E23" s="7" t="n"/>
      <c r="F23" s="7" t="n"/>
      <c r="G23" s="2">
        <f>IFERROR(AVERAGE(D23:F23),"")</f>
        <v/>
      </c>
      <c r="H23" s="2">
        <f>IFERROR(G23-C23,"")</f>
        <v/>
      </c>
      <c r="J23" s="2" t="n">
        <v>1</v>
      </c>
      <c r="K23" s="2" t="n">
        <v>2</v>
      </c>
      <c r="L23" s="2" t="n">
        <v>3</v>
      </c>
      <c r="M23" s="2" t="n">
        <v>4</v>
      </c>
      <c r="N23" s="2" t="n">
        <v>4</v>
      </c>
      <c r="O23" s="2" t="n">
        <v>5</v>
      </c>
      <c r="P23" s="2" t="n">
        <v>6</v>
      </c>
    </row>
    <row r="24">
      <c r="A24" s="2" t="inlineStr">
        <is>
          <t>Equipment, Utilities &amp; Reliability</t>
        </is>
      </c>
      <c r="B24" s="2" t="inlineStr">
        <is>
          <t>Boiler &amp; steam system operation</t>
        </is>
      </c>
      <c r="C24" s="2">
        <f>IFERROR(INDEX(J24:P24,MATCH($B$1,$J$3:$P$3,0)),"")</f>
        <v/>
      </c>
      <c r="D24" s="7" t="n"/>
      <c r="E24" s="7" t="n"/>
      <c r="F24" s="7" t="n"/>
      <c r="G24" s="2">
        <f>IFERROR(AVERAGE(D24:F24),"")</f>
        <v/>
      </c>
      <c r="H24" s="2">
        <f>IFERROR(G24-C24,"")</f>
        <v/>
      </c>
      <c r="J24" s="2" t="n">
        <v>1</v>
      </c>
      <c r="K24" s="2" t="n">
        <v>2</v>
      </c>
      <c r="L24" s="2" t="n">
        <v>3</v>
      </c>
      <c r="M24" s="2" t="n">
        <v>4</v>
      </c>
      <c r="N24" s="2" t="n">
        <v>4</v>
      </c>
      <c r="O24" s="2" t="n">
        <v>5</v>
      </c>
      <c r="P24" s="2" t="n">
        <v>6</v>
      </c>
    </row>
    <row r="25">
      <c r="A25" s="2" t="inlineStr">
        <is>
          <t>Equipment, Utilities &amp; Reliability</t>
        </is>
      </c>
      <c r="B25" s="2" t="inlineStr">
        <is>
          <t>Autonomous &amp; preventive maintenance</t>
        </is>
      </c>
      <c r="C25" s="2">
        <f>IFERROR(INDEX(J25:P25,MATCH($B$1,$J$3:$P$3,0)),"")</f>
        <v/>
      </c>
      <c r="D25" s="7" t="n"/>
      <c r="E25" s="7" t="n"/>
      <c r="F25" s="7" t="n"/>
      <c r="G25" s="2">
        <f>IFERROR(AVERAGE(D25:F25),"")</f>
        <v/>
      </c>
      <c r="H25" s="2">
        <f>IFERROR(G25-C25,"")</f>
        <v/>
      </c>
      <c r="J25" s="2" t="n">
        <v>1</v>
      </c>
      <c r="K25" s="2" t="n">
        <v>2</v>
      </c>
      <c r="L25" s="2" t="n">
        <v>3</v>
      </c>
      <c r="M25" s="2" t="n">
        <v>4</v>
      </c>
      <c r="N25" s="2" t="n">
        <v>4</v>
      </c>
      <c r="O25" s="2" t="n">
        <v>5</v>
      </c>
      <c r="P25" s="2" t="n">
        <v>6</v>
      </c>
    </row>
    <row r="26">
      <c r="A26" s="2" t="inlineStr">
        <is>
          <t>Equipment, Utilities &amp; Reliability</t>
        </is>
      </c>
      <c r="B26" s="2" t="inlineStr">
        <is>
          <t>Equipment troubleshooting &amp; breakdown recovery</t>
        </is>
      </c>
      <c r="C26" s="2">
        <f>IFERROR(INDEX(J26:P26,MATCH($B$1,$J$3:$P$3,0)),"")</f>
        <v/>
      </c>
      <c r="D26" s="7" t="n"/>
      <c r="E26" s="7" t="n"/>
      <c r="F26" s="7" t="n"/>
      <c r="G26" s="2">
        <f>IFERROR(AVERAGE(D26:F26),"")</f>
        <v/>
      </c>
      <c r="H26" s="2">
        <f>IFERROR(G26-C26,"")</f>
        <v/>
      </c>
      <c r="J26" s="2" t="n">
        <v>1</v>
      </c>
      <c r="K26" s="2" t="n">
        <v>2</v>
      </c>
      <c r="L26" s="2" t="n">
        <v>3</v>
      </c>
      <c r="M26" s="2" t="n">
        <v>4</v>
      </c>
      <c r="N26" s="2" t="n">
        <v>4</v>
      </c>
      <c r="O26" s="2" t="n">
        <v>5</v>
      </c>
      <c r="P26" s="2" t="n">
        <v>6</v>
      </c>
    </row>
    <row r="27">
      <c r="A27" s="2" t="inlineStr">
        <is>
          <t>Equipment, Utilities &amp; Reliability</t>
        </is>
      </c>
      <c r="B27" s="2" t="inlineStr">
        <is>
          <t>Utilities stewardship (water/air/energy)</t>
        </is>
      </c>
      <c r="C27" s="2">
        <f>IFERROR(INDEX(J27:P27,MATCH($B$1,$J$3:$P$3,0)),"")</f>
        <v/>
      </c>
      <c r="D27" s="7" t="n"/>
      <c r="E27" s="7" t="n"/>
      <c r="F27" s="7" t="n"/>
      <c r="G27" s="2">
        <f>IFERROR(AVERAGE(D27:F27),"")</f>
        <v/>
      </c>
      <c r="H27" s="2">
        <f>IFERROR(G27-C27,"")</f>
        <v/>
      </c>
      <c r="J27" s="2" t="n">
        <v>1</v>
      </c>
      <c r="K27" s="2" t="n">
        <v>2</v>
      </c>
      <c r="L27" s="2" t="n">
        <v>3</v>
      </c>
      <c r="M27" s="2" t="n">
        <v>4</v>
      </c>
      <c r="N27" s="2" t="n">
        <v>4</v>
      </c>
      <c r="O27" s="2" t="n">
        <v>5</v>
      </c>
      <c r="P27" s="2" t="n">
        <v>6</v>
      </c>
    </row>
    <row r="28">
      <c r="A28" s="2" t="inlineStr">
        <is>
          <t>Equipment, Utilities &amp; Reliability</t>
        </is>
      </c>
      <c r="B28" s="2" t="inlineStr">
        <is>
          <t>Wastewater &amp; effluent compliance</t>
        </is>
      </c>
      <c r="C28" s="2">
        <f>IFERROR(INDEX(J28:P28,MATCH($B$1,$J$3:$P$3,0)),"")</f>
        <v/>
      </c>
      <c r="D28" s="7" t="n"/>
      <c r="E28" s="7" t="n"/>
      <c r="F28" s="7" t="n"/>
      <c r="G28" s="2">
        <f>IFERROR(AVERAGE(D28:F28),"")</f>
        <v/>
      </c>
      <c r="H28" s="2">
        <f>IFERROR(G28-C28,"")</f>
        <v/>
      </c>
      <c r="J28" s="2" t="n">
        <v>1</v>
      </c>
      <c r="K28" s="2" t="n">
        <v>2</v>
      </c>
      <c r="L28" s="2" t="n">
        <v>3</v>
      </c>
      <c r="M28" s="2" t="n">
        <v>4</v>
      </c>
      <c r="N28" s="2" t="n">
        <v>4</v>
      </c>
      <c r="O28" s="2" t="n">
        <v>5</v>
      </c>
      <c r="P28" s="2" t="n">
        <v>6</v>
      </c>
    </row>
    <row r="29">
      <c r="A29" s="2" t="inlineStr">
        <is>
          <t>Safety &amp; Process Safety Management</t>
        </is>
      </c>
      <c r="B29" s="2" t="inlineStr">
        <is>
          <t>Lockout/tagout &amp; hazardous energy control</t>
        </is>
      </c>
      <c r="C29" s="2">
        <f>IFERROR(INDEX(J29:P29,MATCH($B$1,$J$3:$P$3,0)),"")</f>
        <v/>
      </c>
      <c r="D29" s="7" t="n"/>
      <c r="E29" s="7" t="n"/>
      <c r="F29" s="7" t="n"/>
      <c r="G29" s="2">
        <f>IFERROR(AVERAGE(D29:F29),"")</f>
        <v/>
      </c>
      <c r="H29" s="2">
        <f>IFERROR(G29-C29,"")</f>
        <v/>
      </c>
      <c r="J29" s="2" t="n">
        <v>1</v>
      </c>
      <c r="K29" s="2" t="n">
        <v>2</v>
      </c>
      <c r="L29" s="2" t="n">
        <v>3</v>
      </c>
      <c r="M29" s="2" t="n">
        <v>4</v>
      </c>
      <c r="N29" s="2" t="n">
        <v>4</v>
      </c>
      <c r="O29" s="2" t="n">
        <v>5</v>
      </c>
      <c r="P29" s="2" t="n">
        <v>6</v>
      </c>
    </row>
    <row r="30">
      <c r="A30" s="2" t="inlineStr">
        <is>
          <t>Safety &amp; Process Safety Management</t>
        </is>
      </c>
      <c r="B30" s="2" t="inlineStr">
        <is>
          <t>Hazard recognition, PPE &amp; permits</t>
        </is>
      </c>
      <c r="C30" s="2">
        <f>IFERROR(INDEX(J30:P30,MATCH($B$1,$J$3:$P$3,0)),"")</f>
        <v/>
      </c>
      <c r="D30" s="7" t="n"/>
      <c r="E30" s="7" t="n"/>
      <c r="F30" s="7" t="n"/>
      <c r="G30" s="2">
        <f>IFERROR(AVERAGE(D30:F30),"")</f>
        <v/>
      </c>
      <c r="H30" s="2">
        <f>IFERROR(G30-C30,"")</f>
        <v/>
      </c>
      <c r="J30" s="2" t="n">
        <v>1</v>
      </c>
      <c r="K30" s="2" t="n">
        <v>2</v>
      </c>
      <c r="L30" s="2" t="n">
        <v>3</v>
      </c>
      <c r="M30" s="2" t="n">
        <v>4</v>
      </c>
      <c r="N30" s="2" t="n">
        <v>4</v>
      </c>
      <c r="O30" s="2" t="n">
        <v>5</v>
      </c>
      <c r="P30" s="2" t="n">
        <v>6</v>
      </c>
    </row>
    <row r="31">
      <c r="A31" s="2" t="inlineStr">
        <is>
          <t>Safety &amp; Process Safety Management</t>
        </is>
      </c>
      <c r="B31" s="2" t="inlineStr">
        <is>
          <t>Process safety management (PSM/RMP)</t>
        </is>
      </c>
      <c r="C31" s="2">
        <f>IFERROR(INDEX(J31:P31,MATCH($B$1,$J$3:$P$3,0)),"")</f>
        <v/>
      </c>
      <c r="D31" s="7" t="n"/>
      <c r="E31" s="7" t="n"/>
      <c r="F31" s="7" t="n"/>
      <c r="G31" s="2">
        <f>IFERROR(AVERAGE(D31:F31),"")</f>
        <v/>
      </c>
      <c r="H31" s="2">
        <f>IFERROR(G31-C31,"")</f>
        <v/>
      </c>
      <c r="J31" s="2" t="n">
        <v>1</v>
      </c>
      <c r="K31" s="2" t="n">
        <v>2</v>
      </c>
      <c r="L31" s="2" t="n">
        <v>3</v>
      </c>
      <c r="M31" s="2" t="n">
        <v>4</v>
      </c>
      <c r="N31" s="2" t="n">
        <v>4</v>
      </c>
      <c r="O31" s="2" t="n">
        <v>5</v>
      </c>
      <c r="P31" s="2" t="n">
        <v>6</v>
      </c>
    </row>
    <row r="32">
      <c r="A32" s="2" t="inlineStr">
        <is>
          <t>Safety &amp; Process Safety Management</t>
        </is>
      </c>
      <c r="B32" s="2" t="inlineStr">
        <is>
          <t>Ammonia emergency response &amp; readiness</t>
        </is>
      </c>
      <c r="C32" s="2">
        <f>IFERROR(INDEX(J32:P32,MATCH($B$1,$J$3:$P$3,0)),"")</f>
        <v/>
      </c>
      <c r="D32" s="7" t="n"/>
      <c r="E32" s="7" t="n"/>
      <c r="F32" s="7" t="n"/>
      <c r="G32" s="2">
        <f>IFERROR(AVERAGE(D32:F32),"")</f>
        <v/>
      </c>
      <c r="H32" s="2">
        <f>IFERROR(G32-C32,"")</f>
        <v/>
      </c>
      <c r="J32" s="2" t="n">
        <v>1</v>
      </c>
      <c r="K32" s="2" t="n">
        <v>2</v>
      </c>
      <c r="L32" s="2" t="n">
        <v>3</v>
      </c>
      <c r="M32" s="2" t="n">
        <v>4</v>
      </c>
      <c r="N32" s="2" t="n">
        <v>4</v>
      </c>
      <c r="O32" s="2" t="n">
        <v>5</v>
      </c>
      <c r="P32" s="2" t="n">
        <v>6</v>
      </c>
    </row>
    <row r="33">
      <c r="A33" s="2" t="inlineStr">
        <is>
          <t>Leadership, People &amp; Continuous Improvement</t>
        </is>
      </c>
      <c r="B33" s="2" t="inlineStr">
        <is>
          <t>Operator training &amp; development</t>
        </is>
      </c>
      <c r="C33" s="2">
        <f>IFERROR(INDEX(J33:P33,MATCH($B$1,$J$3:$P$3,0)),"")</f>
        <v/>
      </c>
      <c r="D33" s="7" t="n"/>
      <c r="E33" s="7" t="n"/>
      <c r="F33" s="7" t="n"/>
      <c r="G33" s="2">
        <f>IFERROR(AVERAGE(D33:F33),"")</f>
        <v/>
      </c>
      <c r="H33" s="2">
        <f>IFERROR(G33-C33,"")</f>
        <v/>
      </c>
      <c r="J33" s="2" t="n">
        <v>1</v>
      </c>
      <c r="K33" s="2" t="n">
        <v>1</v>
      </c>
      <c r="L33" s="2" t="n">
        <v>2</v>
      </c>
      <c r="M33" s="2" t="n">
        <v>3</v>
      </c>
      <c r="N33" s="2" t="n">
        <v>4</v>
      </c>
      <c r="O33" s="2" t="n">
        <v>5</v>
      </c>
      <c r="P33" s="2" t="n">
        <v>6</v>
      </c>
    </row>
    <row r="34">
      <c r="A34" s="2" t="inlineStr">
        <is>
          <t>Leadership, People &amp; Continuous Improvement</t>
        </is>
      </c>
      <c r="B34" s="2" t="inlineStr">
        <is>
          <t>Coaching &amp; performance feedback</t>
        </is>
      </c>
      <c r="C34" s="2">
        <f>IFERROR(INDEX(J34:P34,MATCH($B$1,$J$3:$P$3,0)),"")</f>
        <v/>
      </c>
      <c r="D34" s="7" t="n"/>
      <c r="E34" s="7" t="n"/>
      <c r="F34" s="7" t="n"/>
      <c r="G34" s="2">
        <f>IFERROR(AVERAGE(D34:F34),"")</f>
        <v/>
      </c>
      <c r="H34" s="2">
        <f>IFERROR(G34-C34,"")</f>
        <v/>
      </c>
      <c r="J34" s="2" t="n">
        <v>1</v>
      </c>
      <c r="K34" s="2" t="n">
        <v>1</v>
      </c>
      <c r="L34" s="2" t="n">
        <v>2</v>
      </c>
      <c r="M34" s="2" t="n">
        <v>3</v>
      </c>
      <c r="N34" s="2" t="n">
        <v>4</v>
      </c>
      <c r="O34" s="2" t="n">
        <v>5</v>
      </c>
      <c r="P34" s="2" t="n">
        <v>6</v>
      </c>
    </row>
    <row r="35">
      <c r="A35" s="2" t="inlineStr">
        <is>
          <t>Leadership, People &amp; Continuous Improvement</t>
        </is>
      </c>
      <c r="B35" s="2" t="inlineStr">
        <is>
          <t>Shift leadership &amp; crew coordination</t>
        </is>
      </c>
      <c r="C35" s="2">
        <f>IFERROR(INDEX(J35:P35,MATCH($B$1,$J$3:$P$3,0)),"")</f>
        <v/>
      </c>
      <c r="D35" s="7" t="n"/>
      <c r="E35" s="7" t="n"/>
      <c r="F35" s="7" t="n"/>
      <c r="G35" s="2">
        <f>IFERROR(AVERAGE(D35:F35),"")</f>
        <v/>
      </c>
      <c r="H35" s="2">
        <f>IFERROR(G35-C35,"")</f>
        <v/>
      </c>
      <c r="J35" s="2" t="n">
        <v>1</v>
      </c>
      <c r="K35" s="2" t="n">
        <v>1</v>
      </c>
      <c r="L35" s="2" t="n">
        <v>2</v>
      </c>
      <c r="M35" s="2" t="n">
        <v>3</v>
      </c>
      <c r="N35" s="2" t="n">
        <v>4</v>
      </c>
      <c r="O35" s="2" t="n">
        <v>5</v>
      </c>
      <c r="P35" s="2" t="n">
        <v>6</v>
      </c>
    </row>
    <row r="36">
      <c r="A36" s="2" t="inlineStr">
        <is>
          <t>Leadership, People &amp; Continuous Improvement</t>
        </is>
      </c>
      <c r="B36" s="2" t="inlineStr">
        <is>
          <t>Pre-shift huddles &amp; shift handover</t>
        </is>
      </c>
      <c r="C36" s="2">
        <f>IFERROR(INDEX(J36:P36,MATCH($B$1,$J$3:$P$3,0)),"")</f>
        <v/>
      </c>
      <c r="D36" s="7" t="n"/>
      <c r="E36" s="7" t="n"/>
      <c r="F36" s="7" t="n"/>
      <c r="G36" s="2">
        <f>IFERROR(AVERAGE(D36:F36),"")</f>
        <v/>
      </c>
      <c r="H36" s="2">
        <f>IFERROR(G36-C36,"")</f>
        <v/>
      </c>
      <c r="J36" s="2" t="n">
        <v>1</v>
      </c>
      <c r="K36" s="2" t="n">
        <v>2</v>
      </c>
      <c r="L36" s="2" t="n">
        <v>2</v>
      </c>
      <c r="M36" s="2" t="n">
        <v>3</v>
      </c>
      <c r="N36" s="2" t="n">
        <v>4</v>
      </c>
      <c r="O36" s="2" t="n">
        <v>5</v>
      </c>
      <c r="P36" s="2" t="n">
        <v>6</v>
      </c>
    </row>
    <row r="37">
      <c r="A37" s="2" t="inlineStr">
        <is>
          <t>Leadership, People &amp; Continuous Improvement</t>
        </is>
      </c>
      <c r="B37" s="2" t="inlineStr">
        <is>
          <t>Escalation &amp; cross-functional coordination</t>
        </is>
      </c>
      <c r="C37" s="2">
        <f>IFERROR(INDEX(J37:P37,MATCH($B$1,$J$3:$P$3,0)),"")</f>
        <v/>
      </c>
      <c r="D37" s="7" t="n"/>
      <c r="E37" s="7" t="n"/>
      <c r="F37" s="7" t="n"/>
      <c r="G37" s="2">
        <f>IFERROR(AVERAGE(D37:F37),"")</f>
        <v/>
      </c>
      <c r="H37" s="2">
        <f>IFERROR(G37-C37,"")</f>
        <v/>
      </c>
      <c r="J37" s="2" t="n">
        <v>1</v>
      </c>
      <c r="K37" s="2" t="n">
        <v>2</v>
      </c>
      <c r="L37" s="2" t="n">
        <v>2</v>
      </c>
      <c r="M37" s="2" t="n">
        <v>3</v>
      </c>
      <c r="N37" s="2" t="n">
        <v>4</v>
      </c>
      <c r="O37" s="2" t="n">
        <v>5</v>
      </c>
      <c r="P37" s="2" t="n">
        <v>6</v>
      </c>
    </row>
    <row r="38">
      <c r="A38" s="2" t="inlineStr">
        <is>
          <t>Leadership, People &amp; Continuous Improvement</t>
        </is>
      </c>
      <c r="B38" s="2" t="inlineStr">
        <is>
          <t>OEE &amp; loss elimination</t>
        </is>
      </c>
      <c r="C38" s="2">
        <f>IFERROR(INDEX(J38:P38,MATCH($B$1,$J$3:$P$3,0)),"")</f>
        <v/>
      </c>
      <c r="D38" s="7" t="n"/>
      <c r="E38" s="7" t="n"/>
      <c r="F38" s="7" t="n"/>
      <c r="G38" s="2">
        <f>IFERROR(AVERAGE(D38:F38),"")</f>
        <v/>
      </c>
      <c r="H38" s="2">
        <f>IFERROR(G38-C38,"")</f>
        <v/>
      </c>
      <c r="J38" s="2" t="n">
        <v>1</v>
      </c>
      <c r="K38" s="2" t="n">
        <v>2</v>
      </c>
      <c r="L38" s="2" t="n">
        <v>3</v>
      </c>
      <c r="M38" s="2" t="n">
        <v>4</v>
      </c>
      <c r="N38" s="2" t="n">
        <v>4</v>
      </c>
      <c r="O38" s="2" t="n">
        <v>5</v>
      </c>
      <c r="P38" s="2" t="n">
        <v>6</v>
      </c>
    </row>
    <row r="39">
      <c r="A39" s="2" t="inlineStr">
        <is>
          <t>Leadership, People &amp; Continuous Improvement</t>
        </is>
      </c>
      <c r="B39" s="2" t="inlineStr">
        <is>
          <t>Root-cause problem solving</t>
        </is>
      </c>
      <c r="C39" s="2">
        <f>IFERROR(INDEX(J39:P39,MATCH($B$1,$J$3:$P$3,0)),"")</f>
        <v/>
      </c>
      <c r="D39" s="7" t="n"/>
      <c r="E39" s="7" t="n"/>
      <c r="F39" s="7" t="n"/>
      <c r="G39" s="2">
        <f>IFERROR(AVERAGE(D39:F39),"")</f>
        <v/>
      </c>
      <c r="H39" s="2">
        <f>IFERROR(G39-C39,"")</f>
        <v/>
      </c>
      <c r="J39" s="2" t="n">
        <v>1</v>
      </c>
      <c r="K39" s="2" t="n">
        <v>2</v>
      </c>
      <c r="L39" s="2" t="n">
        <v>3</v>
      </c>
      <c r="M39" s="2" t="n">
        <v>4</v>
      </c>
      <c r="N39" s="2" t="n">
        <v>4</v>
      </c>
      <c r="O39" s="2" t="n">
        <v>5</v>
      </c>
      <c r="P39" s="2" t="n">
        <v>6</v>
      </c>
    </row>
    <row r="40">
      <c r="A40" s="2" t="inlineStr">
        <is>
          <t>Leadership, People &amp; Continuous Improvement</t>
        </is>
      </c>
      <c r="B40" s="2" t="inlineStr">
        <is>
          <t>Production scheduling &amp; changeover</t>
        </is>
      </c>
      <c r="C40" s="2">
        <f>IFERROR(INDEX(J40:P40,MATCH($B$1,$J$3:$P$3,0)),"")</f>
        <v/>
      </c>
      <c r="D40" s="7" t="n"/>
      <c r="E40" s="7" t="n"/>
      <c r="F40" s="7" t="n"/>
      <c r="G40" s="2">
        <f>IFERROR(AVERAGE(D40:F40),"")</f>
        <v/>
      </c>
      <c r="H40" s="2">
        <f>IFERROR(G40-C40,"")</f>
        <v/>
      </c>
      <c r="J40" s="2" t="n">
        <v>1</v>
      </c>
      <c r="K40" s="2" t="n">
        <v>2</v>
      </c>
      <c r="L40" s="2" t="n">
        <v>2</v>
      </c>
      <c r="M40" s="2" t="n">
        <v>3</v>
      </c>
      <c r="N40" s="2" t="n">
        <v>4</v>
      </c>
      <c r="O40" s="2" t="n">
        <v>5</v>
      </c>
      <c r="P40" s="2" t="n">
        <v>6</v>
      </c>
    </row>
    <row r="41">
      <c r="A41" s="2" t="inlineStr">
        <is>
          <t>Leadership, People &amp; Continuous Improvement</t>
        </is>
      </c>
      <c r="B41" s="2" t="inlineStr">
        <is>
          <t>Cost, labor &amp; budget ownership</t>
        </is>
      </c>
      <c r="C41" s="2">
        <f>IFERROR(INDEX(J41:P41,MATCH($B$1,$J$3:$P$3,0)),"")</f>
        <v/>
      </c>
      <c r="D41" s="7" t="n"/>
      <c r="E41" s="7" t="n"/>
      <c r="F41" s="7" t="n"/>
      <c r="G41" s="2">
        <f>IFERROR(AVERAGE(D41:F41),"")</f>
        <v/>
      </c>
      <c r="H41" s="2">
        <f>IFERROR(G41-C41,"")</f>
        <v/>
      </c>
      <c r="J41" s="2" t="n">
        <v>1</v>
      </c>
      <c r="K41" s="2" t="n">
        <v>1</v>
      </c>
      <c r="L41" s="2" t="n">
        <v>2</v>
      </c>
      <c r="M41" s="2" t="n">
        <v>3</v>
      </c>
      <c r="N41" s="2" t="n">
        <v>4</v>
      </c>
      <c r="O41" s="2" t="n">
        <v>5</v>
      </c>
      <c r="P41" s="2" t="n">
        <v>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Sources</t>
        </is>
      </c>
    </row>
    <row r="2">
      <c r="A2" s="4" t="inlineStr">
        <is>
          <t>**Pasteurization &amp; flow-diversion control** — FDA Grade "A" Pasteurized Milk Ordinance (PMO), current revision</t>
        </is>
      </c>
    </row>
    <row r="3">
      <c r="A3" s="4" t="inlineStr">
        <is>
          <t>**Thermal-process legal limits &amp; records** — PMO time/temperature legal minima; IDFA thermal-processing guidance</t>
        </is>
      </c>
    </row>
    <row r="4">
      <c r="A4" s="4" t="inlineStr">
        <is>
          <t>**HACCP plan &amp; CCP monitoring** — Codex Alimentarius HACCP (CXC 1-1969); NACMCF HACCP Principles (1998)</t>
        </is>
      </c>
    </row>
    <row r="5">
      <c r="A5" s="4" t="inlineStr">
        <is>
          <t>**Preventive controls &amp; PCQI oversight** — FSMA Preventive Controls for Human Food (21 CFR 117 Subpart C); FSPCA</t>
        </is>
      </c>
    </row>
    <row r="6">
      <c r="A6" s="4" t="inlineStr">
        <is>
          <t>**Environmental monitoring &amp; pathogen control** — FDA Control of Listeria monocytogenes guidance (2017); zoning (Zone 1-4)</t>
        </is>
      </c>
    </row>
    <row r="7">
      <c r="A7" s="4" t="inlineStr">
        <is>
          <t>**Allergen control &amp; changeover** — FALCPA (2004); FDA allergen preventive-control expectations (21 CFR 117)</t>
        </is>
      </c>
    </row>
    <row r="8">
      <c r="A8" s="4" t="inlineStr">
        <is>
          <t>**PMO &amp; Grade A regulatory recordkeeping** — PMO; NCIMS (National Conference on Interstate Milk Shipments)</t>
        </is>
      </c>
    </row>
    <row r="9">
      <c r="A9" s="4" t="inlineStr">
        <is>
          <t>**GFSI audit &amp; certification readiness** — GFSI Benchmarking Requirements; SQF / BRCGS / FSSC 22000</t>
        </is>
      </c>
    </row>
    <row r="10">
      <c r="A10" s="4" t="inlineStr">
        <is>
          <t>**GMP &amp; personnel hygiene** — Current Good Manufacturing Practice (21 CFR 117 Subpart B)</t>
        </is>
      </c>
    </row>
    <row r="11">
      <c r="A11" s="4" t="inlineStr">
        <is>
          <t>**Raw milk receiving &amp; grading** — PMO raw-milk standards; Standard Methods for the Examination of Dairy Products (APHA)</t>
        </is>
      </c>
    </row>
    <row r="12">
      <c r="A12" s="4" t="inlineStr">
        <is>
          <t>**Separation &amp; standardization** — Bylund, Dairy Processing Handbook (Tetra Pak)</t>
        </is>
      </c>
    </row>
    <row r="13">
      <c r="A13" s="4" t="inlineStr">
        <is>
          <t>**Thermal processing operation (HTST/HHST/UHT)** — Bylund, Dairy Processing Handbook; PMO pasteurization equipment specs</t>
        </is>
      </c>
    </row>
    <row r="14">
      <c r="A14" s="4" t="inlineStr">
        <is>
          <t>**Homogenization &amp; fat standardization** — Bylund, Dairy Processing Handbook</t>
        </is>
      </c>
    </row>
    <row r="15">
      <c r="A15" s="4" t="inlineStr">
        <is>
          <t>**Filling &amp; packaging operation** — Hygienic filling practice; Bylund, Dairy Processing Handbook</t>
        </is>
      </c>
    </row>
    <row r="16">
      <c r="A16" s="4" t="inlineStr">
        <is>
          <t>**Cold chain &amp; finished-goods integrity** — PMO finished-product temperature limits; cold-chain best practice</t>
        </is>
      </c>
    </row>
    <row r="17">
      <c r="A17" s="4" t="inlineStr">
        <is>
          <t>**CIP cycle execution &amp; verification** — Bylund, Dairy Processing Handbook (CIP); 3-A Sanitary Standards</t>
        </is>
      </c>
    </row>
    <row r="18">
      <c r="A18" s="4" t="inlineStr">
        <is>
          <t>**Cleaning chemistry &amp; titration control** — Cleaning-chemical supplier standards; 3-A; alkaline/acid CIP chemistry</t>
        </is>
      </c>
    </row>
    <row r="19">
      <c r="A19" s="4" t="inlineStr">
        <is>
          <t>**COP &amp; manual sanitation** — cGMP sanitation (21 CFR 117 Subpart B); Master Sanitation Schedule practice</t>
        </is>
      </c>
    </row>
    <row r="20">
      <c r="A20" s="4" t="inlineStr">
        <is>
          <t>**Hygienic design &amp; 3-A conformance** — 3-A Sanitary Standards; EHEDG hygienic-design principles</t>
        </is>
      </c>
    </row>
    <row r="21">
      <c r="A21" s="4" t="inlineStr">
        <is>
          <t>**Ammonia / CO2 refrigeration operation** — IIAR standards (ANSI/IIAR 2, 6, 7) for closed-circuit ammonia refrigeration</t>
        </is>
      </c>
    </row>
    <row r="22">
      <c r="A22" s="4" t="inlineStr">
        <is>
          <t>**Boiler &amp; steam system operation** — ASME Boiler &amp; Pressure Vessel Code; state boiler-operation regulations</t>
        </is>
      </c>
    </row>
    <row r="23">
      <c r="A23" s="4" t="inlineStr">
        <is>
          <t>**Autonomous &amp; preventive maintenance** — Nakajima, Introduction to TPM (1988); Reliability-Centered Maintenance</t>
        </is>
      </c>
    </row>
    <row r="24">
      <c r="A24" s="4" t="inlineStr">
        <is>
          <t>**Equipment troubleshooting &amp; breakdown recovery** — TPM focused-improvement pillar (Nakajima, 1988); structured breakdown analysis</t>
        </is>
      </c>
    </row>
    <row r="25">
      <c r="A25" s="4" t="inlineStr">
        <is>
          <t>**Utilities stewardship (water/air/energy)** — Facilities utility-operations practice; ISO 50001 energy management</t>
        </is>
      </c>
    </row>
    <row r="26">
      <c r="A26" s="4" t="inlineStr">
        <is>
          <t>**Wastewater &amp; effluent compliance** — Clean Water Act; EPA NPDES permitting; pretreatment standards</t>
        </is>
      </c>
    </row>
    <row r="27">
      <c r="A27" s="4" t="inlineStr">
        <is>
          <t>**Lockout/tagout &amp; hazardous energy control** — OSHA Control of Hazardous Energy, Lockout/Tagout (29 CFR 1910.147)</t>
        </is>
      </c>
    </row>
    <row r="28">
      <c r="A28" s="4" t="inlineStr">
        <is>
          <t>**Hazard recognition, PPE &amp; permits** — OSHA PPE (1910 Subpart I), confined space (1910.146), hot work permits</t>
        </is>
      </c>
    </row>
    <row r="29">
      <c r="A29" s="4" t="inlineStr">
        <is>
          <t>**Process safety management (PSM/RMP)** — OSHA PSM (29 CFR 1910.119); EPA Risk Management Program (40 CFR 68)</t>
        </is>
      </c>
    </row>
    <row r="30">
      <c r="A30" s="4" t="inlineStr">
        <is>
          <t>**Ammonia emergency response &amp; readiness** — OSHA HAZWOPER (29 CFR 1910.120); IIAR emergency-response guidance</t>
        </is>
      </c>
    </row>
    <row r="31">
      <c r="A31" s="4" t="inlineStr">
        <is>
          <t>**Operator training &amp; development** — Training Within Industry (TWI) Job Instruction; Dreyfus skill acquisition</t>
        </is>
      </c>
    </row>
    <row r="32">
      <c r="A32" s="4" t="inlineStr">
        <is>
          <t>**Coaching &amp; performance feedback** — Grove, High Output Management (1983)</t>
        </is>
      </c>
    </row>
    <row r="33">
      <c r="A33" s="4" t="inlineStr">
        <is>
          <t>**Shift &amp; safety leadership** — Geller, behavior-based safety; OSHA VPP; Hersey &amp; Blanchard situational leadership</t>
        </is>
      </c>
    </row>
    <row r="34">
      <c r="A34" s="4" t="inlineStr">
        <is>
          <t>**Pre-shift huddles &amp; shift handover** — Lean daily management; structured shift-handover practice (HSE guidance)</t>
        </is>
      </c>
    </row>
    <row r="35">
      <c r="A35" s="4" t="inlineStr">
        <is>
          <t>**Escalation &amp; cross-functional coordination** — Incident-command escalation practice; cross-functional coordination</t>
        </is>
      </c>
    </row>
    <row r="36">
      <c r="A36" s="4" t="inlineStr">
        <is>
          <t>**OEE &amp; loss elimination** — Nakajima, TPM &amp; Overall Equipment Effectiveness (1988)</t>
        </is>
      </c>
    </row>
    <row r="37">
      <c r="A37" s="4" t="inlineStr">
        <is>
          <t>**Root-cause problem solving** — Ohno / Toyota Production System (5 Whys); Ishikawa cause-and-effect; Deming</t>
        </is>
      </c>
    </row>
    <row r="38">
      <c r="A38" s="4" t="inlineStr">
        <is>
          <t>**Production scheduling &amp; changeover** — APICS/ASCM planning body of knowledge; SMED changeover (Shingo)</t>
        </is>
      </c>
    </row>
    <row r="39">
      <c r="A39" s="4" t="inlineStr">
        <is>
          <t>**Cost, labor &amp; budget ownership** — Managerial cost accounting; plant P&amp;L and labor-variance practice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2026-07-07T08:50:48Z</dcterms:created>
  <dcterms:modified xsi:type="dcterms:W3CDTF">2026-07-07T08:50:48Z</dcterms:modified>
</cp:coreProperties>
</file>