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Competency Matrix" sheetId="2" state="visible" r:id="rId2"/>
    <sheet name="Rating Template" sheetId="3" state="visible" r:id="rId3"/>
    <sheet name="Sources &amp; Theory"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0"/>
    </font>
    <font>
      <name val="Arial"/>
      <sz val="10"/>
    </font>
    <font>
      <name val="Arial"/>
      <color rgb="FF0563C1"/>
      <sz val="10"/>
      <u val="single"/>
    </font>
    <font>
      <name val="Arial"/>
      <color rgb="FF0000CC"/>
      <sz val="10"/>
    </font>
  </fonts>
  <fills count="2">
    <fill>
      <patternFill/>
    </fill>
    <fill>
      <patternFill patternType="gray125"/>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2" fillId="0" borderId="0" applyAlignment="1" pivotButton="0" quotePrefix="0" xfId="0">
      <alignment vertical="top"/>
    </xf>
    <xf numFmtId="0" fontId="2" fillId="0" borderId="0" applyAlignment="1" pivotButton="0" quotePrefix="0" xfId="0">
      <alignment vertical="top" wrapText="1"/>
    </xf>
    <xf numFmtId="0" fontId="3" fillId="0" borderId="0" pivotButton="0" quotePrefix="0" xfId="0"/>
    <xf numFmtId="0" fontId="3" fillId="0" borderId="0"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ithub.com/jmresearch/open-capability-framework" TargetMode="External" Id="rId1" /></Relationships>
</file>

<file path=xl/worksheets/_rels/sheet2.xml.rels><Relationships xmlns="http://schemas.openxmlformats.org/package/2006/relationships"><Relationship Type="http://schemas.openxmlformats.org/officeDocument/2006/relationships/hyperlink" Target="https://github.com/jmresearch/open-capability-framework/blob/main/data/capabilities.md#fbm-01" TargetMode="External" Id="rId1" /><Relationship Type="http://schemas.openxmlformats.org/officeDocument/2006/relationships/hyperlink" Target="https://github.com/jmresearch/open-capability-framework/blob/main/data/capabilities.md#fbm-02" TargetMode="External" Id="rId2" /><Relationship Type="http://schemas.openxmlformats.org/officeDocument/2006/relationships/hyperlink" Target="https://github.com/jmresearch/open-capability-framework/blob/main/data/capabilities.md#fbm-03" TargetMode="External" Id="rId3" /><Relationship Type="http://schemas.openxmlformats.org/officeDocument/2006/relationships/hyperlink" Target="https://github.com/jmresearch/open-capability-framework/blob/main/data/capabilities.md#fbm-04" TargetMode="External" Id="rId4" /><Relationship Type="http://schemas.openxmlformats.org/officeDocument/2006/relationships/hyperlink" Target="https://github.com/jmresearch/open-capability-framework/blob/main/data/capabilities.md#fbm-05" TargetMode="External" Id="rId5" /><Relationship Type="http://schemas.openxmlformats.org/officeDocument/2006/relationships/hyperlink" Target="https://github.com/jmresearch/open-capability-framework/blob/main/data/capabilities.md#fbm-06" TargetMode="External" Id="rId6" /><Relationship Type="http://schemas.openxmlformats.org/officeDocument/2006/relationships/hyperlink" Target="https://github.com/jmresearch/open-capability-framework/blob/main/data/capabilities.md#fbm-07" TargetMode="External" Id="rId7" /><Relationship Type="http://schemas.openxmlformats.org/officeDocument/2006/relationships/hyperlink" Target="https://github.com/jmresearch/open-capability-framework/blob/main/data/capabilities.md#fbm-08" TargetMode="External" Id="rId8" /><Relationship Type="http://schemas.openxmlformats.org/officeDocument/2006/relationships/hyperlink" Target="https://github.com/jmresearch/open-capability-framework/blob/main/data/capabilities.md#fbm-09" TargetMode="External" Id="rId9" /><Relationship Type="http://schemas.openxmlformats.org/officeDocument/2006/relationships/hyperlink" Target="https://github.com/jmresearch/open-capability-framework/blob/main/data/capabilities.md#fbm-10" TargetMode="External" Id="rId10" /><Relationship Type="http://schemas.openxmlformats.org/officeDocument/2006/relationships/hyperlink" Target="https://github.com/jmresearch/open-capability-framework/blob/main/data/capabilities.md#fbm-11" TargetMode="External" Id="rId11" /><Relationship Type="http://schemas.openxmlformats.org/officeDocument/2006/relationships/hyperlink" Target="https://github.com/jmresearch/open-capability-framework/blob/main/data/capabilities.md#fbm-12" TargetMode="External" Id="rId12" /><Relationship Type="http://schemas.openxmlformats.org/officeDocument/2006/relationships/hyperlink" Target="https://github.com/jmresearch/open-capability-framework/blob/main/data/capabilities.md#fbm-13" TargetMode="External" Id="rId13" /><Relationship Type="http://schemas.openxmlformats.org/officeDocument/2006/relationships/hyperlink" Target="https://github.com/jmresearch/open-capability-framework/blob/main/data/capabilities.md#fbm-14" TargetMode="External" Id="rId14" /><Relationship Type="http://schemas.openxmlformats.org/officeDocument/2006/relationships/hyperlink" Target="https://github.com/jmresearch/open-capability-framework/blob/main/data/capabilities.md#fbm-15" TargetMode="External" Id="rId15" /><Relationship Type="http://schemas.openxmlformats.org/officeDocument/2006/relationships/hyperlink" Target="https://github.com/jmresearch/open-capability-framework/blob/main/data/capabilities.md#fbm-16" TargetMode="External" Id="rId16" /><Relationship Type="http://schemas.openxmlformats.org/officeDocument/2006/relationships/hyperlink" Target="https://github.com/jmresearch/open-capability-framework/blob/main/data/capabilities.md#fbm-17" TargetMode="External" Id="rId17" /><Relationship Type="http://schemas.openxmlformats.org/officeDocument/2006/relationships/hyperlink" Target="https://github.com/jmresearch/open-capability-framework/blob/main/data/capabilities.md#fbm-18" TargetMode="External" Id="rId18" /><Relationship Type="http://schemas.openxmlformats.org/officeDocument/2006/relationships/hyperlink" Target="https://github.com/jmresearch/open-capability-framework/blob/main/data/capabilities.md#fbm-19" TargetMode="External" Id="rId19" /><Relationship Type="http://schemas.openxmlformats.org/officeDocument/2006/relationships/hyperlink" Target="https://github.com/jmresearch/open-capability-framework/blob/main/data/capabilities.md#fbm-20" TargetMode="External" Id="rId20" /><Relationship Type="http://schemas.openxmlformats.org/officeDocument/2006/relationships/hyperlink" Target="https://github.com/jmresearch/open-capability-framework/blob/main/data/capabilities.md#fbm-21" TargetMode="External" Id="rId21" /><Relationship Type="http://schemas.openxmlformats.org/officeDocument/2006/relationships/hyperlink" Target="https://github.com/jmresearch/open-capability-framework/blob/main/data/capabilities.md#scm-09" TargetMode="External" Id="rId22" /><Relationship Type="http://schemas.openxmlformats.org/officeDocument/2006/relationships/hyperlink" Target="https://github.com/jmresearch/open-capability-framework/blob/main/data/capabilities.md#fbm-22" TargetMode="External" Id="rId23" /><Relationship Type="http://schemas.openxmlformats.org/officeDocument/2006/relationships/hyperlink" Target="https://github.com/jmresearch/open-capability-framework/blob/main/data/capabilities.md#wpl-02" TargetMode="External" Id="rId24" /><Relationship Type="http://schemas.openxmlformats.org/officeDocument/2006/relationships/hyperlink" Target="https://github.com/jmresearch/open-capability-framework/blob/main/data/capabilities.md#fbm-23" TargetMode="External" Id="rId25" /><Relationship Type="http://schemas.openxmlformats.org/officeDocument/2006/relationships/hyperlink" Target="https://github.com/jmresearch/open-capability-framework/blob/main/data/capabilities.md#wpl-08" TargetMode="External" Id="rId26" /><Relationship Type="http://schemas.openxmlformats.org/officeDocument/2006/relationships/hyperlink" Target="https://github.com/jmresearch/open-capability-framework/blob/main/data/capabilities.md#wpl-08" TargetMode="External" Id="rId27" /><Relationship Type="http://schemas.openxmlformats.org/officeDocument/2006/relationships/hyperlink" Target="https://github.com/jmresearch/open-capability-framework/blob/main/data/capabilities.md#fbm-24" TargetMode="External" Id="rId28" /><Relationship Type="http://schemas.openxmlformats.org/officeDocument/2006/relationships/hyperlink" Target="https://github.com/jmresearch/open-capability-framework/blob/main/data/capabilities.md#fbm-25" TargetMode="External" Id="rId29" /><Relationship Type="http://schemas.openxmlformats.org/officeDocument/2006/relationships/hyperlink" Target="https://github.com/jmresearch/open-capability-framework/blob/main/data/capabilities.md#li-01" TargetMode="External" Id="rId30" /><Relationship Type="http://schemas.openxmlformats.org/officeDocument/2006/relationships/hyperlink" Target="https://github.com/jmresearch/open-capability-framework/blob/main/data/capabilities.md#em-01" TargetMode="External" Id="rId31" /><Relationship Type="http://schemas.openxmlformats.org/officeDocument/2006/relationships/hyperlink" Target="https://github.com/jmresearch/open-capability-framework/blob/main/data/capabilities.md#li-08" TargetMode="External" Id="rId32" /><Relationship Type="http://schemas.openxmlformats.org/officeDocument/2006/relationships/hyperlink" Target="https://github.com/jmresearch/open-capability-framework/blob/main/data/capabilities.md#cc-01" TargetMode="External" Id="rId33" /><Relationship Type="http://schemas.openxmlformats.org/officeDocument/2006/relationships/hyperlink" Target="https://github.com/jmresearch/open-capability-framework/blob/main/data/capabilities.md#cc-03" TargetMode="External" Id="rId34" /><Relationship Type="http://schemas.openxmlformats.org/officeDocument/2006/relationships/hyperlink" Target="https://github.com/jmresearch/open-capability-framework/blob/main/data/capabilities.md#scm-07" TargetMode="External" Id="rId35" /><Relationship Type="http://schemas.openxmlformats.org/officeDocument/2006/relationships/hyperlink" Target="https://github.com/jmresearch/open-capability-framework/blob/main/data/capabilities.md#sup-05" TargetMode="External" Id="rId36" /><Relationship Type="http://schemas.openxmlformats.org/officeDocument/2006/relationships/hyperlink" Target="https://github.com/jmresearch/open-capability-framework/blob/main/data/capabilities.md#scm-08" TargetMode="External" Id="rId37" /><Relationship Type="http://schemas.openxmlformats.org/officeDocument/2006/relationships/hyperlink" Target="https://github.com/jmresearch/open-capability-framework/blob/main/data/capabilities.md#em-06" TargetMode="External" Id="rId38" /></Relationships>
</file>

<file path=xl/worksheets/sheet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22" customWidth="1" min="1" max="1"/>
    <col width="36" customWidth="1" min="2" max="2"/>
    <col width="34" customWidth="1" min="3" max="3"/>
    <col width="60" customWidth="1" min="4" max="4"/>
  </cols>
  <sheetData>
    <row r="1">
      <c r="A1" s="1" t="inlineStr">
        <is>
          <t>Role</t>
        </is>
      </c>
      <c r="B1" s="2" t="inlineStr">
        <is>
          <t>Dairy Plant Operations</t>
        </is>
      </c>
    </row>
    <row r="2">
      <c r="A2" s="1" t="inlineStr">
        <is>
          <t>Slug</t>
        </is>
      </c>
      <c r="B2" s="2" t="inlineStr">
        <is>
          <t>dairy-plant-operations</t>
        </is>
      </c>
    </row>
    <row r="3">
      <c r="A3" s="1" t="inlineStr">
        <is>
          <t>Variant</t>
        </is>
      </c>
      <c r="B3" s="2" t="inlineStr">
        <is>
          <t>general</t>
        </is>
      </c>
    </row>
    <row r="4">
      <c r="A4" s="1" t="inlineStr">
        <is>
          <t>Minted</t>
        </is>
      </c>
      <c r="B4" s="2" t="inlineStr">
        <is>
          <t>2026-07-07</t>
        </is>
      </c>
    </row>
    <row r="6">
      <c r="A6" s="1" t="inlineStr">
        <is>
          <t>Level</t>
        </is>
      </c>
      <c r="B6" s="1" t="inlineStr">
        <is>
          <t>Title</t>
        </is>
      </c>
      <c r="C6" s="1" t="inlineStr">
        <is>
          <t>Scope</t>
        </is>
      </c>
      <c r="D6" s="1" t="inlineStr">
        <is>
          <t>Focus</t>
        </is>
      </c>
    </row>
    <row r="7">
      <c r="A7" s="3" t="inlineStr">
        <is>
          <t>L1</t>
        </is>
      </c>
      <c r="B7" s="3" t="inlineStr">
        <is>
          <t>Operator I</t>
        </is>
      </c>
      <c r="C7" s="4" t="inlineStr">
        <is>
          <t>one machine / task under direction</t>
        </is>
      </c>
      <c r="D7" s="4" t="inlineStr">
        <is>
          <t>learns the plant and runs a single process area under direction</t>
        </is>
      </c>
    </row>
    <row r="8">
      <c r="A8" s="3" t="inlineStr">
        <is>
          <t>L2</t>
        </is>
      </c>
      <c r="B8" s="3" t="inlineStr">
        <is>
          <t>Operator II</t>
        </is>
      </c>
      <c r="C8" s="4" t="inlineStr">
        <is>
          <t>a process area across a shift</t>
        </is>
      </c>
      <c r="D8" s="4" t="inlineStr">
        <is>
          <t>runs a process area independently across a full shift</t>
        </is>
      </c>
    </row>
    <row r="9">
      <c r="A9" s="3" t="inlineStr">
        <is>
          <t>L3</t>
        </is>
      </c>
      <c r="B9" s="3" t="inlineStr">
        <is>
          <t>Senior Operator</t>
        </is>
      </c>
      <c r="C9" s="4" t="inlineStr">
        <is>
          <t>multiple process areas</t>
        </is>
      </c>
      <c r="D9" s="4" t="inlineStr">
        <is>
          <t>operates multiple areas, troubleshoots, and coaches peers</t>
        </is>
      </c>
    </row>
    <row r="10">
      <c r="A10" s="3" t="inlineStr">
        <is>
          <t>L4</t>
        </is>
      </c>
      <c r="B10" s="3" t="inlineStr">
        <is>
          <t>Lead Operator</t>
        </is>
      </c>
      <c r="C10" s="4" t="inlineStr">
        <is>
          <t>a line / process end to end (IC terminal)</t>
        </is>
      </c>
      <c r="D10" s="4" t="inlineStr">
        <is>
          <t>owns a line end to end and leads the floor without the title - IC terminal</t>
        </is>
      </c>
    </row>
    <row r="11">
      <c r="A11" s="3" t="inlineStr">
        <is>
          <t>L5</t>
        </is>
      </c>
      <c r="B11" s="3" t="inlineStr">
        <is>
          <t>Shift Supervisor</t>
        </is>
      </c>
      <c r="C11" s="4" t="inlineStr">
        <is>
          <t>a shift crew</t>
        </is>
      </c>
      <c r="D11" s="4" t="inlineStr">
        <is>
          <t>leads a shift crew and its safety, quality, and output</t>
        </is>
      </c>
    </row>
    <row r="12">
      <c r="A12" s="3" t="inlineStr">
        <is>
          <t>L6</t>
        </is>
      </c>
      <c r="B12" s="3" t="inlineStr">
        <is>
          <t>Area / Production Manager</t>
        </is>
      </c>
      <c r="C12" s="4" t="inlineStr">
        <is>
          <t>a department across shifts</t>
        </is>
      </c>
      <c r="D12" s="4" t="inlineStr">
        <is>
          <t>owns a department across shifts - its people, cost, and performance</t>
        </is>
      </c>
    </row>
    <row r="13">
      <c r="A13" s="3" t="inlineStr">
        <is>
          <t>L7</t>
        </is>
      </c>
      <c r="B13" s="3" t="inlineStr">
        <is>
          <t>Plant Operations Manager</t>
        </is>
      </c>
      <c r="C13" s="4" t="inlineStr">
        <is>
          <t>the whole plant</t>
        </is>
      </c>
      <c r="D13" s="4" t="inlineStr">
        <is>
          <t>owns whole-plant operations, safety, quality, and cost</t>
        </is>
      </c>
    </row>
    <row r="15" ht="60" customHeight="1">
      <c r="A15" s="4" t="inlineStr">
        <is>
          <t>How to read: each row of the Competency Matrix is one competency, mapped to an Open Capability Framework capability (OCF ID column — click through for the catalog entry and its P1-P6 profile). Level columns describe observable behavior at each level; use the Rating Template for self/peer/manager scoring.</t>
        </is>
      </c>
    </row>
    <row r="17">
      <c r="A17" s="1" t="inlineStr">
        <is>
          <t>Framework repository</t>
        </is>
      </c>
      <c r="B17" s="5" t="inlineStr">
        <is>
          <t>https://github.com/jmresearch/open-capability-framework</t>
        </is>
      </c>
    </row>
  </sheetData>
  <mergeCells count="1">
    <mergeCell ref="A15:D15"/>
  </mergeCells>
  <hyperlinks>
    <hyperlink xmlns:r="http://schemas.openxmlformats.org/officeDocument/2006/relationships" ref="B17" r:id="rId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9"/>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4" customWidth="1" min="3" max="3"/>
    <col width="12" customWidth="1" min="4" max="4"/>
    <col width="45" customWidth="1" min="5" max="5"/>
    <col width="4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s>
  <sheetData>
    <row r="1">
      <c r="A1" s="1" t="inlineStr">
        <is>
          <t>Key Area</t>
        </is>
      </c>
      <c r="B1" s="1" t="inlineStr">
        <is>
          <t>Focus Area</t>
        </is>
      </c>
      <c r="C1" s="1" t="inlineStr">
        <is>
          <t>Competency</t>
        </is>
      </c>
      <c r="D1" s="1" t="inlineStr">
        <is>
          <t>OCF ID</t>
        </is>
      </c>
      <c r="E1" s="1" t="inlineStr">
        <is>
          <t>What it covers</t>
        </is>
      </c>
      <c r="F1" s="1" t="inlineStr">
        <is>
          <t>Theory anchor &amp; why</t>
        </is>
      </c>
      <c r="G1" s="1" t="inlineStr">
        <is>
          <t>L1</t>
        </is>
      </c>
      <c r="H1" s="1" t="inlineStr">
        <is>
          <t>L2</t>
        </is>
      </c>
      <c r="I1" s="1" t="inlineStr">
        <is>
          <t>L3</t>
        </is>
      </c>
      <c r="J1" s="1" t="inlineStr">
        <is>
          <t>L4</t>
        </is>
      </c>
      <c r="K1" s="1" t="inlineStr">
        <is>
          <t>L5</t>
        </is>
      </c>
      <c r="L1" s="1" t="inlineStr">
        <is>
          <t>L6</t>
        </is>
      </c>
      <c r="M1" s="1" t="inlineStr">
        <is>
          <t>L7</t>
        </is>
      </c>
    </row>
    <row r="2">
      <c r="A2" s="4" t="inlineStr">
        <is>
          <t>Food Safety &amp; Regulatory Compliance</t>
        </is>
      </c>
      <c r="B2" s="4" t="inlineStr">
        <is>
          <t>Thermal Process Control</t>
        </is>
      </c>
      <c r="C2" s="4" t="inlineStr">
        <is>
          <t>Pasteurization &amp; flow-diversion control</t>
        </is>
      </c>
      <c r="D2" s="6" t="inlineStr">
        <is>
          <t>FBM-01</t>
        </is>
      </c>
      <c r="E2" s="4" t="inlineStr">
        <is>
          <t>Operating and verifying the pasteurizer's flow-diversion and legal time/temperature control so only properly treated product advances.</t>
        </is>
      </c>
      <c r="F2" s="4" t="inlineStr">
        <is>
          <t>U.S. FDA / IMS, Grade "A" Pasteurized Milk Ordinance (PMO), 2019 Revision — the flow-diversion device and its legal setpoints are the plant's public-health guarantee</t>
        </is>
      </c>
      <c r="G2" s="4" t="inlineStr">
        <is>
          <t>Depth: Under direction, confirms the flow-diversion device holds forward flow only when temperature is above the cut-in set point and diverts below it; reads the diversion behavior off the recorder; and escalates any diversion that will not clear or any FDD anomaly to a lead.
Evidenced by: States the legal cut-in temperature for the product running.
Scope: one machine / task under direction.</t>
        </is>
      </c>
      <c r="H2" s="4" t="inlineStr">
        <is>
          <t>Depth: Independently controls the flow-diversion function — confirms cut-in and cut-out act at the legal set points, verifies forward flow only above cut-in, and handles routine nuisance diversions and short stops so that only properly treated product advances.
Evidenced by: Clears a routine divert and records its cause unprompted.
Scope: a process area across a shift.</t>
        </is>
      </c>
      <c r="I2" s="4" t="inlineStr">
        <is>
          <t>Depth: Troubleshoots the common causes of nuisance diversion and failure-to-divert (sensor drift, low product level, restart transients), restores correct divert/forward behavior without compromising the treatment, and coaches operators on FDD behavior and the legal cut-in/cut-out set points.
Evidenced by: Cracks a nuisance-divert pattern others cannot explain.
Scope: multiple process areas.</t>
        </is>
      </c>
      <c r="J2" s="4" t="inlineStr">
        <is>
          <t>Depth: Sets the local diversion-control standard — writes the diversion-response procedure others follow, defines the cut-in/cut-out set points and the FDD seal-and-wiring integrity checks at the machine — and is the person called when a diversion won't clear.
Evidenced by: Writes the divert-response procedure the line follows and teaches the chart to new operators.
Scope: a line / process end to end (IC terminal).</t>
        </is>
      </c>
      <c r="K2" s="4" t="inlineStr">
        <is>
          <t>Depth: Sets the local diversion-control standard — writes the diversion-response procedure others follow, defines the cut-in/cut-out set points and the FDD seal-and-wiring integrity checks at the machine — and is the person called when a diversion won't clear.
Evidenced by: Surfaces crew-wide pasteurization compliance in the shift review.
Scope: a shift crew.</t>
        </is>
      </c>
      <c r="L2" s="4" t="inlineStr">
        <is>
          <t>Depth: Governs flow-diversion control across the plant's thermal lines — owns the FDD test-and-seal regime, the cut-in/cut-out control standard, and the trending that drives out chronic diversions — and sets the competency bar for who is cleared to hold the kill step.
Evidenced by: Drives divert rate down department-wide with a targeted FDD test-and-seal standard.
Scope: a department across shifts.</t>
        </is>
      </c>
      <c r="M2" s="4" t="inlineStr">
        <is>
          <t>Depth: Defines flow-diversion-control practice adopted beyond the plant — advances how the divert/forward decision and legal cut-in/cut-out are controlled and safeguarded — and is a reference others in the industry adopt.
Evidenced by: Signs the PMO compliance the plant is inspected against.
Scope: the whole plant.</t>
        </is>
      </c>
    </row>
    <row r="3">
      <c r="A3" s="4" t="inlineStr">
        <is>
          <t>Food Safety &amp; Regulatory Compliance</t>
        </is>
      </c>
      <c r="B3" s="4" t="inlineStr">
        <is>
          <t>Thermal Process Control</t>
        </is>
      </c>
      <c r="C3" s="4" t="inlineStr">
        <is>
          <t>Thermal-process legal limits &amp; records</t>
        </is>
      </c>
      <c r="D3" s="6" t="inlineStr">
        <is>
          <t>FBM-02</t>
        </is>
      </c>
      <c r="E3" s="4" t="inlineStr">
        <is>
          <t>Establishing and defending the legal thermal-process minima and the records that prove every batch met them.</t>
        </is>
      </c>
      <c r="F3" s="4" t="inlineStr">
        <is>
          <t>U.S. FDA / IMS, Grade "A" Pasteurized Milk Ordinance (PMO), 2019 Revision — the legally defensible thermal process and its records are what an inspector audits</t>
        </is>
      </c>
      <c r="G3" s="4" t="inlineStr">
        <is>
          <t>Depth: Under direction, records the required time and temperature for the product being run against the posted legal minimum, files the charts and logs completely and legibly, and flags a record that does not show the process was met.
Evidenced by: Reads the required minimum hold temperature off the process record.
Scope: one machine / task under direction.</t>
        </is>
      </c>
      <c r="H3" s="4" t="inlineStr">
        <is>
          <t>Depth: Independently confirms the running process against the correct legal minimum for each product, completes and reconciles the thermal-process records for a shift, and knows which reading proves the process and which does not.
Evidenced by: Catches and reports an out-of-limit hold time without prompting.
Scope: a process area across a shift.</t>
        </is>
      </c>
      <c r="I3" s="4" t="inlineStr">
        <is>
          <t>Depth: Owns the thermal-process records for a line or area — verifies every batch's record shows the legal minimum was met, resolves gaps and discrepancies before they age, and coaches operators on why a specific time/temperature is the legal floor.
Evidenced by: Defends a borderline record with the supporting evidence.
Scope: multiple process areas.</t>
        </is>
      </c>
      <c r="J3" s="4" t="inlineStr">
        <is>
          <t>Depth: Establishes the documented scheduled thermal process and legal minima others run to — sets the record requirements, the review-of-records routine, and what constitutes a defensible batch record — and is the person who signs that a lot's process is proven.
Evidenced by: Sets the recordkeeping standard an inspector can follow end to end.
Scope: a line / process end to end (IC terminal).</t>
        </is>
      </c>
      <c r="K3" s="4" t="inlineStr">
        <is>
          <t>Depth: Establishes the documented scheduled thermal process and legal minima others run to — sets the record requirements, the review-of-records routine, and what constitutes a defensible batch record — and is the person who signs that a lot's process is proven.
Evidenced by: Signs off the crew's thermal records as inspection-ready.
Scope: a shift crew.</t>
        </is>
      </c>
      <c r="L3" s="4" t="inlineStr">
        <is>
          <t>Depth: Governs the thermal-process-authority program across the plant — owns the process filings and validations, the record-retention and review standard, and the escalation for a shorted process — and defends the minima and records to a regulator or auditor without gaps.
Evidenced by: Closes record gaps before an audit finds them.
Scope: a department across shifts.</t>
        </is>
      </c>
      <c r="M3" s="4" t="inlineStr">
        <is>
          <t>Depth: Sets thermal-process-legality practice others adopt — advances how legal minima are established, validated, and documented — and is a recognized authority whose recordkeeping standard is emulated.
Evidenced by: Is the plant's authority on thermal-process legality.
Scope: the whole plant.</t>
        </is>
      </c>
    </row>
    <row r="4">
      <c r="A4" s="4" t="inlineStr">
        <is>
          <t>Food Safety &amp; Regulatory Compliance</t>
        </is>
      </c>
      <c r="B4" s="4" t="inlineStr">
        <is>
          <t>Food Safety Systems</t>
        </is>
      </c>
      <c r="C4" s="4" t="inlineStr">
        <is>
          <t>HACCP plan &amp; CCP monitoring</t>
        </is>
      </c>
      <c r="D4" s="6" t="inlineStr">
        <is>
          <t>FBM-03</t>
        </is>
      </c>
      <c r="E4" s="4" t="inlineStr">
        <is>
          <t>Building and running a HACCP plan — monitoring critical control points and executing corrective actions when limits are breached.</t>
        </is>
      </c>
      <c r="F4" s="4" t="inlineStr">
        <is>
          <t>Codex Alimentarius Commission, General Principles of Food Hygiene (CXC 1-1969) and its HACCP Annex — CCP monitoring is the systematic guard against food-safety hazards</t>
        </is>
      </c>
      <c r="G4" s="4" t="inlineStr">
        <is>
          <t>Depth: Under direction, monitors an assigned critical control point on schedule, records the reading against its critical limit, and immediately notifies a lead and holds product when a limit is exceeded.
Evidenced by: Knows which step on the line is a CCP.
Scope: one machine / task under direction.</t>
        </is>
      </c>
      <c r="H4" s="4" t="inlineStr">
        <is>
          <t>Depth: Independently monitors the critical control points for a line across a shift, recognizes a deviation as it happens, initiates the documented corrective action, and completes the monitoring and corrective-action records.
Evidenced by: Takes the first corrective action on a CCP deviation without waiting.
Scope: a process area across a shift.</t>
        </is>
      </c>
      <c r="I4" s="4" t="inlineStr">
        <is>
          <t>Depth: Owns CCP monitoring for an area — verifies monitoring is happening as written, investigates the cause of a deviation, coaches operators on critical limits and corrective actions, and handles the non-routine deviation without a supervisor.
Evidenced by: Judges a borderline CCP reading correctly under pressure.
Scope: multiple process areas.</t>
        </is>
      </c>
      <c r="J4" s="4" t="inlineStr">
        <is>
          <t>Depth: Builds the HACCP plan for a process — conducts the hazard analysis, determines the CCPs and critical limits, writes the monitoring and corrective-action procedures others follow, and leads reassessment when the process changes.
Evidenced by: Writes the CCP-monitoring procedure the line runs to and teaches it to the crew.
Scope: a line / process end to end (IC terminal).</t>
        </is>
      </c>
      <c r="K4" s="4" t="inlineStr">
        <is>
          <t>Depth: Builds the HACCP plan for a process — conducts the hazard analysis, determines the CCPs and critical limits, writes the monitoring and corrective-action procedures others follow, and leads reassessment when the process changes.
Evidenced by: Signs the crew's CCP verification records.
Scope: a shift crew.</t>
        </is>
      </c>
      <c r="L4" s="4" t="inlineStr">
        <is>
          <t>Depth: Governs the HACCP program across the plant — leads the HACCP team, owns validation of critical limits, the verification and reassessment schedule, and the record-review discipline — and drives systemic corrective action from deviation trends.
Evidenced by: Catches a hazard the current plan misses before it reaches product.
Scope: a department across shifts.</t>
        </is>
      </c>
      <c r="M4" s="4" t="inlineStr">
        <is>
          <t>Depth: Advances HACCP practice beyond the plant — shapes how hazard analysis and CCP determination are done — and is a recognized authority whose plans and methods others adopt.
Evidenced by: Is accountable for the plant's HACCP validity at audit.
Scope: the whole plant.</t>
        </is>
      </c>
    </row>
    <row r="5">
      <c r="A5" s="4" t="inlineStr">
        <is>
          <t>Food Safety &amp; Regulatory Compliance</t>
        </is>
      </c>
      <c r="B5" s="4" t="inlineStr">
        <is>
          <t>Food Safety Systems</t>
        </is>
      </c>
      <c r="C5" s="4" t="inlineStr">
        <is>
          <t>Preventive controls &amp; PCQI oversight</t>
        </is>
      </c>
      <c r="D5" s="6" t="inlineStr">
        <is>
          <t>FBM-04</t>
        </is>
      </c>
      <c r="E5" s="4" t="inlineStr">
        <is>
          <t>Owning the food-safety plan's preventive controls and the PCQI-level validation, verification, and reanalysis it requires.</t>
        </is>
      </c>
      <c r="F5" s="4" t="inlineStr">
        <is>
          <t>U.S. FDA, Hazard Analysis and Risk-Based Preventive Controls for Human Food, 21 CFR Part 117 Subpart C — preventive controls and a qualified individual own the food-safety plan above HACCP</t>
        </is>
      </c>
      <c r="G5" s="4" t="inlineStr">
        <is>
          <t>Depth: Under direction, carries out an assigned preventive-control monitoring or verification task (a records review, a sanitation verification), records it, and reports the finding to the qualified individual.
Evidenced by: Follows a preventive-control monitoring procedure as written.
Scope: one machine / task under direction.</t>
        </is>
      </c>
      <c r="H5" s="4" t="inlineStr">
        <is>
          <t>Depth: Independently performs the monitoring and verification activities the food-safety plan assigns for a shift or area, completes the records, and recognizes when a preventive control is out of control.
Evidenced by: Reports a preventive-control lapse before it recurs.
Scope: a process area across a shift.</t>
        </is>
      </c>
      <c r="I5" s="4" t="inlineStr">
        <is>
          <t>Depth: Owns execution of the preventive controls for an area — verifies monitoring and corrective actions are done and documented, runs the routine verification activities, and coaches others on what each preventive control is protecting against.
Evidenced by: Decides correctly whether a preventive control held.
Scope: multiple process areas.</t>
        </is>
      </c>
      <c r="J5" s="4" t="inlineStr">
        <is>
          <t>Depth: Serves as a preventive-controls qualified individual for a process — writes and owns the food-safety plan, validates the preventive controls, and defines the verification and corrective-action procedures others follow.
Evidenced by: Writes and validates the line's preventive-control monitoring procedure as its PCQI.
Scope: a line / process end to end (IC terminal).</t>
        </is>
      </c>
      <c r="K5" s="4" t="inlineStr">
        <is>
          <t>Depth: Serves as a preventive-controls qualified individual for a process — writes and owns the food-safety plan, validates the preventive controls, and defines the verification and corrective-action procedures others follow.
Evidenced by: Holds the crew's food-safety plan current for the shift.
Scope: a shift crew.</t>
        </is>
      </c>
      <c r="L5" s="4" t="inlineStr">
        <is>
          <t>Depth: Governs the preventive-controls program plant-wide — owns the food-safety plan suite, the validation and verification schedule, and the supplier and supply-chain controls — and leads reanalysis on the required cadence and after any change or failure.
Evidenced by: Defines a preventive control other areas adopt.
Scope: a department across shifts.</t>
        </is>
      </c>
      <c r="M5" s="4" t="inlineStr">
        <is>
          <t>Depth: Advances preventive-controls practice beyond the plant — shapes how food-safety plans are built, validated, and reanalyzed — and is a recognized qualified authority whose approach others adopt.
Evidenced by: Is the plant's qualified authority on the food-safety plan.
Scope: the whole plant.</t>
        </is>
      </c>
    </row>
    <row r="6">
      <c r="A6" s="4" t="inlineStr">
        <is>
          <t>Food Safety &amp; Regulatory Compliance</t>
        </is>
      </c>
      <c r="B6" s="4" t="inlineStr">
        <is>
          <t>Contamination Control</t>
        </is>
      </c>
      <c r="C6" s="4" t="inlineStr">
        <is>
          <t>Environmental monitoring &amp; pathogen control</t>
        </is>
      </c>
      <c r="D6" s="6" t="inlineStr">
        <is>
          <t>FBM-05</t>
        </is>
      </c>
      <c r="E6" s="4" t="inlineStr">
        <is>
          <t>Running an environmental monitoring program with hygienic zoning to find and control Listeria and other pathogens before they reach product.</t>
        </is>
      </c>
      <c r="F6" s="4" t="inlineStr">
        <is>
          <t>U.S. FDA, Draft Guidance for Industry: Control of Listeria monocytogenes in Ready-To-Eat Foods (2017) — environmental monitoring finds and eliminates pathogens before they reach product</t>
        </is>
      </c>
      <c r="G6" s="4" t="inlineStr">
        <is>
          <t>Depth: Under direction, collects environmental swabs at the assigned sites and zones using correct technique, labels and handles samples to preserve integrity, and records the sampling.
Evidenced by: Swabs a Zone 1 site correctly on the sampling map.
Scope: one machine / task under direction.</t>
        </is>
      </c>
      <c r="H6" s="4" t="inlineStr">
        <is>
          <t>Depth: Independently executes the environmental sampling plan for an area across a shift — samples the right zones and sites, maintains zone separation and aseptic technique, and flags a presumptive positive up the chain.
Evidenced by: Executes the presumptive-positive response steps unprompted.
Scope: a process area across a shift.</t>
        </is>
      </c>
      <c r="I6" s="4" t="inlineStr">
        <is>
          <t>Depth: Owns environmental monitoring for an area — interprets results and trends, drives the vectoring and seek-and-destroy response and intensified sampling on a positive, and coaches operators on hygienic zoning and traffic control.
Evidenced by: Traces a recurring positive to its harborage site.
Scope: multiple process areas.</t>
        </is>
      </c>
      <c r="J6" s="4" t="inlineStr">
        <is>
          <t>Depth: Designs the environmental monitoring program for a process — sets the sites, zones, frequencies, and target organisms, defines the corrective-sanitation and investigation procedure others follow, and leads root-cause on a persistent finding.
Evidenced by: Designs the line's environmental-monitoring program: sites, zones, frequencies.
Scope: a line / process end to end (IC terminal).</t>
        </is>
      </c>
      <c r="K6" s="4" t="inlineStr">
        <is>
          <t>Depth: Designs the environmental monitoring program for a process — sets the sites, zones, frequencies, and target organisms, defines the corrective-sanitation and investigation procedure others follow, and leads root-cause on a persistent finding.
Evidenced by: Closes out the crew's positive findings to negative.
Scope: a shift crew.</t>
        </is>
      </c>
      <c r="L6" s="4" t="inlineStr">
        <is>
          <t>Depth: Governs environmental pathogen control plant-wide — owns the zoning scheme, the program design and its statistical basis, and the escalation and hold criteria — and drives harborage elimination from trend data.
Evidenced by: Redesigns zoning to eliminate a recurring pathogen niche.
Scope: a department across shifts.</t>
        </is>
      </c>
      <c r="M6" s="4" t="inlineStr">
        <is>
          <t>Depth: Advances environmental-pathogen-control practice beyond the plant — shapes how zoning, monitoring, and seek-and-destroy are done — and is a recognized authority whose program design others adopt.
Evidenced by: Is accountable for the plant's Listeria-control posture.
Scope: the whole plant.</t>
        </is>
      </c>
    </row>
    <row r="7">
      <c r="A7" s="4" t="inlineStr">
        <is>
          <t>Food Safety &amp; Regulatory Compliance</t>
        </is>
      </c>
      <c r="B7" s="4" t="inlineStr">
        <is>
          <t>Contamination Control</t>
        </is>
      </c>
      <c r="C7" s="4" t="inlineStr">
        <is>
          <t>Allergen control &amp; changeover</t>
        </is>
      </c>
      <c r="D7" s="6" t="inlineStr">
        <is>
          <t>FBM-06</t>
        </is>
      </c>
      <c r="E7" s="4" t="inlineStr">
        <is>
          <t>Preventing allergen cross-contact through segregation, validated changeover cleaning, and labeling control.</t>
        </is>
      </c>
      <c r="F7" s="4" t="inlineStr">
        <is>
          <t>Food Allergen Labeling and Consumer Protection Act of 2004 (Public Law 108-282) — undeclared allergens are a leading recall cause, so segregation and changeover must be controlled</t>
        </is>
      </c>
      <c r="G7" s="4" t="inlineStr">
        <is>
          <t>Depth: Under direction, follows the allergen-changeover checklist, performs the segregation and cleaning steps, verifies the correct label and packaging are staged for the product, and records the changeover.
Evidenced by: Confirms the correct label is loaded for the product.
Scope: one machine / task under direction.</t>
        </is>
      </c>
      <c r="H7" s="4" t="inlineStr">
        <is>
          <t>Depth: Independently executes allergen changeovers across a shift — sequences production correctly, performs and confirms the changeover cleaning, checks labels against the product, and recognizes a cross-contact or mislabel risk.
Evidenced by: Completes a validated allergen changeover across the shift alone.
Scope: a process area across a shift.</t>
        </is>
      </c>
      <c r="I7" s="4" t="inlineStr">
        <is>
          <t>Depth: Owns allergen control for a line or area — verifies changeover effectiveness with the required visual or analytical checks, investigates a suspected cross-contact, and coaches operators on segregation, sequencing, and label control.
Evidenced by: Resequences a run to avoid an allergen conflict.
Scope: multiple process areas.</t>
        </is>
      </c>
      <c r="J7" s="4" t="inlineStr">
        <is>
          <t>Depth: Sets the allergen-control standard for a process — defines the segregation, changeover, and validation procedures others follow, validates changeover cleaning, and owns label and packaging control for that area.
Evidenced by: Sets and validates the line's allergen changeover-cleaning procedure.
Scope: a line / process end to end (IC terminal).</t>
        </is>
      </c>
      <c r="K7" s="4" t="inlineStr">
        <is>
          <t>Depth: Sets the allergen-control standard for a process — defines the segregation, changeover, and validation procedures others follow, validates changeover cleaning, and owns label and packaging control for that area.
Evidenced by: Verifies every crew changeover against the allergen matrix.
Scope: a shift crew.</t>
        </is>
      </c>
      <c r="L7" s="4" t="inlineStr">
        <is>
          <t>Depth: Governs the allergen program plant-wide — owns the allergen matrix, production sequencing, the changeover-validation regime, supplier allergen controls, and label-approval discipline — and drives improvement from incidents and near-misses.
Evidenced by: Eliminates a cross-contact risk by redesigning the production sequence.
Scope: a department across shifts.</t>
        </is>
      </c>
      <c r="M7" s="4" t="inlineStr">
        <is>
          <t>Depth: Advances allergen-control practice beyond the plant — shapes how segregation, changeover validation, and labeling control are done — and is a recognized authority whose program others adopt.
Evidenced by: Is accountable for zero undeclared-allergen escapes plant-wide.
Scope: the whole plant.</t>
        </is>
      </c>
    </row>
    <row r="8">
      <c r="A8" s="4" t="inlineStr">
        <is>
          <t>Food Safety &amp; Regulatory Compliance</t>
        </is>
      </c>
      <c r="B8" s="4" t="inlineStr">
        <is>
          <t>Regulatory &amp; Audit Readiness</t>
        </is>
      </c>
      <c r="C8" s="4" t="inlineStr">
        <is>
          <t>PMO &amp; Grade A regulatory recordkeeping</t>
        </is>
      </c>
      <c r="D8" s="6" t="inlineStr">
        <is>
          <t>FBM-07</t>
        </is>
      </c>
      <c r="E8" s="4" t="inlineStr">
        <is>
          <t>Maintaining Grade A permit standing and the PMO records, charts, and inspections that keep the plant legal to ship.</t>
        </is>
      </c>
      <c r="F8" s="4" t="inlineStr">
        <is>
          <t>U.S. FDA / IMS, Grade "A" Pasteurized Milk Ordinance (PMO), 2019 Revision — Grade A shipment depends on complete, defensible regulatory records</t>
        </is>
      </c>
      <c r="G8" s="4" t="inlineStr">
        <is>
          <t>Depth: Under direction, completes and files the ordinance-required permit and inspection records for the task (CIP records, seal logs, self-inspection checklists) legibly and completely, and flags a missing or non-conforming record.
Evidenced by: Fills a PMO record legibly and completely.
Scope: one machine / task under direction.</t>
        </is>
      </c>
      <c r="H8" s="4" t="inlineStr">
        <is>
          <t>Depth: Independently maintains the PMO records for a shift or area — reconciles charts and logs, ensures the required entries are complete and retained, and recognizes a record that would not stand up to inspection.
Evidenced by: Keeps the area's regulatory log current unprompted.
Scope: a process area across a shift.</t>
        </is>
      </c>
      <c r="I8" s="4" t="inlineStr">
        <is>
          <t>Depth: Owns PMO recordkeeping for an area — verifies records against the ordinance requirements, prepares for and walks a routine inspection, resolves record gaps, and coaches others on what the ordinance requires and why.
Evidenced by: Reconciles a record discrepancy before the inspector arrives.
Scope: multiple process areas.</t>
        </is>
      </c>
      <c r="J8" s="4" t="inlineStr">
        <is>
          <t>Depth: Sets the PMO-compliance standard for the plant's records — defines the recordkeeping, charting, and self-inspection procedures others follow — and interprets the ordinance requirements for the floor.
Evidenced by: Sets and interprets the line's Grade A recordkeeping standard for the floor.
Scope: a line / process end to end (IC terminal).</t>
        </is>
      </c>
      <c r="K8" s="4" t="inlineStr">
        <is>
          <t>Depth: Sets the PMO-compliance standard for the plant's records — defines the recordkeeping, charting, and self-inspection procedures others follow — and interprets the ordinance requirements for the floor.
Evidenced by: Holds the crew's Grade A records audit-ready every shift.
Scope: a shift crew.</t>
        </is>
      </c>
      <c r="L8" s="4" t="inlineStr">
        <is>
          <t>Depth: Governs Grade A regulatory standing plant-wide — owns the relationship with the regulatory authority, the permit and rating, and the record and inspection system — and drives corrective action to hold the debit score and shipping status.
Evidenced by: Closes a systemic record gap an NCIMS audit would flag.
Scope: a department across shifts.</t>
        </is>
      </c>
      <c r="M8" s="4" t="inlineStr">
        <is>
          <t>Depth: Advances PMO / Grade A compliance practice beyond the plant — shapes how ordinance compliance and records are maintained — and is a recognized authority in ordinance interpretation and rating whose approach others adopt.
Evidenced by: Is the plant's signatory for Grade A regulatory standing.
Scope: the whole plant.</t>
        </is>
      </c>
    </row>
    <row r="9">
      <c r="A9" s="4" t="inlineStr">
        <is>
          <t>Food Safety &amp; Regulatory Compliance</t>
        </is>
      </c>
      <c r="B9" s="4" t="inlineStr">
        <is>
          <t>Regulatory &amp; Audit Readiness</t>
        </is>
      </c>
      <c r="C9" s="4" t="inlineStr">
        <is>
          <t>GFSI audit &amp; certification readiness</t>
        </is>
      </c>
      <c r="D9" s="6" t="inlineStr">
        <is>
          <t>FBM-08</t>
        </is>
      </c>
      <c r="E9" s="4" t="inlineStr">
        <is>
          <t>Keeping the plant continuously ready for GFSI-scheme (SQF/BRCGS/FSSC 22000) and regulatory audits and closing findings.</t>
        </is>
      </c>
      <c r="F9" s="4" t="inlineStr">
        <is>
          <t>Global Food Safety Initiative, GFSI Benchmarking Requirements, Version 2024 — third-party certification is the market license to sell</t>
        </is>
      </c>
      <c r="G9" s="4" t="inlineStr">
        <is>
          <t>Depth: Under direction, gathers the records and evidence requested for an audit element, keeps assigned documents current and retrievable, and reports a gap to the program owner.
Evidenced by: Presents a clean workstation and its records at audit.
Scope: one machine / task under direction.</t>
        </is>
      </c>
      <c r="H9" s="4" t="inlineStr">
        <is>
          <t>Depth: Independently keeps an area audit-ready — maintains the required documentation and evidence for a shift or area, participates in a walkthrough, and answers auditor questions about own work accurately.
Evidenced by: Fields a standard SQF auditor question about their area.
Scope: a process area across a shift.</t>
        </is>
      </c>
      <c r="I9" s="4" t="inlineStr">
        <is>
          <t>Depth: Owns audit readiness for an area against the certification scheme — self-assesses against the standard, prepares the area and its people for audit, closes routine findings with documented corrective action, and coaches on the requirements.
Evidenced by: Handles a non-conformance question others defer.
Scope: multiple process areas.</t>
        </is>
      </c>
      <c r="J9" s="4" t="inlineStr">
        <is>
          <t>Depth: Sets the audit-readiness standard for a process or site element — interprets the GFSI-scheme requirements into procedures others follow, leads the internal-audit and mock-audit routine, and owns root-cause and closure of findings.
Evidenced by: Sets the line's continuous-readiness standard and leads its mock-audit routine.
Scope: a line / process end to end (IC terminal).</t>
        </is>
      </c>
      <c r="K9" s="4" t="inlineStr">
        <is>
          <t>Depth: Sets the audit-readiness standard for a process or site element — interprets the GFSI-scheme requirements into procedures others follow, leads the internal-audit and mock-audit routine, and owns root-cause and closure of findings.
Evidenced by: Fronts the crew's portion of the certification audit.
Scope: a shift crew.</t>
        </is>
      </c>
      <c r="L9" s="4" t="inlineStr">
        <is>
          <t>Depth: Governs the certification program plant-wide — owns the scheme certification, the management-review and internal-audit system, and hosts the certification-body audit — and drives continuous readiness and systemic closure of findings.
Evidenced by: Drives closure of audit findings into permanent system changes.
Scope: a department across shifts.</t>
        </is>
      </c>
      <c r="M9" s="4" t="inlineStr">
        <is>
          <t>Depth: Advances food-safety-certification practice beyond the plant — shapes how GFSI-scheme readiness and auditing are done — and is a recognized authority, as auditor or trainer, whose approach others adopt.
Evidenced by: Is accountable for the plant keeping its certificate.
Scope: the whole plant.</t>
        </is>
      </c>
    </row>
    <row r="10">
      <c r="A10" s="4" t="inlineStr">
        <is>
          <t>Food Safety &amp; Regulatory Compliance</t>
        </is>
      </c>
      <c r="B10" s="4" t="inlineStr">
        <is>
          <t>Regulatory &amp; Audit Readiness</t>
        </is>
      </c>
      <c r="C10" s="4" t="inlineStr">
        <is>
          <t>GMP &amp; personnel hygiene</t>
        </is>
      </c>
      <c r="D10" s="6" t="inlineStr">
        <is>
          <t>FBM-09</t>
        </is>
      </c>
      <c r="E10" s="4" t="inlineStr">
        <is>
          <t>Enforcing current good manufacturing practices and personnel-hygiene behaviors that keep the production environment sanitary.</t>
        </is>
      </c>
      <c r="F10" s="4" t="inlineStr">
        <is>
          <t>U.S. FDA, Current Good Manufacturing Practice, 21 CFR Part 117 Subpart B — personnel hygiene and GMPs are the foundation every other control sits on</t>
        </is>
      </c>
      <c r="G10" s="4" t="inlineStr">
        <is>
          <t>Depth: Under direction, follows the GMP and personnel-hygiene rules — handwashing, garment and hairnet, jewelry, glove, and traffic rules — and reports own or others' lapses.
Evidenced by: Enters the process area with correct hygiene and gowning.
Scope: one machine / task under direction.</t>
        </is>
      </c>
      <c r="H10" s="4" t="inlineStr">
        <is>
          <t>Depth: Independently practices and models GMPs across a shift, recognizes a hygiene or GMP lapse on the floor as it happens, corrects it, and completes any required hygiene checks and records.
Evidenced by: Reminds a peer of a GMP rule without being asked.
Scope: a process area across a shift.</t>
        </is>
      </c>
      <c r="I10" s="4" t="inlineStr">
        <is>
          <t>Depth: Owns GMP conformance for an area — conducts GMP checks, corrects and coaches on hygiene behaviors, investigates recurring lapses, and holds visitors and contractors to the standard.
Evidenced by: Rules on an ambiguous hygiene situation correctly.
Scope: multiple process areas.</t>
        </is>
      </c>
      <c r="J10" s="4" t="inlineStr">
        <is>
          <t>Depth: Sets the GMP and hygiene standard for a process — defines the practices, checks, and training others follow — and leads the GMP self-inspection routine for the area.
Evidenced by: Sets the line's hygiene standard and leads its GMP self-inspection.
Scope: a line / process end to end (IC terminal).</t>
        </is>
      </c>
      <c r="K10" s="4" t="inlineStr">
        <is>
          <t>Depth: Sets the GMP and hygiene standard for a process — defines the practices, checks, and training others follow — and leads the GMP self-inspection routine for the area.
Evidenced by: Holds the crew to the GMP standard visibly.
Scope: a shift crew.</t>
        </is>
      </c>
      <c r="L10" s="4" t="inlineStr">
        <is>
          <t>Depth: Governs the GMP and personnel-hygiene program plant-wide — owns the standards, training, and audit of GMP conformance — and drives a hygiene culture from inspection and incident trends.
Evidenced by: Closes a recurring hygiene gap through a system change.
Scope: a department across shifts.</t>
        </is>
      </c>
      <c r="M10" s="4" t="inlineStr">
        <is>
          <t>Depth: Advances GMP and hygiene practice beyond the plant — shapes how good manufacturing practice and hygiene culture are built and enforced — and is a recognized authority whose approach others adopt.
Evidenced by: Is accountable for the plant's GMP foundation at audit.
Scope: the whole plant.</t>
        </is>
      </c>
    </row>
    <row r="11">
      <c r="A11" s="4" t="inlineStr">
        <is>
          <t>Process Operations &amp; Control</t>
        </is>
      </c>
      <c r="B11" s="4" t="inlineStr">
        <is>
          <t>Receiving &amp; Standardization</t>
        </is>
      </c>
      <c r="C11" s="4" t="inlineStr">
        <is>
          <t>Raw milk receiving &amp; grading</t>
        </is>
      </c>
      <c r="D11" s="6" t="inlineStr">
        <is>
          <t>FBM-10</t>
        </is>
      </c>
      <c r="E11" s="4" t="inlineStr">
        <is>
          <t>Screens, samples, grades, and accepts or rejects incoming raw milk against temperature, drug-residue, sensory, and load-integrity criteria so only conforming raw material enters the process.</t>
        </is>
      </c>
      <c r="F11" s="4" t="inlineStr">
        <is>
          <t>U.S. FDA / IMS, Grade "A" Pasteurized Milk Ordinance (PMO), 2019 Revision — accepting or rejecting raw milk is the plant's first quality gate</t>
        </is>
      </c>
      <c r="G11" s="4" t="inlineStr">
        <is>
          <t>Depth: Follows the receiving checklist under a lead's direction — takes the load temperature, pulls the required sample, records the tanker seal and hauler paperwork, and flags anything out of range instead of unloading.
Evidenced by: Draws a receiving sample by the correct method.
Scope: one machine / task under direction.</t>
        </is>
      </c>
      <c r="H11" s="4" t="inlineStr">
        <is>
          <t>Depth: Runs receiving independently across a shift — reads temperature, sensory (odor/appearance), and antibiotic-screen results, accepts conforming loads, and rejects or holds off-spec milk against the standing acceptance criteria.
Evidenced by: Rejects an out-of-spec load on the antibiotic or temperature screen alone.
Scope: a process area across a shift.</t>
        </is>
      </c>
      <c r="I11" s="4" t="inlineStr">
        <is>
          <t>Depth: Troubleshoots disputed loads for the bay — resolves ambiguous drug-residue screens with a confirmatory test, judges borderline sensory and temperature calls, traces a rejected load back to source, and coaches new receivers on sampling technique.
Evidenced by: Calls a marginal load correctly on limited evidence.
Scope: multiple process areas.</t>
        </is>
      </c>
      <c r="J11" s="4" t="inlineStr">
        <is>
          <t>Depth: Sets the receiving and grading procedure the bay follows — writes the acceptance criteria, sampling plan, and reject/hold decision rules, and calibrates the drug-residue and temperature testing so grading calls are consistent across every operator and shift.
Evidenced by: Writes the accept/reject criteria and sampling plan the floor uses.
Scope: a line / process end to end (IC terminal).</t>
        </is>
      </c>
      <c r="K11" s="4" t="inlineStr">
        <is>
          <t>Depth: Sets the receiving and grading procedure the bay follows — writes the acceptance criteria, sampling plan, and reject/hold decision rules, and calibrates the drug-residue and temperature testing so grading calls are consistent across every operator and shift.
Evidenced by: Backs the crew's accept/reject calls to suppliers.
Scope: a shift crew.</t>
        </is>
      </c>
      <c r="L11" s="4" t="inlineStr">
        <is>
          <t>Depth: Governs the raw-milk quality program for the department — owns supplier/hauler quality standards and drug-residue monitoring, sets acceptance policy, drives quality feedback to producers, and defends the receiving records in a PMO/Grade A inspection.
Evidenced by: Drives supplier quality up through receiving data.
Scope: a department across shifts.</t>
        </is>
      </c>
      <c r="M11" s="4" t="inlineStr">
        <is>
          <t>Depth: Sets raw-milk acceptance and grading practice beyond the plant — defines grading and residue-screening methods other sites adopt and represents the practice in industry and regulatory forums.
Evidenced by: Sets the plant's incoming-milk acceptance policy.
Scope: the whole plant.</t>
        </is>
      </c>
    </row>
    <row r="12">
      <c r="A12" s="4" t="inlineStr">
        <is>
          <t>Process Operations &amp; Control</t>
        </is>
      </c>
      <c r="B12" s="4" t="inlineStr">
        <is>
          <t>Receiving &amp; Standardization</t>
        </is>
      </c>
      <c r="C12" s="4" t="inlineStr">
        <is>
          <t>Separation &amp; standardization</t>
        </is>
      </c>
      <c r="D12" s="6" t="inlineStr">
        <is>
          <t>FBM-11</t>
        </is>
      </c>
      <c r="E12" s="4" t="inlineStr">
        <is>
          <t>Operates separators and standardizes fat and solids to target through separation and blending control so every stream meets its compositional specification.</t>
        </is>
      </c>
      <c r="F12" s="4" t="inlineStr">
        <is>
          <t>Bylund, Dairy Processing Handbook, 3rd ed. rev. 1 (Tetra Pak Processing Systems, 2015) — separation and standardization set the fat and solids the product must legally hit</t>
        </is>
      </c>
      <c r="G12" s="4" t="inlineStr">
        <is>
          <t>Depth: Starts, feeds, and shuts down the separator on the checklist under direction; records cream and skim readings and the standardization target, and calls for help when a reading drifts off target.
Evidenced by: Runs the separator to a given cream/skim setpoint.
Scope: one machine / task under direction.</t>
        </is>
      </c>
      <c r="H12" s="4" t="inlineStr">
        <is>
          <t>Depth: Runs separation and standardization independently across a shift — sets and holds the fat/solids target by adjusting separation and blend ratios, and verifies the finished stream to spec by test.
Evidenced by: Hits the standardization target across the shift alone.
Scope: a process area across a shift.</t>
        </is>
      </c>
      <c r="I12" s="4" t="inlineStr">
        <is>
          <t>Depth: Troubleshoots the separator and standardization loop for the line — corrects poor separation efficiency, off-target fat, and desludge/backpressure problems, reconciles component mass balance, and coaches operators on holding target through feed swings.
Evidenced by: Corrects a persistent fat-target miss others cannot.
Scope: multiple process areas.</t>
        </is>
      </c>
      <c r="J12" s="4" t="inlineStr">
        <is>
          <t>Depth: Sets the standardization procedure and targets the line follows — defines the blend calculations, control limits, and verification testing, and dials in separator setup so fat/solids and yield hold consistently across products and operators.
Evidenced by: Sets the standardization blend calculations and control limits the line runs to.
Scope: a line / process end to end (IC terminal).</t>
        </is>
      </c>
      <c r="K12" s="4" t="inlineStr">
        <is>
          <t>Depth: Sets the standardization procedure and targets the line follows — defines the blend calculations, control limits, and verification testing, and dials in separator setup so fat/solids and yield hold consistently across products and operators.
Evidenced by: Holds crew standardization within target and cost.
Scope: a shift crew.</t>
        </is>
      </c>
      <c r="L12" s="4" t="inlineStr">
        <is>
          <t>Depth: Governs standardization and component recovery for the department — sets the fat/solids specifications and yield/loss targets, drives improvement in separation efficiency and giveaway, and owns the mass-balance accountability.
Evidenced by: Cuts fat giveaway through a tightened method.
Scope: a department across shifts.</t>
        </is>
      </c>
      <c r="M12" s="4" t="inlineStr">
        <is>
          <t>Depth: Defines separation and standardization practice beyond the plant — sets component-control and yield methods other sites adopt and advances the practice in industry forums.
Evidenced by: Is accountable for legal composition plant-wide.
Scope: the whole plant.</t>
        </is>
      </c>
    </row>
    <row r="13">
      <c r="A13" s="4" t="inlineStr">
        <is>
          <t>Process Operations &amp; Control</t>
        </is>
      </c>
      <c r="B13" s="4" t="inlineStr">
        <is>
          <t>Thermal Processing &amp; Homogenization</t>
        </is>
      </c>
      <c r="C13" s="4" t="inlineStr">
        <is>
          <t>Thermal processing operation (HTST/HHST/UHT)</t>
        </is>
      </c>
      <c r="D13" s="6" t="inlineStr">
        <is>
          <t>FBM-12</t>
        </is>
      </c>
      <c r="E13" s="4" t="inlineStr">
        <is>
          <t>Runs continuous thermal-processing systems (HTST/HHST/UHT) through startup, run, and changeover to hit product quality and legal treatment targets at production rate.</t>
        </is>
      </c>
      <c r="F13" s="4" t="inlineStr">
        <is>
          <t>Bylund, Dairy Processing Handbook, 3rd ed. rev. 1 (Tetra Pak Processing Systems, 2015) — continuous heat-treatment is the core dairy processing operation</t>
        </is>
      </c>
      <c r="G13" s="4" t="inlineStr">
        <is>
          <t>Depth: Follows the startup, run, and shutdown checklist on the thermal system under direction — verifies the unit reaches temperature, watches the recording chart and flow, and reports a temperature or flow deviation to the lead rather than continuing to run.
Evidenced by: Performs a water-to-product startup under a lead.
Scope: one machine / task under direction.</t>
        </is>
      </c>
      <c r="H13" s="4" t="inlineStr">
        <is>
          <t>Depth: Operates the HTST/HHST/UHT system independently across a shift — brings it through water-to-product startup and product-to-water shutdown, holds temperature and flow at target through the run, and manages regeneration and normal changeovers to spec.
Evidenced by: Holds pressure balance correct through a full run alone.
Scope: a process area across a shift.</t>
        </is>
      </c>
      <c r="I13" s="4" t="inlineStr">
        <is>
          <t>Depth: Troubleshoots the thermal system for the line — clears fouling and burn-on and regeneration and pressure-balance faults — recovers the system to production after an upset or stop, and coaches operators through startup and aseptic/sterile handling.
Evidenced by: Extends run length by managing fouling others could not.
Scope: multiple process areas.</t>
        </is>
      </c>
      <c r="J13" s="4" t="inlineStr">
        <is>
          <t>Depth: Sets the operating procedure the line runs to — defines the startup/shutdown sequence, run parameters, changeover and run-length limits, and (for UHT/aseptic) the sterility-hold and integrity requirements — so the system runs to product-quality spec at production rate.
Evidenced by: Sets the startup, run, and CIP-out standard for the system.
Scope: a line / process end to end (IC terminal).</t>
        </is>
      </c>
      <c r="K13" s="4" t="inlineStr">
        <is>
          <t>Depth: Sets the operating procedure the line runs to — defines the startup/shutdown sequence, run parameters, changeover and run-length limits, and (for UHT/aseptic) the sterility-hold and integrity requirements — so the system runs to product-quality spec at production rate.
Evidenced by: Keeps the crew's heat-treatment running legal and stable.
Scope: a shift crew.</t>
        </is>
      </c>
      <c r="L13" s="4" t="inlineStr">
        <is>
          <t>Depth: Governs continuous thermal processing for the department — owns the operating standards and run-length/fouling economics across products and systems, and drives throughput and first-pass-yield improvement across the thermal lines.
Evidenced by: Redesigns a run strategy to raise uptime.
Scope: a department across shifts.</t>
        </is>
      </c>
      <c r="M13" s="4" t="inlineStr">
        <is>
          <t>Depth: Defines continuous thermal-processing practice beyond the plant — sets operating and aseptic-integrity methods other sites adopt and advances them in industry and technical forums.
Evidenced by: Sets how the plant operates its heat-treatment fleet.
Scope: the whole plant.</t>
        </is>
      </c>
    </row>
    <row r="14">
      <c r="A14" s="4" t="inlineStr">
        <is>
          <t>Process Operations &amp; Control</t>
        </is>
      </c>
      <c r="B14" s="4" t="inlineStr">
        <is>
          <t>Thermal Processing &amp; Homogenization</t>
        </is>
      </c>
      <c r="C14" s="4" t="inlineStr">
        <is>
          <t>Homogenization &amp; product finishing</t>
        </is>
      </c>
      <c r="D14" s="6" t="inlineStr">
        <is>
          <t>FBM-13</t>
        </is>
      </c>
      <c r="E14" s="4" t="inlineStr">
        <is>
          <t>Operates homogenizers and finishing steps to achieve product structure, texture, and stability targets.</t>
        </is>
      </c>
      <c r="F14" s="4" t="inlineStr">
        <is>
          <t>Bylund, Dairy Processing Handbook, 3rd ed. rev. 1 (Tetra Pak Processing Systems, 2015) — homogenization and fat standardization define product stability and legal composition</t>
        </is>
      </c>
      <c r="G14" s="4" t="inlineStr">
        <is>
          <t>Depth: Runs the homogenizer on the checklist under direction — sets the stage pressures to the sheet, monitors pressure and temperature, and reports abnormal pressure or noise instead of continuing.
Evidenced by: Sets homogenizer pressures to the recipe.
Scope: one machine / task under direction.</t>
        </is>
      </c>
      <c r="H14" s="4" t="inlineStr">
        <is>
          <t>Depth: Operates homogenization and finishing independently across a shift — sets and holds stage pressures for the product, verifies the finished result (fat dispersion/particle target, texture, stability) by the standard check, and manages normal product changes.
Evidenced by: Confirms homogenization efficiency on the shift's product alone.
Scope: a process area across a shift.</t>
        </is>
      </c>
      <c r="I14" s="4" t="inlineStr">
        <is>
          <t>Depth: Troubleshoots the homogenizer and finishing steps for the line — diagnoses pressure loss, valve/seat wear, cavitation, and off-target texture or separation, restores product structure to spec, and coaches operators on holding the finish through variation.
Evidenced by: Diagnoses a poor-finish batch to the homogenization stage.
Scope: multiple process areas.</t>
        </is>
      </c>
      <c r="J14" s="4" t="inlineStr">
        <is>
          <t>Depth: Sets the homogenization and finishing procedure the line follows — defines the pressure/temperature setpoints and verification tests per product that deliver the structure, texture, and stability targets, and standardizes the setup across operators and shifts.
Evidenced by: Sets the pressure/temperature setpoints and verification tests the line runs to.
Scope: a line / process end to end (IC terminal).</t>
        </is>
      </c>
      <c r="K14" s="4" t="inlineStr">
        <is>
          <t>Depth: Sets the homogenization and finishing procedure the line follows — defines the pressure/temperature setpoints and verification tests per product that deliver the structure, texture, and stability targets, and standardizes the setup across operators and shifts.
Evidenced by: Holds product finish consistent across the crew.
Scope: a shift crew.</t>
        </is>
      </c>
      <c r="L14" s="4" t="inlineStr">
        <is>
          <t>Depth: Governs product structure and finishing for the department — owns the finishing specifications and stability targets, drives improvement in consistency, energy, and rework, and qualifies changes to homogenization for new or reformulated products.
Evidenced by: Improves stability through a revised homogenization standard.
Scope: a department across shifts.</t>
        </is>
      </c>
      <c r="M14" s="4" t="inlineStr">
        <is>
          <t>Depth: Defines homogenization and product-finishing practice beyond the plant — sets structure/stability methods other sites adopt and advances the practice in industry forums.
Evidenced by: Sets the plant's homogenization and composition standard.
Scope: the whole plant.</t>
        </is>
      </c>
    </row>
    <row r="15">
      <c r="A15" s="4" t="inlineStr">
        <is>
          <t>Process Operations &amp; Control</t>
        </is>
      </c>
      <c r="B15" s="4" t="inlineStr">
        <is>
          <t>Filling, Packaging &amp; Cold Chain</t>
        </is>
      </c>
      <c r="C15" s="4" t="inlineStr">
        <is>
          <t>Filling &amp; packaging operation</t>
        </is>
      </c>
      <c r="D15" s="6" t="inlineStr">
        <is>
          <t>FBM-14</t>
        </is>
      </c>
      <c r="E15" s="4" t="inlineStr">
        <is>
          <t>Runs hygienic filling and packaging lines to seal-integrity, fill-weight, date-code, and sanitation targets.</t>
        </is>
      </c>
      <c r="F15" s="4" t="inlineStr">
        <is>
          <t>Bylund, Dairy Processing Handbook, 3rd ed. rev. 1 (Tetra Pak Processing Systems, 2015) — filling is the last point contamination or fill-weight error enters product</t>
        </is>
      </c>
      <c r="G15" s="4" t="inlineStr">
        <is>
          <t>Depth: Runs the filling/packaging line on the checklist under direction — loads material, monitors fill and date-code, pulls the routine seal and fill-weight checks, and stops the line and calls the lead on a seal, code, or fill fault.
Evidenced by: Checks fill weight and seal against target.
Scope: one machine / task under direction.</t>
        </is>
      </c>
      <c r="H15" s="4" t="inlineStr">
        <is>
          <t>Depth: Operates the filling and packaging line independently across a shift — holds fill weight, seal integrity, and date/lot coding to spec, performs and records the in-process seal and weight checks, and manages normal size/format changeovers and the associated sanitation.
Evidenced by: Holds fill weight and seal integrity across the shift alone.
Scope: a process area across a shift.</t>
        </is>
      </c>
      <c r="I15" s="4" t="inlineStr">
        <is>
          <t>Depth: Troubleshoots the filling and packaging line for the area — corrects seal-integrity, fill-weight-variation, coding, and hygienic-fault problems, recovers the line after a jam or contamination event, and coaches operators through changeover and check discipline.
Evidenced by: Recovers a filler from a recurring seal defect others could not.
Scope: multiple process areas.</t>
        </is>
      </c>
      <c r="J15" s="4" t="inlineStr">
        <is>
          <t>Depth: Sets the filling and packaging procedure the line follows — defines the fill-weight and seal-integrity control limits, check frequencies, changeover/sanitation steps, and date-code verification others run to, and dials in the line so quality holds across formats and operators.
Evidenced by: Sets the fill-accuracy and seal-integrity control limits for the line.
Scope: a line / process end to end (IC terminal).</t>
        </is>
      </c>
      <c r="K15" s="4" t="inlineStr">
        <is>
          <t>Depth: Sets the filling and packaging procedure the line follows — defines the fill-weight and seal-integrity control limits, check frequencies, changeover/sanitation steps, and date-code verification others run to, and dials in the line so quality holds across formats and operators.
Evidenced by: Holds crew fill giveaway and seal quality in target.
Scope: a shift crew.</t>
        </is>
      </c>
      <c r="L15" s="4" t="inlineStr">
        <is>
          <t>Depth: Governs filling and packaging for the department — owns seal-integrity, fill-weight (net-content compliance), coding accuracy, and line-sanitation standards, drives OEE and giveaway/rejection improvement, and defends packaging records in audits.
Evidenced by: Cuts giveaway and rejects through a filling standard.
Scope: a department across shifts.</t>
        </is>
      </c>
      <c r="M15" s="4" t="inlineStr">
        <is>
          <t>Depth: Defines hygienic filling and packaging practice beyond the plant — sets seal-integrity and net-content methods other sites adopt and advances the practice in industry forums.
Evidenced by: Sets the plant's hygienic-filling standard.
Scope: the whole plant.</t>
        </is>
      </c>
    </row>
    <row r="16">
      <c r="A16" s="4" t="inlineStr">
        <is>
          <t>Process Operations &amp; Control</t>
        </is>
      </c>
      <c r="B16" s="4" t="inlineStr">
        <is>
          <t>Filling, Packaging &amp; Cold Chain</t>
        </is>
      </c>
      <c r="C16" s="4" t="inlineStr">
        <is>
          <t>Cold chain &amp; finished-goods integrity</t>
        </is>
      </c>
      <c r="D16" s="6" t="inlineStr">
        <is>
          <t>FBM-15</t>
        </is>
      </c>
      <c r="E16" s="4" t="inlineStr">
        <is>
          <t>Protects finished-product temperature and integrity from fill through cold storage and dispatch so product ships within its cold-chain and shelf-life requirements.</t>
        </is>
      </c>
      <c r="F16" s="4" t="inlineStr">
        <is>
          <t>U.S. FDA / IMS, Grade "A" Pasteurized Milk Ordinance (PMO), 2019 Revision — cold-chain integrity protects safety and shelf life after processing</t>
        </is>
      </c>
      <c r="G16" s="4" t="inlineStr">
        <is>
          <t>Depth: Follows the cold-chain checklist under direction — records cooler and product temperatures, checks that finished goods move promptly into refrigerated storage, and reports an out-of-range temperature or damaged pallet instead of shipping it.
Evidenced by: Logs a finished-product temperature against the PMO limit.
Scope: one machine / task under direction.</t>
        </is>
      </c>
      <c r="H16" s="4" t="inlineStr">
        <is>
          <t>Depth: Manages finished-goods cold chain independently across a shift — monitors storage and load-out temperatures, enforces stock rotation and hold/release, verifies trailer pre-cool and load integrity at dispatch, and holds product that breaks temperature.
Evidenced by: Acts on a cold-chain excursion before product is at risk.
Scope: a process area across a shift.</t>
        </is>
      </c>
      <c r="I16" s="4" t="inlineStr">
        <is>
          <t>Depth: Troubleshoots cold-chain and finished-goods integrity for the area — resolves temperature-excursion, rotation, and load-integrity problems, dispositions affected product, traces the cause of a cold-chain break, and coaches on load-out and hold/release discipline.
Evidenced by: Judges product disposition on a temperature excursion correctly.
Scope: multiple process areas.</t>
        </is>
      </c>
      <c r="J16" s="4" t="inlineStr">
        <is>
          <t>Depth: Sets the cold-chain and finished-goods procedure the area follows — defines the temperature limits, monitoring points, rotation/FEFO rules, and excursion-disposition criteria from fill through dispatch that others run to.
Evidenced by: Sets the finished-goods temperature limits and rotation/FEFO rules the line holds.
Scope: a line / process end to end (IC terminal).</t>
        </is>
      </c>
      <c r="K16" s="4" t="inlineStr">
        <is>
          <t>Depth: Sets the cold-chain and finished-goods procedure the area follows — defines the temperature limits, monitoring points, rotation/FEFO rules, and excursion-disposition criteria from fill through dispatch that others run to.
Evidenced by: Keeps the crew's finished goods within temperature to dispatch.
Scope: a shift crew.</t>
        </is>
      </c>
      <c r="L16" s="4" t="inlineStr">
        <is>
          <t>Depth: Governs finished-goods cold-chain integrity for the department — owns the temperature-control and traceability standards from production to shipping, drives shelf-life and shrink/excursion improvement, and defends cold-chain records in audits and customer/regulatory review.
Evidenced by: Closes a recurring excursion point in the flow.
Scope: a department across shifts.</t>
        </is>
      </c>
      <c r="M16" s="4" t="inlineStr">
        <is>
          <t>Depth: Defines finished-goods cold-chain practice beyond the plant — sets temperature-integrity and traceability methods other sites adopt and advances the practice in industry forums.
Evidenced by: Is accountable for finished-goods safety plant-wide.
Scope: the whole plant.</t>
        </is>
      </c>
    </row>
    <row r="17">
      <c r="A17" s="4" t="inlineStr">
        <is>
          <t>Sanitation &amp; Hygiene</t>
        </is>
      </c>
      <c r="B17" s="4" t="inlineStr">
        <is>
          <t>Clean-in-Place</t>
        </is>
      </c>
      <c r="C17" s="4" t="inlineStr">
        <is>
          <t>CIP cycle execution &amp; verification</t>
        </is>
      </c>
      <c r="D17" s="6" t="inlineStr">
        <is>
          <t>FBM-16</t>
        </is>
      </c>
      <c r="E17" s="4" t="inlineStr">
        <is>
          <t>Executes and verifies clean-in-place cycles against time, temperature, concentration, and flow so process equipment is provably clean before it holds product again.</t>
        </is>
      </c>
      <c r="F17" s="4" t="inlineStr">
        <is>
          <t>3-A Sanitary Standards, Inc., 3-A Sanitary Standards and 3-A Accepted Practices — verified CIP is how closed equipment is proven clean</t>
        </is>
      </c>
      <c r="G17" s="4" t="inlineStr">
        <is>
          <t>Depth: Runs the CIP cycle on the checklist under direction — selects the correct circuit/recipe, confirms the cycle steps run, records the time/temperature/concentration readings, and reports a short cycle or missed parameter to the lead.
Evidenced by: Confirms a CIP circuit is connected to the right target.
Scope: one machine / task under direction.</t>
        </is>
      </c>
      <c r="H17" s="4" t="inlineStr">
        <is>
          <t>Depth: Executes and verifies CIP independently across a shift — runs the right circuit, confirms wash time, temperature, chemical concentration, and return flow/coverage met the recipe, and re-cleans or holds equipment when a parameter fails.
Evidenced by: Verifies a completed CIP against its parameters alone.
Scope: a process area across a shift.</t>
        </is>
      </c>
      <c r="I17" s="4" t="inlineStr">
        <is>
          <t>Depth: Troubleshoots CIP for the area — diagnoses low flow/coverage, temperature or concentration shortfalls, air pockets, and burst-sequence faults, proves cleaning by the verification standard (ATP/visual/rinse), recovers a failed circuit, and coaches operators on CIP verification.
Evidenced by: Traces a CIP failure to a spray path others missed.
Scope: multiple process areas.</t>
        </is>
      </c>
      <c r="J17" s="4" t="inlineStr">
        <is>
          <t>Depth: Sets the CIP procedure and acceptance criteria the area follows — defines the circuit recipes, the cycle time, temperature, and flow/coverage parameters, and the verification method and limits that prove each circuit clean; takes the chemical-concentration target from the cleaning-chemistry standard (owned by titration control) rather than setting it, and validates that the cycle actually removes the soil.
Evidenced by: Sets the CIP cycle parameters and verification method the line accepts.
Scope: a line / process end to end (IC terminal).</t>
        </is>
      </c>
      <c r="K17" s="4" t="inlineStr">
        <is>
          <t>Depth: Sets the CIP procedure and acceptance criteria the area follows — defines the circuit recipes, the cycle time, temperature, and flow/coverage parameters, and the verification method and limits that prove each circuit clean; takes the chemical-concentration target from the cleaning-chemistry standard (owned by titration control) rather than setting it, and validates that the cycle actually removes the soil.
Evidenced by: Signs off the crew's CIP as verified clean.
Scope: a shift crew.</t>
        </is>
      </c>
      <c r="L17" s="4" t="inlineStr">
        <is>
          <t>Depth: Governs the CIP program for the department — owns the cleaning validation and verification standards across circuits, drives improvement in cleaning reliability, water/chemical/energy use, and cycle time, and defends CIP validation and records in audits.
Evidenced by: Re-engineers a circuit to close a cleaning-failure pattern.
Scope: a department across shifts.</t>
        </is>
      </c>
      <c r="M17" s="4" t="inlineStr">
        <is>
          <t>Depth: Defines CIP execution and verification practice beyond the plant — sets cleaning-validation and verification methods other sites adopt and advances the practice in industry forums.
Evidenced by: Sets how the plant proves closed equipment clean.
Scope: the whole plant.</t>
        </is>
      </c>
    </row>
    <row r="18">
      <c r="A18" s="4" t="inlineStr">
        <is>
          <t>Sanitation &amp; Hygiene</t>
        </is>
      </c>
      <c r="B18" s="4" t="inlineStr">
        <is>
          <t>Clean-in-Place</t>
        </is>
      </c>
      <c r="C18" s="4" t="inlineStr">
        <is>
          <t>Cleaning chemistry &amp; titration control</t>
        </is>
      </c>
      <c r="D18" s="6" t="inlineStr">
        <is>
          <t>FBM-17</t>
        </is>
      </c>
      <c r="E18" s="4" t="inlineStr">
        <is>
          <t>Controls cleaning-chemical concentration by titration and matches chemistry, temperature, and contact time to the soil so cleaning is effective and repeatable.</t>
        </is>
      </c>
      <c r="F18" s="4" t="inlineStr">
        <is>
          <t>3-A Sanitary Standards, Inc., 3-A Sanitary Standards and 3-A Accepted Practices — correct chemistry and titration make CIP effective and safe</t>
        </is>
      </c>
      <c r="G18" s="4" t="inlineStr">
        <is>
          <t>Depth: Performs the titration on the checklist under direction — draws the sample, runs the titration to endpoint, records the concentration, and reports an out-of-range result rather than releasing the solution.
Evidenced by: Runs a titration and reads the concentration correctly.
Scope: one machine / task under direction.</t>
        </is>
      </c>
      <c r="H18" s="4" t="inlineStr">
        <is>
          <t>Depth: Controls cleaning-chemical concentration independently across a shift — titrates wash and sanitizer solutions, adjusts to the target concentration, and matches chemistry, temperature, and contact time to the standard cleaning task.
Evidenced by: Corrects an out-of-range CIP concentration alone.
Scope: a process area across a shift.</t>
        </is>
      </c>
      <c r="I18" s="4" t="inlineStr">
        <is>
          <t>Depth: Troubleshoots cleaning chemistry for the area — diagnoses why a soil isn't clearing, adjusts chemistry, temperature, and contact time to the soil (protein, mineral, fat, biofilm), corrects drifting titrations and dosing faults, and coaches operators on titration technique.
Evidenced by: Diagnoses a cleaning failure to a chemistry cause others missed.
Scope: multiple process areas.</t>
        </is>
      </c>
      <c r="J18" s="4" t="inlineStr">
        <is>
          <t>Depth: Sets the cleaning-chemistry procedure and concentration limits the area follows — defines the chemical selection, target concentrations, titration methods, and time/temperature parameters matched to each soil that others run to, and qualifies changes to chemistry.
Evidenced by: Sets the concentration and titration limits matched to each soil for the line.
Scope: a line / process end to end (IC terminal).</t>
        </is>
      </c>
      <c r="K18" s="4" t="inlineStr">
        <is>
          <t>Depth: Sets the cleaning-chemistry procedure and concentration limits the area follows — defines the chemical selection, target concentrations, titration methods, and time/temperature parameters matched to each soil that others run to, and qualifies changes to chemistry.
Evidenced by: Holds crew CIP chemistry in range and handled safely.
Scope: a shift crew.</t>
        </is>
      </c>
      <c r="L18" s="4" t="inlineStr">
        <is>
          <t>Depth: Governs cleaning chemistry for the department — owns the chemical program and concentration/titration standards, drives improvement in cleaning effectiveness, chemical cost, and safety, and defends chemical-control and handling records in audits.
Evidenced by: Cuts chemical cost while holding efficacy.
Scope: a department across shifts.</t>
        </is>
      </c>
      <c r="M18" s="4" t="inlineStr">
        <is>
          <t>Depth: Defines cleaning-chemistry and titration-control practice beyond the plant — sets soil-matched chemistry and concentration-verification methods other sites adopt and advances the practice in industry forums.
Evidenced by: Sets the plant's chemical-supplier and chemistry standard.
Scope: the whole plant.</t>
        </is>
      </c>
    </row>
    <row r="19">
      <c r="A19" s="4" t="inlineStr">
        <is>
          <t>Sanitation &amp; Hygiene</t>
        </is>
      </c>
      <c r="B19" s="4" t="inlineStr">
        <is>
          <t>Hygienic Operations</t>
        </is>
      </c>
      <c r="C19" s="4" t="inlineStr">
        <is>
          <t>COP &amp; manual sanitation</t>
        </is>
      </c>
      <c r="D19" s="6" t="inlineStr">
        <is>
          <t>FBM-18</t>
        </is>
      </c>
      <c r="E19" s="4" t="inlineStr">
        <is>
          <t>Cleans parts and open surfaces by clean-out-of-place and manual sanitation to a verified hygienic standard.</t>
        </is>
      </c>
      <c r="F19" s="4" t="inlineStr">
        <is>
          <t>U.S. FDA, Current Good Manufacturing Practice, 21 CFR Part 117 Subpart B — COP and manual cleaning reach what CIP cannot</t>
        </is>
      </c>
      <c r="G19" s="4" t="inlineStr">
        <is>
          <t>Depth: Cleans parts and open surfaces on the checklist under direction — disassembles, runs the COP wash/sanitize steps or manual clean, and reports a part that won't come clean rather than reassembling it.
Evidenced by: Disassembles, washes, and sanitizes a part as instructed.
Scope: one machine / task under direction.</t>
        </is>
      </c>
      <c r="H19" s="4" t="inlineStr">
        <is>
          <t>Depth: Performs COP and manual sanitation independently across a shift — cleans disassembled parts and open equipment to the standard, verifies the result (visual/ATP), and reassembles and sanitizes for use.
Evidenced by: Verifies a manually cleaned surface is hygienic alone.
Scope: a process area across a shift.</t>
        </is>
      </c>
      <c r="I19" s="4" t="inlineStr">
        <is>
          <t>Depth: Troubleshoots manual and COP sanitation for the area — resolves parts that won't clean, COP-tank time/temperature/concentration problems, and reassembly or re-contamination issues, proves the hygienic result, and coaches operators on disassembly and sanitation technique.
Evidenced by: Cleans a fouled part to spec that defeated others.
Scope: multiple process areas.</t>
        </is>
      </c>
      <c r="J19" s="4" t="inlineStr">
        <is>
          <t>Depth: Sets the COP and manual-sanitation procedure the area follows — defines the disassembly, wash/sanitize steps, contact times, and verification acceptance criteria for parts and open surfaces that others run to.
Evidenced by: Sets the manual-clean procedure and verification acceptance criteria the line accepts.
Scope: a line / process end to end (IC terminal).</t>
        </is>
      </c>
      <c r="K19" s="4" t="inlineStr">
        <is>
          <t>Depth: Sets the COP and manual-sanitation procedure the area follows — defines the disassembly, wash/sanitize steps, contact times, and verification acceptance criteria for parts and open surfaces that others run to.
Evidenced by: Confirms the crew's manual sanitation to a hygienic result.
Scope: a shift crew.</t>
        </is>
      </c>
      <c r="L19" s="4" t="inlineStr">
        <is>
          <t>Depth: Governs the COP and manual-sanitation program for the department — owns the sanitation standards and verification for non-CIP equipment, drives improvement in cleaning reliability and labor, and defends manual-sanitation records in audits.
Evidenced by: Closes a recurring manual-clean miss through a schedule change.
Scope: a department across shifts.</t>
        </is>
      </c>
      <c r="M19" s="4" t="inlineStr">
        <is>
          <t>Depth: Defines COP and manual-sanitation practice beyond the plant — sets manual-cleaning and verification methods other sites adopt and advances the practice in industry forums.
Evidenced by: Sets the plant's non-CIP sanitation standard.
Scope: the whole plant.</t>
        </is>
      </c>
    </row>
    <row r="20">
      <c r="A20" s="4" t="inlineStr">
        <is>
          <t>Sanitation &amp; Hygiene</t>
        </is>
      </c>
      <c r="B20" s="4" t="inlineStr">
        <is>
          <t>Hygienic Operations</t>
        </is>
      </c>
      <c r="C20" s="4" t="inlineStr">
        <is>
          <t>Hygienic design &amp; 3-A conformance</t>
        </is>
      </c>
      <c r="D20" s="6" t="inlineStr">
        <is>
          <t>FBM-19</t>
        </is>
      </c>
      <c r="E20" s="4" t="inlineStr">
        <is>
          <t>Applies hygienic (3-A/EHEDG) design and installation principles so equipment is cleanable, drainable, and does not harbor pathogens.</t>
        </is>
      </c>
      <c r="F20" s="4" t="inlineStr">
        <is>
          <t>3-A Sanitary Standards, Inc., 3-A Sanitary Standards and 3-A Accepted Practices — hygienic design determines whether equipment can be cleaned at all</t>
        </is>
      </c>
      <c r="G20" s="4" t="inlineStr">
        <is>
          <t>Depth: Checks equipment against a hygienic-design checklist under direction — identifies obvious cleanability problems (dead legs, rough welds, non-drainable low points, unsealed threads) and flags them rather than signing off.
Evidenced by: Points out a cleanability concern on equipment.
Scope: one machine / task under direction.</t>
        </is>
      </c>
      <c r="H20" s="4" t="inlineStr">
        <is>
          <t>Depth: Applies hygienic-design principles independently on routine work — installs and reassembles equipment to drain and self-clean, selects food-contact-legal materials and gaskets, and checks fittings and welds against the hygienic standard before returning to service.
Evidenced by: Flags a non-hygienic connection before it causes a failure.
Scope: a process area across a shift.</t>
        </is>
      </c>
      <c r="I20" s="4" t="inlineStr">
        <is>
          <t>Depth: Troubleshoots cleanability and harborage for the area — finds why a spot won't clean or a niche harbors organisms, corrects dead legs, cross-contamination points, and poor drainage, and coaches on hygienic installation and reassembly.
Evidenced by: Traces a chronic cleaning miss to a design defect.
Scope: multiple process areas.</t>
        </is>
      </c>
      <c r="J20" s="4" t="inlineStr">
        <is>
          <t>Depth: Sets the hygienic-design and installation standard the area follows — specifies the 3-A/EHEDG conformance, material, finish, drainage, and cleanability requirements new and modified equipment must meet, and reviews installations against them before start-up.
Evidenced by: Sets the 3-A conformance requirements new and modified equipment must meet.
Scope: a line / process end to end (IC terminal).</t>
        </is>
      </c>
      <c r="K20" s="4" t="inlineStr">
        <is>
          <t>Depth: Sets the hygienic-design and installation standard the area follows — specifies the 3-A/EHEDG conformance, material, finish, drainage, and cleanability requirements new and modified equipment must meet, and reviews installations against them before start-up.
Evidenced by: Blocks a non-hygienic install before it runs.
Scope: a shift crew.</t>
        </is>
      </c>
      <c r="L20" s="4" t="inlineStr">
        <is>
          <t>Depth: Governs hygienic design for the department — owns the equipment-design and acceptance standards, drives out harborage and cleanability defects across the process, and defends hygienic-design conformance in audits and equipment procurement.
Evidenced by: Specifies 3-A and EHEDG requirements into capital projects.
Scope: a department across shifts.</t>
        </is>
      </c>
      <c r="M20" s="4" t="inlineStr">
        <is>
          <t>Depth: Defines hygienic-design practice beyond the plant — sets cleanability and 3-A/EHEDG conformance methods other sites adopt and advances the practice in standards and industry forums.
Evidenced by: Sets what the plant will and will not install.
Scope: the whole plant.</t>
        </is>
      </c>
    </row>
    <row r="21">
      <c r="A21" s="4" t="inlineStr">
        <is>
          <t>Equipment, Utilities &amp; Reliability</t>
        </is>
      </c>
      <c r="B21" s="4" t="inlineStr">
        <is>
          <t>Refrigeration &amp; Steam</t>
        </is>
      </c>
      <c r="C21" s="4" t="inlineStr">
        <is>
          <t>Ammonia / CO2 refrigeration operation</t>
        </is>
      </c>
      <c r="D21" s="6" t="inlineStr">
        <is>
          <t>FBM-20</t>
        </is>
      </c>
      <c r="E21" s="4" t="inlineStr">
        <is>
          <t>Operating industrial ammonia (or CO2) refrigeration safely and efficiently to hold process and storage temperatures within the limits the product and food-safety plan require.</t>
        </is>
      </c>
      <c r="F21" s="4" t="inlineStr">
        <is>
          <t>International Institute of Ammonia Refrigeration, ANSI/IIAR 2: Safe Design of Closed-Circuit Ammonia Refrigeration Systems — ammonia refrigeration is the plant's cold backbone and a life-safety system</t>
        </is>
      </c>
      <c r="G21" s="4" t="inlineStr">
        <is>
          <t>Depth: Reads suction/discharge pressures, temperatures, and oil levels off the machine and logs them on the operator round; starts and stops a compressor and switches defrost under direction, and calls a qualified operator on any alarm or unusual reading.
Evidenced by: Logs suction and discharge readings and flags an anomaly.
Scope: one machine / task under direction.</t>
        </is>
      </c>
      <c r="H21" s="4" t="inlineStr">
        <is>
          <t>Depth: Runs the refrigeration plant across a shift on their own — sequences compressors to load, manages defrost and condenser water, watches suction pressure against the setpoint that protects product temperature, and responds to routine high-discharge, low-suction, and oil-level alarms without escalation.
Evidenced by: Adjusts the system to hold temperature safely alone.
Scope: a process area across a shift.</t>
        </is>
      </c>
      <c r="I21" s="4" t="inlineStr">
        <is>
          <t>Depth: Troubleshoots the system when temperatures drift — diagnoses a fouled condenser, flooded evaporator, non-condensable buildup, or failing compressor from the readings — trims charge, oil, and purge to hold setpoint efficiently, and coaches shift operators through the plant's normal and abnormal operating states.
Evidenced by: Recovers a refrigeration fault others could not, safely.
Scope: multiple process areas.</t>
        </is>
      </c>
      <c r="J21" s="4" t="inlineStr">
        <is>
          <t>Depth: Sets the operating procedures and setpoints others run to — the compressor-sequencing, defrost, purge, and oil-management practice for the plant's areas — tunes the system for energy against a cold-storage and process temperature target, and is the operator called when the plant will not hold temperature.
Evidenced by: Sets the compressor-sequencing, defrost, and purge operating procedure for the system.
Scope: a line / process end to end (IC terminal).</t>
        </is>
      </c>
      <c r="K21" s="4" t="inlineStr">
        <is>
          <t>Depth: Sets the operating procedures and setpoints others run to — the compressor-sequencing, defrost, purge, and oil-management practice for the plant's areas — tunes the system for energy against a cold-storage and process temperature target, and is the operator called when the plant will not hold temperature.
Evidenced by: Holds the crew's refrigeration within safe, efficient limits.
Scope: a shift crew.</t>
        </is>
      </c>
      <c r="L21" s="4" t="inlineStr">
        <is>
          <t>Depth: Governs refrigeration operation across the plant — the operating envelope, operator qualification, and the reliability and efficiency program for the system — and drives capacity, energy, and charge-reduction improvements defensible against the IIAR standard and the plant's process-safety obligations.
Evidenced by: Improves efficiency through an operating-standard change.
Scope: a department across shifts.</t>
        </is>
      </c>
      <c r="M21" s="4" t="inlineStr">
        <is>
          <t>Depth: Sets refrigeration operating practice beyond the plant — the design-to-operate standards, charge-minimization or CO2/low-charge approaches, and operator-competency models other sites and the industry adopt.
Evidenced by: Is accountable for the ammonia system's safe operation plant-wide.
Scope: the whole plant.</t>
        </is>
      </c>
    </row>
    <row r="22">
      <c r="A22" s="4" t="inlineStr">
        <is>
          <t>Equipment, Utilities &amp; Reliability</t>
        </is>
      </c>
      <c r="B22" s="4" t="inlineStr">
        <is>
          <t>Refrigeration &amp; Steam</t>
        </is>
      </c>
      <c r="C22" s="4" t="inlineStr">
        <is>
          <t>Boiler &amp; steam system operation</t>
        </is>
      </c>
      <c r="D22" s="6" t="inlineStr">
        <is>
          <t>FBM-21</t>
        </is>
      </c>
      <c r="E22" s="4" t="inlineStr">
        <is>
          <t>Operating boilers and the steam/condensate system safely and efficiently to supply the plant's thermal demand — process heat, culinary steam, hot water, and CIP — at pressure and quality.</t>
        </is>
      </c>
      <c r="F22" s="4" t="inlineStr">
        <is>
          <t>ASME, Boiler and Pressure Vessel Code (BPVC) — steam is the plant's thermal utility and a regulated pressure hazard</t>
        </is>
      </c>
      <c r="G22" s="4" t="inlineStr">
        <is>
          <t>Depth: Records boiler pressure, water level, stack, and feedwater readings on the operator round, performs the directed blowdown and water test, and reports low-water, flame-failure, or pressure alarms to a qualified operator rather than acting alone.
Evidenced by: Records boiler pressure and water level correctly.
Scope: one machine / task under direction.</t>
        </is>
      </c>
      <c r="H22" s="4" t="inlineStr">
        <is>
          <t>Depth: Runs the boiler and steam system across a shift independently — brings a boiler up and off line, holds header pressure to demand, manages feedwater, blowdown, and chemical dosing to the treatment targets, and clears routine burner and level trips safely.
Evidenced by: Manages steam demand safely across the shift alone.
Scope: a process area across a shift.</t>
        </is>
      </c>
      <c r="I22" s="4" t="inlineStr">
        <is>
          <t>Depth: Troubleshoots the steam system — diagnoses carryover, failing traps, water-hammer, poor combustion, or feedwater-chemistry excursions — restores steam quality and pressure, and coaches operators on safe firing, low-water response, and where culinary-steam requirements apply.
Evidenced by: Corrects a steam-supply problem others could not, safely.
Scope: multiple process areas.</t>
        </is>
      </c>
      <c r="J22" s="4" t="inlineStr">
        <is>
          <t>Depth: Sets the boiler operating procedures, water-treatment limits, and steam-quality practice others follow, tunes combustion and condensate return for efficiency against the plant's thermal load, and is the operator called when steam supply or quality is at risk.
Evidenced by: Sets the water-treatment limits and blowdown procedure for the system.
Scope: a line / process end to end (IC terminal).</t>
        </is>
      </c>
      <c r="K22" s="4" t="inlineStr">
        <is>
          <t>Depth: Sets the boiler operating procedures, water-treatment limits, and steam-quality practice others follow, tunes combustion and condensate return for efficiency against the plant's thermal load, and is the operator called when steam supply or quality is at risk.
Evidenced by: Holds the steam plant safe and to code across the crew.
Scope: a shift crew.</t>
        </is>
      </c>
      <c r="L22" s="4" t="inlineStr">
        <is>
          <t>Depth: Governs boiler and steam operation plant-wide — the operating envelope, water-treatment program, operator qualification, and jurisdictional-inspection readiness — and drives fuel-efficiency, condensate-recovery, and reliability improvements across the utility.
Evidenced by: Cuts fuel cost through an operating-standard change.
Scope: a department across shifts.</t>
        </is>
      </c>
      <c r="M22" s="4" t="inlineStr">
        <is>
          <t>Depth: Sets steam-plant operating and efficiency practice beyond the site — heat-recovery, decarbonization, and operator-competency standards other plants and the industry adopt.
Evidenced by: Is accountable for the plant's boiler compliance.
Scope: the whole plant.</t>
        </is>
      </c>
    </row>
    <row r="23">
      <c r="A23" s="4" t="inlineStr">
        <is>
          <t>Equipment, Utilities &amp; Reliability</t>
        </is>
      </c>
      <c r="B23" s="4" t="inlineStr">
        <is>
          <t>Maintenance &amp; Reliability</t>
        </is>
      </c>
      <c r="C23" s="4" t="inlineStr">
        <is>
          <t>Autonomous &amp; preventive maintenance</t>
        </is>
      </c>
      <c r="D23" s="6" t="inlineStr">
        <is>
          <t>SCM-09</t>
        </is>
      </c>
      <c r="E23" s="4" t="inlineStr">
        <is>
          <t>Sustain reliability of physical assets through preventive and corrective maintenance.</t>
        </is>
      </c>
      <c r="F23" s="4" t="inlineStr">
        <is>
          <t>Nakajima, Introduction to TPM: Total Productive Maintenance (Productivity Press, 1988) — autonomous and preventive maintenance sustain asset reliability</t>
        </is>
      </c>
      <c r="G23" s="4" t="inlineStr">
        <is>
          <t>Depth: Records asset data and completes scheduled maintenance tasks under supervision.
Evidenced by: Completes a clean-inspect-lubricate task and reports an abnormality.
Scope: one machine / task under direction.</t>
        </is>
      </c>
      <c r="H23" s="4" t="inlineStr">
        <is>
          <t>Depth: Independently runs routine preventive maintenance and work orders with review.
Evidenced by: Completes preventive work orders on time alone.
Scope: a process area across a shift.</t>
        </is>
      </c>
      <c r="I23" s="4" t="inlineStr">
        <is>
          <t>Depth: Autonomously diagnoses ambiguous failures and optimizes maintenance strategy for critical assets.
Evidenced by: Calls the fix-now-versus-defer maintenance decision correctly.
Scope: multiple process areas.</t>
        </is>
      </c>
      <c r="J23" s="4" t="inlineStr">
        <is>
          <t>Depth: Defines maintenance and reliability methods others adopt and solves failures others can't.
Evidenced by: Sets the PM and clean-inspect-lubricate standard the line runs to.
Scope: a line / process end to end (IC terminal).</t>
        </is>
      </c>
      <c r="K23" s="4" t="inlineStr">
        <is>
          <t>Depth: Defines maintenance and reliability methods others adopt and solves failures others can't.
Evidenced by: Holds the crew's PM completion and machine ownership up.
Scope: a shift crew.</t>
        </is>
      </c>
      <c r="L23" s="4" t="inlineStr">
        <is>
          <t>Depth: Sets asset-management strategy and anticipates lifecycle and reliability needs ahead.
Evidenced by: Raises uptime through a revised maintenance strategy.
Scope: a department across shifts.</t>
        </is>
      </c>
      <c r="M23" s="4" t="inlineStr">
        <is>
          <t>Depth: Defines best-practice asset and reliability management and is externally recognized for it.
Evidenced by: Sets the plant's asset-reliability standard.
Scope: the whole plant.</t>
        </is>
      </c>
    </row>
    <row r="24">
      <c r="A24" s="4" t="inlineStr">
        <is>
          <t>Equipment, Utilities &amp; Reliability</t>
        </is>
      </c>
      <c r="B24" s="4" t="inlineStr">
        <is>
          <t>Maintenance &amp; Reliability</t>
        </is>
      </c>
      <c r="C24" s="4" t="inlineStr">
        <is>
          <t>Equipment troubleshooting &amp; breakdown recovery</t>
        </is>
      </c>
      <c r="D24" s="6" t="inlineStr">
        <is>
          <t>FBM-22</t>
        </is>
      </c>
      <c r="E24" s="4" t="inlineStr">
        <is>
          <t>Diagnosing faults and recovering process equipment from breakdown to restore production quickly and hygienically, and preventing the fault from recurring.</t>
        </is>
      </c>
      <c r="F24" s="4" t="inlineStr">
        <is>
          <t>Nakajima, Introduction to TPM: Total Productive Maintenance (Productivity Press, 1988) — fast, correct breakdown recovery protects uptime and food safety together</t>
        </is>
      </c>
      <c r="G24" s="4" t="inlineStr">
        <is>
          <t>Depth: Recognizes when a machine is running abnormally and isolates and locks it out under direction; when it fails mid-run, holds the affected in-process product and confirms the opened food-contact surfaces are re-sanitized before the line is restarted.
Evidenced by: Reports a breakdown with the observable symptoms.
Scope: one machine / task under direction.</t>
        </is>
      </c>
      <c r="H24" s="4" t="inlineStr">
        <is>
          <t>Depth: Recovers the common breakdowns on their line within the food-safety window — sequences the repair, re-sanitizes the food-contact path the repair opened, and returns the line to production hygienically — and decides when the fault has put in-process product at risk and it must be held rather than run on.
Evidenced by: Restores a common fault to running alone.
Scope: a process area across a shift.</t>
        </is>
      </c>
      <c r="I24" s="4" t="inlineStr">
        <is>
          <t>Depth: Runs the breakdown recovery on the hard faults against the production and food-safety clock — sets the re-sanitation and hygienic-restart path once a food-contact system has been opened, makes the product-disposition call on the batch the failure exposed, and coaches operators on recovering a line without compromising the food safety of what restarts.
Evidenced by: Cracks an intermittent fault others could not find.
Scope: multiple process areas.</t>
        </is>
      </c>
      <c r="J24" s="4" t="inlineStr">
        <is>
          <t>Depth: Sets the breakdown-recovery-under-food-safety practice others follow — the hygienic-restart and re-sanitation-after-repair steps, the product-disposition rules for a breakdown, and the recovery targets against the production clock — and is the person called when a critical machine is down and product is at risk.
Evidenced by: Sets the hygienic-restart and product-disposition rules the line follows on a breakdown.
Scope: a line / process end to end (IC terminal).</t>
        </is>
      </c>
      <c r="K24" s="4" t="inlineStr">
        <is>
          <t>Depth: Sets the breakdown-recovery-under-food-safety practice others follow — the hygienic-restart and re-sanitation-after-repair steps, the product-disposition rules for a breakdown, and the recovery targets against the production clock — and is the person called when a critical machine is down and product is at risk.
Evidenced by: Turns a crew breakdown into a countermeasure that holds.
Scope: a shift crew.</t>
        </is>
      </c>
      <c r="L24" s="4" t="inlineStr">
        <is>
          <t>Depth: Governs breakdown-recovery practice across the plant where it couples to food safety — the standard for hygienic restart, re-sanitation-after-repair, and product disposition on a breakdown — and drives mean-time-to-restore against the food-safety and production clock across areas.
Evidenced by: Removes a chronic loss through focused improvement.
Scope: a department across shifts.</t>
        </is>
      </c>
      <c r="M24" s="4" t="inlineStr">
        <is>
          <t>Depth: Sets food-plant rapid-recovery practice beyond the site — the hygienic-restart, re-sanitation, and breakdown-disposition standards, and the design-for-hygienic-recoverability methods other food plants and the industry adopt.
Evidenced by: Sets how the plant eliminates recurring failure.
Scope: the whole plant.</t>
        </is>
      </c>
    </row>
    <row r="25">
      <c r="A25" s="4" t="inlineStr">
        <is>
          <t>Equipment, Utilities &amp; Reliability</t>
        </is>
      </c>
      <c r="B25" s="4" t="inlineStr">
        <is>
          <t>Utilities &amp; Environmental</t>
        </is>
      </c>
      <c r="C25" s="4" t="inlineStr">
        <is>
          <t>Utilities stewardship (water/air/energy)</t>
        </is>
      </c>
      <c r="D25" s="6" t="inlineStr">
        <is>
          <t>WPL-02</t>
        </is>
      </c>
      <c r="E25" s="4" t="inlineStr">
        <is>
          <t>Operates building systems and preventive maintenance to ensure reliable, safe facilities.</t>
        </is>
      </c>
      <c r="F25" s="4" t="inlineStr">
        <is>
          <t>ISO, ISO 50001:2018 Energy Management Systems -- Requirements with Guidance for Use (2018) — stewarding water, air, and energy controls cost and reliability</t>
        </is>
      </c>
      <c r="G25" s="4" t="inlineStr">
        <is>
          <t>Depth: Logs maintenance requests and tracks routine tasks following defined procedures.
Evidenced by: Records water, air, and energy readings accurately.
Scope: one machine / task under direction.</t>
        </is>
      </c>
      <c r="H25" s="4" t="inlineStr">
        <is>
          <t>Depth: Manages standard building operations and planned maintenance independently.
Evidenced by: Reports a compressed-air leak or water waste unprompted.
Scope: a process area across a shift.</t>
        </is>
      </c>
      <c r="I25" s="4" t="inlineStr">
        <is>
          <t>Depth: Resolves complex building failures and optimizes maintenance under operational ambiguity.
Evidenced by: Resolves a utility shortfall others could not.
Scope: multiple process areas.</t>
        </is>
      </c>
      <c r="J25" s="4" t="inlineStr">
        <is>
          <t>Depth: Defines maintenance and building-operations standards that other managers adopt.
Evidenced by: Sets the usage and conservation standard the line follows.
Scope: a line / process end to end (IC terminal).</t>
        </is>
      </c>
      <c r="K25" s="4" t="inlineStr">
        <is>
          <t>Depth: Defines maintenance and building-operations standards that other managers adopt.
Evidenced by: Holds crew utility consumption to target.
Scope: a shift crew.</t>
        </is>
      </c>
      <c r="L25" s="4" t="inlineStr">
        <is>
          <t>Depth: Sets building-operations strategy and anticipates asset-lifecycle and reliability needs.
Evidenced by: Cuts energy cost through an ISO 50001-aligned standard.
Scope: a department across shifts.</t>
        </is>
      </c>
      <c r="M25" s="4" t="inlineStr">
        <is>
          <t>Depth: Establishes building-operations practice recognized as the benchmark across the profession.
Evidenced by: Sets the plant's energy and utility strategy.
Scope: the whole plant.</t>
        </is>
      </c>
    </row>
    <row r="26">
      <c r="A26" s="4" t="inlineStr">
        <is>
          <t>Equipment, Utilities &amp; Reliability</t>
        </is>
      </c>
      <c r="B26" s="4" t="inlineStr">
        <is>
          <t>Utilities &amp; Environmental</t>
        </is>
      </c>
      <c r="C26" s="4" t="inlineStr">
        <is>
          <t>Wastewater &amp; effluent compliance</t>
        </is>
      </c>
      <c r="D26" s="6" t="inlineStr">
        <is>
          <t>FBM-23</t>
        </is>
      </c>
      <c r="E26" s="4" t="inlineStr">
        <is>
          <t>Operating pretreatment and effluent systems so plant discharge stays within permit limits (Clean Water Act / NPDES or the local pretreatment authority), including the sampling and reporting that prove it.</t>
        </is>
      </c>
      <c r="F26" s="4" t="inlineStr">
        <is>
          <t>U.S. EPA, National Pollutant Discharge Elimination System (NPDES), Clean Water Act — effluent compliance is a legal permit condition</t>
        </is>
      </c>
      <c r="G26" s="4" t="inlineStr">
        <is>
          <t>Depth: Reads and logs pH, flow, and level on the effluent system, pulls the routine composite or grab sample as directed, doses chemical to setpoint, and reports an out-of-range pH or an upset to a qualified operator.
Evidenced by: Pulls an effluent sample by the correct method.
Scope: one machine / task under direction.</t>
        </is>
      </c>
      <c r="H26" s="4" t="inlineStr">
        <is>
          <t>Depth: Runs the pretreatment system across a shift independently — manages equalization, pH correction, fat/solids removal (e.g. DAF), and chemical dosing to hold effluent within permit — and takes, preserves, and records the self-monitoring samples correctly.
Evidenced by: Corrects a routine pH or loading excursion alone.
Scope: a process area across a shift.</t>
        </is>
      </c>
      <c r="I26" s="4" t="inlineStr">
        <is>
          <t>Depth: Troubleshoots the effluent train when a parameter drifts toward the limit — traces a BOD, FOG, TSS, or pH excursion back to a plant-side source such as a product dump or CIP slug, corrects it, and coaches operators on load-smoothing and sampling discipline.
Evidenced by: Holds discharge legal through an upset others could not.
Scope: multiple process areas.</t>
        </is>
      </c>
      <c r="J26" s="4" t="inlineStr">
        <is>
          <t>Depth: Sets the operating procedures, dosing, and sampling practice for the effluent system, manages the plant to stay inside its permit envelope, and owns the accuracy and completeness of the discharge-monitoring records an inspector will read.
Evidenced by: Sets the dosing and sampling procedure the line meets to hold permit.
Scope: a line / process end to end (IC terminal).</t>
        </is>
      </c>
      <c r="K26" s="4" t="inlineStr">
        <is>
          <t>Depth: Sets the operating procedures, dosing, and sampling practice for the effluent system, manages the plant to stay inside its permit envelope, and owns the accuracy and completeness of the discharge-monitoring records an inspector will read.
Evidenced by: Keeps the crew's discharge within NPDES limits.
Scope: a shift crew.</t>
        </is>
      </c>
      <c r="L26" s="4" t="inlineStr">
        <is>
          <t>Depth: Governs wastewater compliance plant-wide — the permit relationship, source-reduction and load-management program, and the monitoring-and-reporting system — and drives the improvements that cut discharge strength, surcharge cost, and permit risk.
Evidenced by: Cuts loading to protect the permit through a process change.
Scope: a department across shifts.</t>
        </is>
      </c>
      <c r="M26" s="4" t="inlineStr">
        <is>
          <t>Depth: Sets effluent-management practice beyond the site — source-reduction, water-reuse, and resource-recovery approaches and the compliance-operations standards other plants and the industry adopt.
Evidenced by: Is accountable for the plant's discharge permit.
Scope: the whole plant.</t>
        </is>
      </c>
    </row>
    <row r="27">
      <c r="A27" s="4" t="inlineStr">
        <is>
          <t>Safety &amp; Process Safety Management</t>
        </is>
      </c>
      <c r="B27" s="4" t="inlineStr">
        <is>
          <t>Personal Safety &amp; Energy Control</t>
        </is>
      </c>
      <c r="C27" s="4" t="inlineStr">
        <is>
          <t>Lockout/tagout &amp; hazardous energy control</t>
        </is>
      </c>
      <c r="D27" s="6" t="inlineStr">
        <is>
          <t>WPL-08</t>
        </is>
      </c>
      <c r="E27" s="4" t="inlineStr">
        <is>
          <t>Ensures safe working conditions and compliance with occupational health and safety standards.</t>
        </is>
      </c>
      <c r="F27" s="4" t="inlineStr">
        <is>
          <t>U.S. OSHA, The Control of Hazardous Energy (Lockout/Tagout), 29 CFR 1910.147 — hazardous-energy control prevents the plant's highest-consequence injuries</t>
        </is>
      </c>
      <c r="G27" s="4" t="inlineStr">
        <is>
          <t>Depth: Conducts routine safety checks and logs incidents following defined procedures.
Evidenced by: Locks out one energy source correctly and verifies zero energy.
Scope: one machine / task under direction.</t>
        </is>
      </c>
      <c r="H27" s="4" t="inlineStr">
        <is>
          <t>Depth: Manages standard EHS programs and investigations independently within policy.
Evidenced by: Completes a multi-point lockout by the procedure alone.
Scope: a process area across a shift.</t>
        </is>
      </c>
      <c r="I27" s="4" t="inlineStr">
        <is>
          <t>Depth: Resolves complex safety hazards and ambiguous compliance situations under risk.
Evidenced by: Plans a group lockout for a job others found ambiguous.
Scope: multiple process areas.</t>
        </is>
      </c>
      <c r="J27" s="4" t="inlineStr">
        <is>
          <t>Depth: Defines EHS standards and risk-assessment methods that others adopt.
Evidenced by: Sets the energy-control standard the line follows.
Scope: a line / process end to end (IC terminal).</t>
        </is>
      </c>
      <c r="K27" s="4" t="inlineStr">
        <is>
          <t>Depth: Defines EHS standards and risk-assessment methods that others adopt.
Evidenced by: Stops a task with incomplete lockout before it starts.
Scope: a shift crew.</t>
        </is>
      </c>
      <c r="L27" s="4" t="inlineStr">
        <is>
          <t>Depth: Sets EHS strategy and anticipates emerging hazards and regulatory change.
Evidenced by: Closes a lockout gap through a procedure change.
Scope: a department across shifts.</t>
        </is>
      </c>
      <c r="M27" s="4" t="inlineStr">
        <is>
          <t>Depth: Establishes environmental-health-and-safety practice recognized as authoritative across the field.
Evidenced by: Is accountable for zero hazardous-energy incidents plant-wide.
Scope: the whole plant.</t>
        </is>
      </c>
    </row>
    <row r="28">
      <c r="A28" s="4" t="inlineStr">
        <is>
          <t>Safety &amp; Process Safety Management</t>
        </is>
      </c>
      <c r="B28" s="4" t="inlineStr">
        <is>
          <t>Personal Safety &amp; Energy Control</t>
        </is>
      </c>
      <c r="C28" s="4" t="inlineStr">
        <is>
          <t>Hazard recognition, PPE &amp; permits</t>
        </is>
      </c>
      <c r="D28" s="6" t="inlineStr">
        <is>
          <t>WPL-08</t>
        </is>
      </c>
      <c r="E28" s="4" t="inlineStr">
        <is>
          <t>Ensures safe working conditions and compliance with occupational health and safety standards.</t>
        </is>
      </c>
      <c r="F28" s="4" t="inlineStr">
        <is>
          <t>U.S. OSHA, 29 CFR Part 1910 Occupational Safety and Health Standards (General Industry) — hazard recognition and permits keep routine work safe</t>
        </is>
      </c>
      <c r="G28" s="4" t="inlineStr">
        <is>
          <t>Depth: Conducts routine safety checks and logs incidents following defined procedures.
Evidenced by: Selects and wears the correct PPE for the task.
Scope: one machine / task under direction.</t>
        </is>
      </c>
      <c r="H28" s="4" t="inlineStr">
        <is>
          <t>Depth: Manages standard EHS programs and investigations independently within policy.
Evidenced by: Fills a hot-work or confined-space permit correctly alone.
Scope: a process area across a shift.</t>
        </is>
      </c>
      <c r="I28" s="4" t="inlineStr">
        <is>
          <t>Depth: Resolves complex safety hazards and ambiguous compliance situations under risk.
Evidenced by: Calls a confined-space entry decision correctly.
Scope: multiple process areas.</t>
        </is>
      </c>
      <c r="J28" s="4" t="inlineStr">
        <is>
          <t>Depth: Defines EHS standards and risk-assessment methods that others adopt.
Evidenced by: Sets the permit-to-work standard the line uses.
Scope: a line / process end to end (IC terminal).</t>
        </is>
      </c>
      <c r="K28" s="4" t="inlineStr">
        <is>
          <t>Depth: Defines EHS standards and risk-assessment methods that others adopt.
Evidenced by: Refuses a permit until the hazard is controlled.
Scope: a shift crew.</t>
        </is>
      </c>
      <c r="L28" s="4" t="inlineStr">
        <is>
          <t>Depth: Sets EHS strategy and anticipates emerging hazards and regulatory change.
Evidenced by: Closes a recurring hazard through a control change.
Scope: a department across shifts.</t>
        </is>
      </c>
      <c r="M28" s="4" t="inlineStr">
        <is>
          <t>Depth: Establishes environmental-health-and-safety practice recognized as authoritative across the field.
Evidenced by: Sets the plant's permit-to-work and PPE standard.
Scope: the whole plant.</t>
        </is>
      </c>
    </row>
    <row r="29">
      <c r="A29" s="4" t="inlineStr">
        <is>
          <t>Safety &amp; Process Safety Management</t>
        </is>
      </c>
      <c r="B29" s="4" t="inlineStr">
        <is>
          <t>Process Safety &amp; Emergency Response</t>
        </is>
      </c>
      <c r="C29" s="4" t="inlineStr">
        <is>
          <t>Process safety management (PSM/RMP)</t>
        </is>
      </c>
      <c r="D29" s="6" t="inlineStr">
        <is>
          <t>FBM-24</t>
        </is>
      </c>
      <c r="E29" s="4" t="inlineStr">
        <is>
          <t>Running the OSHA Process Safety Management and EPA Risk Management Program elements for a highly hazardous process (anhydrous ammonia) — process hazard analyses, mechanical integrity, management of change, operating procedures, and the rest of the covered-process program.</t>
        </is>
      </c>
      <c r="F29" s="4" t="inlineStr">
        <is>
          <t>U.S. OSHA, Process Safety Management of Highly Hazardous Chemicals, 29 CFR 1910.119 — the ammonia covered process must be managed to prevent catastrophic release</t>
        </is>
      </c>
      <c r="G29" s="4" t="inlineStr">
        <is>
          <t>Depth: Follows the covered-process operating procedures as written, completes their part of PSM tasks under direction — operator training sign-off, a mechanical-integrity check, reporting a change rather than making it silently — and knows the process is PSM-covered and why.
Evidenced by: Follows a covered-process operating procedure as written.
Scope: one machine / task under direction.</t>
        </is>
      </c>
      <c r="H29" s="4" t="inlineStr">
        <is>
          <t>Depth: Executes their PSM responsibilities independently — runs to the operating procedures, completes mechanical-integrity inspections and tests on schedule, raises a management-of-change when conditions change, and contributes operating knowledge to a process hazard analysis.
Evidenced by: Completes a mechanical-integrity check and logs it alone.
Scope: a process area across a shift.</t>
        </is>
      </c>
      <c r="I29" s="4" t="inlineStr">
        <is>
          <t>Depth: Owns PSM elements for the process — keeps operating procedures current and validated, leads or drives closure of PHA and incident-investigation action items, administers MOC so changes are reviewed before they happen, and coaches operators on why the program exists.
Evidenced by: Contributes a real hazard to a process-hazard analysis.
Scope: multiple process areas.</t>
        </is>
      </c>
      <c r="J29" s="4" t="inlineStr">
        <is>
          <t>Depth: Sets the plant's PSM practice for the covered process — the PHA schedule and methodology, mechanical-integrity program, MOC and pre-startup-safety-review discipline — and is the reference who makes the program defensible in a compliance audit or after an incident.
Evidenced by: Sets the operating-procedure and management-of-change standard the line follows.
Scope: a line / process end to end (IC terminal).</t>
        </is>
      </c>
      <c r="K29" s="4" t="inlineStr">
        <is>
          <t>Depth: Sets the plant's PSM practice for the covered process — the PHA schedule and methodology, mechanical-integrity program, MOC and pre-startup-safety-review discipline — and is the reference who makes the program defensible in a compliance audit or after an incident.
Evidenced by: Blocks a change until management-of-change is complete.
Scope: a shift crew.</t>
        </is>
      </c>
      <c r="L29" s="4" t="inlineStr">
        <is>
          <t>Depth: Governs the PSM/RMP program plant-wide — element ownership, compliance-audit and RMP-resubmission cycle, contractor and training requirements, and the metrics that show the program is working — and drives its continuous improvement.
Evidenced by: Closes a hazard-analysis finding into a permanent safeguard.
Scope: a department across shifts.</t>
        </is>
      </c>
      <c r="M29" s="4" t="inlineStr">
        <is>
          <t>Depth: Sets process-safety practice beyond the site — program models, leading-indicator and process-safety-culture standards, and covered-process approaches other plants and the industry adopt.
Evidenced by: Is accountable for the covered process's integrity plant-wide.
Scope: the whole plant.</t>
        </is>
      </c>
    </row>
    <row r="30">
      <c r="A30" s="4" t="inlineStr">
        <is>
          <t>Safety &amp; Process Safety Management</t>
        </is>
      </c>
      <c r="B30" s="4" t="inlineStr">
        <is>
          <t>Process Safety &amp; Emergency Response</t>
        </is>
      </c>
      <c r="C30" s="4" t="inlineStr">
        <is>
          <t>Ammonia emergency response &amp; readiness</t>
        </is>
      </c>
      <c r="D30" s="6" t="inlineStr">
        <is>
          <t>FBM-25</t>
        </is>
      </c>
      <c r="E30" s="4" t="inlineStr">
        <is>
          <t>Preparing for and leading the response to an ammonia release or process-safety emergency — detection, evacuation and shelter, notification, and incident command — so people are protected and the release is controlled.</t>
        </is>
      </c>
      <c r="F30" s="4" t="inlineStr">
        <is>
          <t>U.S. OSHA, Hazardous Waste Operations and Emergency Response (HAZWOPER), 29 CFR 1910.120 — a rehearsed response is what limits harm when ammonia releases</t>
        </is>
      </c>
      <c r="G30" s="4" t="inlineStr">
        <is>
          <t>Depth: Knows the ammonia alarm, the evacuation and assembly points, and their own role in the emergency plan; on a release recognizes it, evacuates or shelters as trained, and reports to the muster point and accounts for themselves.
Evidenced by: Responds correctly to an ammonia alarm and evacuates.
Scope: one machine / task under direction.</t>
        </is>
      </c>
      <c r="H30" s="4" t="inlineStr">
        <is>
          <t>Depth: Acts correctly and independently in a release — takes the trained initial actions (alarm, isolate if safe, evacuate the area, don assigned PPE), gives clear information to the responders, and knows the boundary of what they may and may not do without the response team.
Evidenced by: Executes their emergency-response duty in a drill alone.
Scope: a process area across a shift.</t>
        </is>
      </c>
      <c r="I30" s="4" t="inlineStr">
        <is>
          <t>Depth: Leads the response at the scene for the shift — directs evacuation and accountability, isolates the process, briefs arriving responders, and runs their part of the plan calmly, and coaches the crew through drills so they perform under real conditions.
Evidenced by: Isolates a minor leak safely under pressure.
Scope: multiple process areas.</t>
        </is>
      </c>
      <c r="J30" s="4" t="inlineStr">
        <is>
          <t>Depth: Runs incident command for an ammonia emergency at the plant — sizes up the release, decides shelter-versus-evacuate and isolation, initiates the required agency notifications, and directs the response — and sets the response procedures and drill standard others follow.
Evidenced by: Sets the release-response and drill standard the line rehearses, running incident command.
Scope: a line / process end to end (IC terminal).</t>
        </is>
      </c>
      <c r="K30" s="4" t="inlineStr">
        <is>
          <t>Depth: Runs incident command for an ammonia emergency at the plant — sizes up the release, decides shelter-versus-evacuate and isolation, initiates the required agency notifications, and directs the response — and sets the response procedures and drill standard others follow.
Evidenced by: Runs the crew's response and agency notification in a drill.
Scope: a shift crew.</t>
        </is>
      </c>
      <c r="L30" s="4" t="inlineStr">
        <is>
          <t>Depth: Governs emergency-response readiness plant-wide — the emergency-response plan, drill and exercise program, mutual-aid and agency relationships, detection and notification systems, and the after-action process that closes gaps — for the covered process.
Evidenced by: Hardens readiness through drill-driven changes.
Scope: a department across shifts.</t>
        </is>
      </c>
      <c r="M30" s="4" t="inlineStr">
        <is>
          <t>Depth: Sets ammonia-emergency-response practice beyond the site — command models, community-coordination and drill standards, and readiness approaches other plants, mutual-aid partners, and the industry adopt.
Evidenced by: Is accountable for the plant's ammonia-release preparedness.
Scope: the whole plant.</t>
        </is>
      </c>
    </row>
    <row r="31">
      <c r="A31" s="4" t="inlineStr">
        <is>
          <t>Leadership, People &amp; Continuous Improvement</t>
        </is>
      </c>
      <c r="B31" s="4" t="inlineStr">
        <is>
          <t>People Leadership &amp; Development</t>
        </is>
      </c>
      <c r="C31" s="4" t="inlineStr">
        <is>
          <t>Operator training &amp; development</t>
        </is>
      </c>
      <c r="D31" s="6" t="inlineStr">
        <is>
          <t>LI-01</t>
        </is>
      </c>
      <c r="E31" s="4" t="inlineStr">
        <is>
          <t>Grows other people's capability.</t>
        </is>
      </c>
      <c r="F31" s="4" t="inlineStr">
        <is>
          <t>War Manpower Commission, Training Within Industry Service, Job Instruction (1944) — structured job instruction is how operator craft is reliably transferred</t>
        </is>
      </c>
      <c r="G31" s="4" t="inlineStr">
        <is>
          <t>Depth: Receptive to mentoring; shares what they learn.
Evidenced by: Walks a peer through a single task step by step.
Scope: one machine / task under direction.</t>
        </is>
      </c>
      <c r="H31" s="4" t="inlineStr">
        <is>
          <t>Depth: Receptive to mentoring; shares what they learn.
Evidenced by: Onboards a peer to their area with a lead's support.
Scope: a process area across a shift.</t>
        </is>
      </c>
      <c r="I31" s="4" t="inlineStr">
        <is>
          <t>Depth: Helps onboard teammates; informally mentors juniors.
Evidenced by: Qualifies a new operator on their area unaided.
Scope: multiple process areas.</t>
        </is>
      </c>
      <c r="J31" s="4" t="inlineStr">
        <is>
          <t>Depth: Coaches engineers with growth-oriented feedback; measurably improves a team's skill.
Evidenced by: Coaches a struggling operator's specific skill gap until the change is measurable in their output.
Scope: a line / process end to end (IC terminal).</t>
        </is>
      </c>
      <c r="K31" s="4" t="inlineStr">
        <is>
          <t>Depth: Develops future leads across teams; shapes hiring and onboarding.
Evidenced by: Grooms a crew member into the next Lead Operator and owns the crew's qualification records.
Scope: a shift crew.</t>
        </is>
      </c>
      <c r="L31" s="4" t="inlineStr">
        <is>
          <t>Depth: Develops senior engineers and leaders; builds culture deliberately.
Evidenced by: Builds a capability pipeline other areas adopt.
Scope: a department across shifts.</t>
        </is>
      </c>
      <c r="M31" s="4" t="inlineStr">
        <is>
          <t>Depth: Develops the next generation of top talent; legacy outlasts tenure.
Evidenced by: Builds an operator-development system that keeps producing leads after they've moved on.
Scope: the whole plant.</t>
        </is>
      </c>
    </row>
    <row r="32">
      <c r="A32" s="4" t="inlineStr">
        <is>
          <t>Leadership, People &amp; Continuous Improvement</t>
        </is>
      </c>
      <c r="B32" s="4" t="inlineStr">
        <is>
          <t>People Leadership &amp; Development</t>
        </is>
      </c>
      <c r="C32" s="4" t="inlineStr">
        <is>
          <t>Coaching &amp; performance feedback</t>
        </is>
      </c>
      <c r="D32" s="6" t="inlineStr">
        <is>
          <t>EM-01</t>
        </is>
      </c>
      <c r="E32" s="4" t="inlineStr">
        <is>
          <t>Setting expectations, evaluating performance, and addressing under-performance fairly and clearly.</t>
        </is>
      </c>
      <c r="F32" s="4" t="inlineStr">
        <is>
          <t>Grove, High Output Management (Random House, 1983) — feedback and coaching are how output is driven through people</t>
        </is>
      </c>
      <c r="G32" s="4" t="inlineStr">
        <is>
          <t>Depth: Gathers performance inputs and drafts feedback under a manager's guidance.
Evidenced by: Offers a peer specific, in-the-moment feedback.
Scope: one machine / task under direction.</t>
        </is>
      </c>
      <c r="H32" s="4" t="inlineStr">
        <is>
          <t>Depth: Gathers performance inputs and drafts feedback under a manager's guidance.
Evidenced by: Helps a struggling peer improve on a specific task.
Scope: a process area across a shift.</t>
        </is>
      </c>
      <c r="I32" s="4" t="inlineStr">
        <is>
          <t>Depth: Runs standard performance cycles and holds direct reports accountable with normal review.
Evidenced by: Turns a peer's recurring miss around through repeatable coaching.
Scope: multiple process areas.</t>
        </is>
      </c>
      <c r="J32" s="4" t="inlineStr">
        <is>
          <t>Depth: Independently manages underperformance and difficult cases through to clear resolution.
Evidenced by: Holds a peer accountable constructively before it escalates.
Scope: a line / process end to end (IC terminal).</t>
        </is>
      </c>
      <c r="K32" s="4" t="inlineStr">
        <is>
          <t>Depth: Defines accountability practices other managers adopt and coaches them through hard cases.
Evidenced by: Owns fair performance feedback for the crew.
Scope: a shift crew.</t>
        </is>
      </c>
      <c r="L32" s="4" t="inlineStr">
        <is>
          <t>Depth: Sets the org's performance philosophy and anticipates systemic accountability gaps.
Evidenced by: Defines the feedback practice other supervisors adopt.
Scope: a department across shifts.</t>
        </is>
      </c>
      <c r="M32" s="4" t="inlineStr">
        <is>
          <t>Depth: Defines what fair, effective performance management means and influences the field externally.
Evidenced by: Sets how the plant develops and holds people accountable.
Scope: the whole plant.</t>
        </is>
      </c>
    </row>
    <row r="33">
      <c r="A33" s="4" t="inlineStr">
        <is>
          <t>Leadership, People &amp; Continuous Improvement</t>
        </is>
      </c>
      <c r="B33" s="4" t="inlineStr">
        <is>
          <t>People Leadership &amp; Development</t>
        </is>
      </c>
      <c r="C33" s="4" t="inlineStr">
        <is>
          <t>Shift leadership &amp; crew coordination</t>
        </is>
      </c>
      <c r="D33" s="6" t="inlineStr">
        <is>
          <t>LI-08</t>
        </is>
      </c>
      <c r="E33" s="4" t="inlineStr">
        <is>
          <t>Reads what the person, team, and moment need and flexes leadership approach — directing, coaching, supporting, delegating — from a grounded, authentic center; distinguishes technical from adaptive challenges.</t>
        </is>
      </c>
      <c r="F33" s="4" t="inlineStr">
        <is>
          <t>Hersey &amp; Blanchard, Management of Organizational Behavior: Utilizing Human Resources (Prentice-Hall, 1969) — leading a shift means adapting direction to the crew and the moment, and modeling the safety behaviors others follow</t>
        </is>
      </c>
      <c r="G33" s="4" t="inlineStr">
        <is>
          <t>Depth: Recognizes that different people need different support; adjusts approach when prompted by feedback.
Evidenced by: Models the crew's norms and calls out an unsafe act in the moment.
Scope: one machine / task under direction.</t>
        </is>
      </c>
      <c r="H33" s="4" t="inlineStr">
        <is>
          <t>Depth: Recognizes that different people need different support; adjusts approach when prompted by feedback.
Evidenced by: Keeps the area's work moving and reinforces a rule with peers informally.
Scope: a process area across a shift.</t>
        </is>
      </c>
      <c r="I33" s="4" t="inlineStr">
        <is>
          <t>Depth: Matches direction and support to each person's readiness per task — directing, coaching, supporting, or delegating deliberately — and tells technical problems from adaptive ones.
Evidenced by: Rallies the crew through an upset and calls a stand-down on a real hazard.
Scope: multiple process areas.</t>
        </is>
      </c>
      <c r="J33" s="4" t="inlineStr">
        <is>
          <t>Depth: Flexes skillfully across a wide range of people and hard situations without losing a grounded center; refuses to force technical fixes onto adaptive challenges and names the difference.
Evidenced by: Flexes between directing, coaching, and delegating across the line's operators and situations without losing the safety center.
Scope: a line / process end to end (IC terminal).</t>
        </is>
      </c>
      <c r="K33" s="4" t="inlineStr">
        <is>
          <t>Depth: Coaches other leaders to read what a person, team, or moment needs; adapts across diverse teams while staying recognizably consistent in values.
Evidenced by: Runs the crew day to day and owns its safety and delivery outcomes.
Scope: a shift crew.</t>
        </is>
      </c>
      <c r="L33" s="4" t="inlineStr">
        <is>
          <t>Depth: Develops adaptive leadership as an organizational discipline — leaders diagnose technical-versus-adaptive at scale, and the leadership style changes when the situation does.
Evidenced by: Sets the crew-leadership and behavior-based-safety practice other shifts adopt.
Scope: a department across shifts.</t>
        </is>
      </c>
      <c r="M33" s="4" t="inlineStr">
        <is>
          <t>Depth: Shapes an adaptive, grounded leadership culture across an organization — style stays plastic to conditions while values stay fixed; the approach is emulated beyond the organization.
Evidenced by: Is accountable for how the whole plant is led and how safely it runs.
Scope: the whole plant.</t>
        </is>
      </c>
    </row>
    <row r="34">
      <c r="A34" s="4" t="inlineStr">
        <is>
          <t>Leadership, People &amp; Continuous Improvement</t>
        </is>
      </c>
      <c r="B34" s="4" t="inlineStr">
        <is>
          <t>Communication &amp; Coordination</t>
        </is>
      </c>
      <c r="C34" s="4" t="inlineStr">
        <is>
          <t>Pre-shift huddles &amp; shift handover</t>
        </is>
      </c>
      <c r="D34" s="6" t="inlineStr">
        <is>
          <t>CC-01</t>
        </is>
      </c>
      <c r="E34" s="4" t="inlineStr">
        <is>
          <t>Conveys ideas clearly to the right audience.</t>
        </is>
      </c>
      <c r="F34" s="4" t="inlineStr">
        <is>
          <t>Ohno, Toyota Production System: Beyond Large-Scale Production (Productivity Press, 1988) — a disciplined huddle and handover prevent information loss between shifts</t>
        </is>
      </c>
      <c r="G34" s="4" t="inlineStr">
        <is>
          <t>Depth: Communicates status clearly; documentation is accurate.
Evidenced by: Hands over their machine's status accurately.
Scope: one machine / task under direction.</t>
        </is>
      </c>
      <c r="H34" s="4" t="inlineStr">
        <is>
          <t>Depth: Writes clear design notes, runbooks and PRs; explains trade-offs without overselling.
Evidenced by: Runs a clean area-to-area handover unprompted.
Scope: a process area across a shift.</t>
        </is>
      </c>
      <c r="I34" s="4" t="inlineStr">
        <is>
          <t>Depth: Writes clear design notes, runbooks and PRs; explains trade-offs without overselling.
Evidenced by: Flags the one handover item that prevents a downstream miss.
Scope: multiple process areas.</t>
        </is>
      </c>
      <c r="J34" s="4" t="inlineStr">
        <is>
          <t>Depth: Writes design docs that drive decisions; translates technical risk for non-technical stakeholders.
Evidenced by: Leads a huddle that sets and decides the line's priorities for the shift.
Scope: a line / process end to end (IC terminal).</t>
        </is>
      </c>
      <c r="K34" s="4" t="inlineStr">
        <is>
          <t>Depth: Expert at making complex capability/risk legible to executives without dumbing it down; RFCs align orgs.
Evidenced by: Runs the crew huddle and shift-to-shift handover.
Scope: a shift crew.</t>
        </is>
      </c>
      <c r="L34" s="4" t="inlineStr">
        <is>
          <t>Depth: Strategy memos leadership acts on; org-wide and external reach.
Evidenced by: Standardizes a handover format other shifts adopt.
Scope: a department across shifts.</t>
        </is>
      </c>
      <c r="M34" s="4" t="inlineStr">
        <is>
          <t>Depth: A clarifying voice at company scale; externally recognized.
Evidenced by: Sets how information flows across the plant's shifts.
Scope: the whole plant.</t>
        </is>
      </c>
    </row>
    <row r="35">
      <c r="A35" s="4" t="inlineStr">
        <is>
          <t>Leadership, People &amp; Continuous Improvement</t>
        </is>
      </c>
      <c r="B35" s="4" t="inlineStr">
        <is>
          <t>Communication &amp; Coordination</t>
        </is>
      </c>
      <c r="C35" s="4" t="inlineStr">
        <is>
          <t>Escalation &amp; cross-functional coordination</t>
        </is>
      </c>
      <c r="D35" s="6" t="inlineStr">
        <is>
          <t>CC-03</t>
        </is>
      </c>
      <c r="E35" s="4" t="inlineStr">
        <is>
          <t>Works productively with others toward shared goals.</t>
        </is>
      </c>
      <c r="F35" s="4" t="inlineStr">
        <is>
          <t>Lencioni, The Five Dysfunctions of a Team: A Leadership Fable (Jossey-Bass, 2002) — knowing when to escalate and how to pull in the right function contains problems early</t>
        </is>
      </c>
      <c r="G35" s="4" t="inlineStr">
        <is>
          <t>Depth: Responsive to feedback; pairs willingly; asks for help appropriately.
Evidenced by: Raises an issue to the right person promptly.
Scope: one machine / task under direction.</t>
        </is>
      </c>
      <c r="H35" s="4" t="inlineStr">
        <is>
          <t>Depth: Collaborates smoothly with adjacent functions; handles disagreement constructively.
Evidenced by: Coordinates with maintenance or QA to clear a routine issue alone.
Scope: a process area across a shift.</t>
        </is>
      </c>
      <c r="I35" s="4" t="inlineStr">
        <is>
          <t>Depth: Collaborates smoothly with adjacent functions; handles disagreement constructively.
Evidenced by: Pulls the right functions together to solve a cross-area problem.
Scope: multiple process areas.</t>
        </is>
      </c>
      <c r="J35" s="4" t="inlineStr">
        <is>
          <t>Depth: Builds strong cross-team relationships; resolves friction directly.
Evidenced by: Decides when and how the line escalates, and resolves the friction that follows.
Scope: a line / process end to end (IC terminal).</t>
        </is>
      </c>
      <c r="K35" s="4" t="inlineStr">
        <is>
          <t>Depth: Expert at aligning teams with competing priorities; mediates disputes between senior people.
Evidenced by: Runs the crew's response when a line goes down or a quality hold hits, pulling in maintenance and QA.
Scope: a shift crew.</t>
        </is>
      </c>
      <c r="L35" s="4" t="inlineStr">
        <is>
          <t>Depth: Creates the forums and processes through which collaboration happens.
Evidenced by: Defines the escalation protocol other shifts adopt.
Scope: a department across shifts.</t>
        </is>
      </c>
      <c r="M35" s="4" t="inlineStr">
        <is>
          <t>Depth: Builds coalitions at company scale and externally.
Evidenced by: Sets how the plant coordinates in a major event.
Scope: the whole plant.</t>
        </is>
      </c>
    </row>
    <row r="36">
      <c r="A36" s="4" t="inlineStr">
        <is>
          <t>Leadership, People &amp; Continuous Improvement</t>
        </is>
      </c>
      <c r="B36" s="4" t="inlineStr">
        <is>
          <t>Continuous Improvement &amp; Cost</t>
        </is>
      </c>
      <c r="C36" s="4" t="inlineStr">
        <is>
          <t>OEE &amp; loss elimination</t>
        </is>
      </c>
      <c r="D36" s="6" t="inlineStr">
        <is>
          <t>SCM-07</t>
        </is>
      </c>
      <c r="E36" s="4" t="inlineStr">
        <is>
          <t>Convert inputs into finished goods through planned, controlled, efficient production.</t>
        </is>
      </c>
      <c r="F36" s="4" t="inlineStr">
        <is>
          <t>Nakajima, Introduction to TPM: Total Productive Maintenance (Productivity Press, 1988) — OEE makes production loss visible so it can be eliminated</t>
        </is>
      </c>
      <c r="G36" s="4" t="inlineStr">
        <is>
          <t>Depth: Performs defined production tasks and records output under supervision.
Evidenced by: Logs a downtime reason accurately against the run.
Scope: one machine / task under direction.</t>
        </is>
      </c>
      <c r="H36" s="4" t="inlineStr">
        <is>
          <t>Depth: Independently runs standard production lines, handling routine variation with review.
Evidenced by: Names the shift's biggest loss from the OEE data alone.
Scope: a process area across a shift.</t>
        </is>
      </c>
      <c r="I36" s="4" t="inlineStr">
        <is>
          <t>Depth: Autonomously manages complex production with ambiguous disruptions, holding output and quality.
Evidenced by: Recovers measurable OEE by eliminating a specific loss.
Scope: multiple process areas.</t>
        </is>
      </c>
      <c r="J36" s="4" t="inlineStr">
        <is>
          <t>Depth: Defines production-operations methods others adopt and resolves problems others can't.
Evidenced by: Sets the OEE and loss-tracking standard the line runs to.
Scope: a line / process end to end (IC terminal).</t>
        </is>
      </c>
      <c r="K36" s="4" t="inlineStr">
        <is>
          <t>Depth: Defines production-operations methods others adopt and resolves problems others can't.
Evidenced by: Drives the crew's OEE up against a target.
Scope: a shift crew.</t>
        </is>
      </c>
      <c r="L36" s="4" t="inlineStr">
        <is>
          <t>Depth: Sets manufacturing-operations strategy and anticipates how production capability must evolve.
Evidenced by: Removes a systemic loss other areas adopt the fix for.
Scope: a department across shifts.</t>
        </is>
      </c>
      <c r="M36" s="4" t="inlineStr">
        <is>
          <t>Depth: Defines best-in-class manufacturing operations and is externally recognized for it.
Evidenced by: Sets the plant's OEE and improvement agenda.
Scope: the whole plant.</t>
        </is>
      </c>
    </row>
    <row r="37">
      <c r="A37" s="4" t="inlineStr">
        <is>
          <t>Leadership, People &amp; Continuous Improvement</t>
        </is>
      </c>
      <c r="B37" s="4" t="inlineStr">
        <is>
          <t>Continuous Improvement &amp; Cost</t>
        </is>
      </c>
      <c r="C37" s="4" t="inlineStr">
        <is>
          <t>Root-cause problem solving</t>
        </is>
      </c>
      <c r="D37" s="6" t="inlineStr">
        <is>
          <t>SUP-05</t>
        </is>
      </c>
      <c r="E37" s="4" t="inlineStr">
        <is>
          <t>Analyze recurring issues to identify root causes and drive permanent corrective actions.</t>
        </is>
      </c>
      <c r="F37" s="4" t="inlineStr">
        <is>
          <t>Ohno, Toyota Production System: Beyond Large-Scale Production (Productivity Press, 1988) — structured root-cause analysis permanently removes recurring problems</t>
        </is>
      </c>
      <c r="G37" s="4" t="inlineStr">
        <is>
          <t>Depth: Gathers incident details and documents findings for a reviewer to analyze.
Evidenced by: Documents a problem's details for analysis.
Scope: one machine / task under direction.</t>
        </is>
      </c>
      <c r="H37" s="4" t="inlineStr">
        <is>
          <t>Depth: Independently runs root-cause analysis on standard recurring problems with normal review.
Evidenced by: Completes a basic 5-Why to a plausible root cause alone.
Scope: a process area across a shift.</t>
        </is>
      </c>
      <c r="I37" s="4" t="inlineStr">
        <is>
          <t>Depth: Untangles ambiguous, systemic root causes and is the go-to for elusive recurring issues.
Evidenced by: Cracks a systemic root cause others could not find.
Scope: multiple process areas.</t>
        </is>
      </c>
      <c r="J37" s="4" t="inlineStr">
        <is>
          <t>Depth: Defines the problem-management methodology others adopt and cracks the hardest root causes.
Evidenced by: Sets the root-cause standard the line uses.
Scope: a line / process end to end (IC terminal).</t>
        </is>
      </c>
      <c r="K37" s="4" t="inlineStr">
        <is>
          <t>Depth: Defines the problem-management methodology others adopt and cracks the hardest root causes.
Evidenced by: Confirms a crew countermeasure actually held.
Scope: a shift crew.</t>
        </is>
      </c>
      <c r="L37" s="4" t="inlineStr">
        <is>
          <t>Depth: Sets problem-management strategy and anticipates systemic failures before they recur.
Evidenced by: Prevents a class of failure before it recurs.
Scope: a department across shifts.</t>
        </is>
      </c>
      <c r="M37" s="4" t="inlineStr">
        <is>
          <t>Depth: Defines how the discipline practices root-cause management and shapes industry approaches.
Evidenced by: Sets how the plant permanently removes problems.
Scope: the whole plant.</t>
        </is>
      </c>
    </row>
    <row r="38">
      <c r="A38" s="4" t="inlineStr">
        <is>
          <t>Leadership, People &amp; Continuous Improvement</t>
        </is>
      </c>
      <c r="B38" s="4" t="inlineStr">
        <is>
          <t>Continuous Improvement &amp; Cost</t>
        </is>
      </c>
      <c r="C38" s="4" t="inlineStr">
        <is>
          <t>Production scheduling &amp; changeover</t>
        </is>
      </c>
      <c r="D38" s="6" t="inlineStr">
        <is>
          <t>SCM-08</t>
        </is>
      </c>
      <c r="E38" s="4" t="inlineStr">
        <is>
          <t>Sequence, schedule, and monitor production to optimize throughput and on-time output.</t>
        </is>
      </c>
      <c r="F38" s="4" t="inlineStr">
        <is>
          <t>ASCM (APICS), Supply Chain Operations Reference (SCOR) Digital Standard — scheduling and fast changeover convert the plan into on-time output</t>
        </is>
      </c>
      <c r="G38" s="4" t="inlineStr">
        <is>
          <t>Depth: Updates schedules and logs shop-floor status from given inputs under guidance.
Evidenced by: Executes a changeover step by the SMED sheet.
Scope: one machine / task under direction.</t>
        </is>
      </c>
      <c r="H38" s="4" t="inlineStr">
        <is>
          <t>Depth: Independently builds routine production schedules and manages standard sequencing with review.
Evidenced by: Completes a routine changeover to time alone.
Scope: a process area across a shift.</t>
        </is>
      </c>
      <c r="I38" s="4" t="inlineStr">
        <is>
          <t>Depth: Independently builds routine production schedules and manages standard sequencing with review.
Evidenced by: Rebalances the run to protect on-time output.
Scope: multiple process areas.</t>
        </is>
      </c>
      <c r="J38" s="4" t="inlineStr">
        <is>
          <t>Depth: Autonomously schedules under volatile constraints, rebalancing the floor to hold commitments.
Evidenced by: Sets the changeover and sequencing standard the line uses.
Scope: a line / process end to end (IC terminal).</t>
        </is>
      </c>
      <c r="K38" s="4" t="inlineStr">
        <is>
          <t>Depth: Defines scheduling and control methods others adopt and resolves the hardest sequencing problems.
Evidenced by: Holds crew changeover times and schedule to target.
Scope: a shift crew.</t>
        </is>
      </c>
      <c r="L38" s="4" t="inlineStr">
        <is>
          <t>Depth: Sets shop-floor scheduling strategy and anticipates how control systems must evolve.
Evidenced by: Cuts changeover loss through an SMED standard other shifts adopt.
Scope: a department across shifts.</t>
        </is>
      </c>
      <c r="M38" s="4" t="inlineStr">
        <is>
          <t>Depth: Defines leading production-scheduling practice for the field and is sought externally for it.
Evidenced by: Sets how the plant schedules and changes over.
Scope: the whole plant.</t>
        </is>
      </c>
    </row>
    <row r="39">
      <c r="A39" s="4" t="inlineStr">
        <is>
          <t>Leadership, People &amp; Continuous Improvement</t>
        </is>
      </c>
      <c r="B39" s="4" t="inlineStr">
        <is>
          <t>Continuous Improvement &amp; Cost</t>
        </is>
      </c>
      <c r="C39" s="4" t="inlineStr">
        <is>
          <t>Cost, labor &amp; budget ownership</t>
        </is>
      </c>
      <c r="D39" s="6" t="inlineStr">
        <is>
          <t>EM-06</t>
        </is>
      </c>
      <c r="E39" s="4" t="inlineStr">
        <is>
          <t>Managing budgets, costs, and external vendor or contractor relationships.</t>
        </is>
      </c>
      <c r="F39" s="4" t="inlineStr">
        <is>
          <t>Horngren, Datar &amp; Rajan, Horngren's Cost Accounting: A Managerial Emphasis, 17th ed. (Pearson, 2023) — cost and labor ownership is how operations are held to budget</t>
        </is>
      </c>
      <c r="G39" s="4" t="inlineStr">
        <is>
          <t>Depth: Tracks spend and processes vendor invoices under guidance.
Evidenced by: Logs yield and labor data accurately for the shift.
Scope: one machine / task under direction.</t>
        </is>
      </c>
      <c r="H39" s="4" t="inlineStr">
        <is>
          <t>Depth: Tracks spend and processes vendor invoices under guidance.
Evidenced by: Points out a waste or overtime driver on their area.
Scope: a process area across a shift.</t>
        </is>
      </c>
      <c r="I39" s="4" t="inlineStr">
        <is>
          <t>Depth: Manages a team budget and standard vendor relationships with normal review.
Evidenced by: Cuts a controllable cost on the floor unprompted.
Scope: multiple process areas.</t>
        </is>
      </c>
      <c r="J39" s="4" t="inlineStr">
        <is>
          <t>Depth: Independently controls budgets under pressure and negotiates difficult vendor terms.
Evidenced by: Sets the yield and labor-efficiency standard the line runs to.
Scope: a line / process end to end (IC terminal).</t>
        </is>
      </c>
      <c r="K39" s="4" t="inlineStr">
        <is>
          <t>Depth: Defines budget and vendor practices others adopt and rescues failing vendor relationships.
Evidenced by: Manages the crew to its labor and cost targets.
Scope: a shift crew.</t>
        </is>
      </c>
      <c r="L39" s="4" t="inlineStr">
        <is>
          <t>Depth: Sets org-wide budget and vendor strategy and anticipates cost and supplier risks.
Evidenced by: Drives a labor-variance improvement other areas adopt.
Scope: a department across shifts.</t>
        </is>
      </c>
      <c r="M39" s="4" t="inlineStr">
        <is>
          <t>Depth: Defines exemplary budget and vendor management for the field and influences practice.
Evidenced by: Is accountable for the plant's operations P&amp;L.
Scope: the whole plant.</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41"/>
  <sheetViews>
    <sheetView workbookViewId="0">
      <pane ySplit="3" topLeftCell="A4" activePane="bottomLeft" state="frozen"/>
      <selection pane="bottomLeft" activeCell="A1" sqref="A1"/>
    </sheetView>
  </sheetViews>
  <sheetFormatPr baseColWidth="8" defaultRowHeight="15"/>
  <cols>
    <col width="26" customWidth="1" min="1" max="1"/>
    <col width="34" customWidth="1" min="2" max="2"/>
    <col width="9" customWidth="1" min="3" max="3"/>
    <col width="7" customWidth="1" min="4" max="4"/>
    <col width="7" customWidth="1" min="5" max="5"/>
    <col width="9" customWidth="1" min="6" max="6"/>
    <col width="7" customWidth="1" min="7" max="7"/>
    <col width="7" customWidth="1" min="8" max="8"/>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s>
  <sheetData>
    <row r="1">
      <c r="A1" s="1" t="inlineStr">
        <is>
          <t>Target level</t>
        </is>
      </c>
      <c r="B1" s="7" t="inlineStr">
        <is>
          <t>L4</t>
        </is>
      </c>
      <c r="D1" s="2" t="inlineStr">
        <is>
          <t>Enter one of: L1, L2, L3, L4, L5, L6, L7. Blue cells are inputs (1-6, the P number).</t>
        </is>
      </c>
    </row>
    <row r="3">
      <c r="A3" s="1" t="inlineStr">
        <is>
          <t>Key Area</t>
        </is>
      </c>
      <c r="B3" s="1" t="inlineStr">
        <is>
          <t>Competency</t>
        </is>
      </c>
      <c r="C3" s="1" t="inlineStr">
        <is>
          <t>Target P</t>
        </is>
      </c>
      <c r="D3" s="1" t="inlineStr">
        <is>
          <t>Self</t>
        </is>
      </c>
      <c r="E3" s="1" t="inlineStr">
        <is>
          <t>Peer</t>
        </is>
      </c>
      <c r="F3" s="1" t="inlineStr">
        <is>
          <t>Manager</t>
        </is>
      </c>
      <c r="G3" s="1" t="inlineStr">
        <is>
          <t>Avg</t>
        </is>
      </c>
      <c r="H3" s="1" t="inlineStr">
        <is>
          <t>Gap</t>
        </is>
      </c>
      <c r="J3" s="1" t="inlineStr">
        <is>
          <t>L1</t>
        </is>
      </c>
      <c r="K3" s="1" t="inlineStr">
        <is>
          <t>L2</t>
        </is>
      </c>
      <c r="L3" s="1" t="inlineStr">
        <is>
          <t>L3</t>
        </is>
      </c>
      <c r="M3" s="1" t="inlineStr">
        <is>
          <t>L4</t>
        </is>
      </c>
      <c r="N3" s="1" t="inlineStr">
        <is>
          <t>L5</t>
        </is>
      </c>
      <c r="O3" s="1" t="inlineStr">
        <is>
          <t>L6</t>
        </is>
      </c>
      <c r="P3" s="1" t="inlineStr">
        <is>
          <t>L7</t>
        </is>
      </c>
    </row>
    <row r="4">
      <c r="A4" s="2" t="inlineStr">
        <is>
          <t>Food Safety &amp; Regulatory Compliance</t>
        </is>
      </c>
      <c r="B4" s="2" t="inlineStr">
        <is>
          <t>Pasteurization &amp; flow-diversion control</t>
        </is>
      </c>
      <c r="C4" s="2">
        <f>IFERROR(INDEX(J4:P4,MATCH($B$1,$J$3:$P$3,0)),"")</f>
        <v/>
      </c>
      <c r="D4" s="7" t="n"/>
      <c r="E4" s="7" t="n"/>
      <c r="F4" s="7" t="n"/>
      <c r="G4" s="2">
        <f>IFERROR(AVERAGE(D4:F4),"")</f>
        <v/>
      </c>
      <c r="H4" s="2">
        <f>IFERROR(G4-C4,"")</f>
        <v/>
      </c>
      <c r="J4" s="2" t="n">
        <v>1</v>
      </c>
      <c r="K4" s="2" t="n">
        <v>2</v>
      </c>
      <c r="L4" s="2" t="n">
        <v>3</v>
      </c>
      <c r="M4" s="2" t="n">
        <v>4</v>
      </c>
      <c r="N4" s="2" t="n">
        <v>4</v>
      </c>
      <c r="O4" s="2" t="n">
        <v>5</v>
      </c>
      <c r="P4" s="2" t="n">
        <v>6</v>
      </c>
    </row>
    <row r="5">
      <c r="A5" s="2" t="inlineStr">
        <is>
          <t>Food Safety &amp; Regulatory Compliance</t>
        </is>
      </c>
      <c r="B5" s="2" t="inlineStr">
        <is>
          <t>Thermal-process legal limits &amp; records</t>
        </is>
      </c>
      <c r="C5" s="2">
        <f>IFERROR(INDEX(J5:P5,MATCH($B$1,$J$3:$P$3,0)),"")</f>
        <v/>
      </c>
      <c r="D5" s="7" t="n"/>
      <c r="E5" s="7" t="n"/>
      <c r="F5" s="7" t="n"/>
      <c r="G5" s="2">
        <f>IFERROR(AVERAGE(D5:F5),"")</f>
        <v/>
      </c>
      <c r="H5" s="2">
        <f>IFERROR(G5-C5,"")</f>
        <v/>
      </c>
      <c r="J5" s="2" t="n">
        <v>1</v>
      </c>
      <c r="K5" s="2" t="n">
        <v>2</v>
      </c>
      <c r="L5" s="2" t="n">
        <v>3</v>
      </c>
      <c r="M5" s="2" t="n">
        <v>4</v>
      </c>
      <c r="N5" s="2" t="n">
        <v>4</v>
      </c>
      <c r="O5" s="2" t="n">
        <v>5</v>
      </c>
      <c r="P5" s="2" t="n">
        <v>6</v>
      </c>
    </row>
    <row r="6">
      <c r="A6" s="2" t="inlineStr">
        <is>
          <t>Food Safety &amp; Regulatory Compliance</t>
        </is>
      </c>
      <c r="B6" s="2" t="inlineStr">
        <is>
          <t>HACCP plan &amp; CCP monitoring</t>
        </is>
      </c>
      <c r="C6" s="2">
        <f>IFERROR(INDEX(J6:P6,MATCH($B$1,$J$3:$P$3,0)),"")</f>
        <v/>
      </c>
      <c r="D6" s="7" t="n"/>
      <c r="E6" s="7" t="n"/>
      <c r="F6" s="7" t="n"/>
      <c r="G6" s="2">
        <f>IFERROR(AVERAGE(D6:F6),"")</f>
        <v/>
      </c>
      <c r="H6" s="2">
        <f>IFERROR(G6-C6,"")</f>
        <v/>
      </c>
      <c r="J6" s="2" t="n">
        <v>1</v>
      </c>
      <c r="K6" s="2" t="n">
        <v>2</v>
      </c>
      <c r="L6" s="2" t="n">
        <v>3</v>
      </c>
      <c r="M6" s="2" t="n">
        <v>4</v>
      </c>
      <c r="N6" s="2" t="n">
        <v>4</v>
      </c>
      <c r="O6" s="2" t="n">
        <v>5</v>
      </c>
      <c r="P6" s="2" t="n">
        <v>6</v>
      </c>
    </row>
    <row r="7">
      <c r="A7" s="2" t="inlineStr">
        <is>
          <t>Food Safety &amp; Regulatory Compliance</t>
        </is>
      </c>
      <c r="B7" s="2" t="inlineStr">
        <is>
          <t>Preventive controls &amp; PCQI oversight</t>
        </is>
      </c>
      <c r="C7" s="2">
        <f>IFERROR(INDEX(J7:P7,MATCH($B$1,$J$3:$P$3,0)),"")</f>
        <v/>
      </c>
      <c r="D7" s="7" t="n"/>
      <c r="E7" s="7" t="n"/>
      <c r="F7" s="7" t="n"/>
      <c r="G7" s="2">
        <f>IFERROR(AVERAGE(D7:F7),"")</f>
        <v/>
      </c>
      <c r="H7" s="2">
        <f>IFERROR(G7-C7,"")</f>
        <v/>
      </c>
      <c r="J7" s="2" t="n">
        <v>1</v>
      </c>
      <c r="K7" s="2" t="n">
        <v>2</v>
      </c>
      <c r="L7" s="2" t="n">
        <v>3</v>
      </c>
      <c r="M7" s="2" t="n">
        <v>4</v>
      </c>
      <c r="N7" s="2" t="n">
        <v>4</v>
      </c>
      <c r="O7" s="2" t="n">
        <v>5</v>
      </c>
      <c r="P7" s="2" t="n">
        <v>6</v>
      </c>
    </row>
    <row r="8">
      <c r="A8" s="2" t="inlineStr">
        <is>
          <t>Food Safety &amp; Regulatory Compliance</t>
        </is>
      </c>
      <c r="B8" s="2" t="inlineStr">
        <is>
          <t>Environmental monitoring &amp; pathogen control</t>
        </is>
      </c>
      <c r="C8" s="2">
        <f>IFERROR(INDEX(J8:P8,MATCH($B$1,$J$3:$P$3,0)),"")</f>
        <v/>
      </c>
      <c r="D8" s="7" t="n"/>
      <c r="E8" s="7" t="n"/>
      <c r="F8" s="7" t="n"/>
      <c r="G8" s="2">
        <f>IFERROR(AVERAGE(D8:F8),"")</f>
        <v/>
      </c>
      <c r="H8" s="2">
        <f>IFERROR(G8-C8,"")</f>
        <v/>
      </c>
      <c r="J8" s="2" t="n">
        <v>1</v>
      </c>
      <c r="K8" s="2" t="n">
        <v>2</v>
      </c>
      <c r="L8" s="2" t="n">
        <v>3</v>
      </c>
      <c r="M8" s="2" t="n">
        <v>4</v>
      </c>
      <c r="N8" s="2" t="n">
        <v>4</v>
      </c>
      <c r="O8" s="2" t="n">
        <v>5</v>
      </c>
      <c r="P8" s="2" t="n">
        <v>6</v>
      </c>
    </row>
    <row r="9">
      <c r="A9" s="2" t="inlineStr">
        <is>
          <t>Food Safety &amp; Regulatory Compliance</t>
        </is>
      </c>
      <c r="B9" s="2" t="inlineStr">
        <is>
          <t>Allergen control &amp; changeover</t>
        </is>
      </c>
      <c r="C9" s="2">
        <f>IFERROR(INDEX(J9:P9,MATCH($B$1,$J$3:$P$3,0)),"")</f>
        <v/>
      </c>
      <c r="D9" s="7" t="n"/>
      <c r="E9" s="7" t="n"/>
      <c r="F9" s="7" t="n"/>
      <c r="G9" s="2">
        <f>IFERROR(AVERAGE(D9:F9),"")</f>
        <v/>
      </c>
      <c r="H9" s="2">
        <f>IFERROR(G9-C9,"")</f>
        <v/>
      </c>
      <c r="J9" s="2" t="n">
        <v>1</v>
      </c>
      <c r="K9" s="2" t="n">
        <v>2</v>
      </c>
      <c r="L9" s="2" t="n">
        <v>3</v>
      </c>
      <c r="M9" s="2" t="n">
        <v>4</v>
      </c>
      <c r="N9" s="2" t="n">
        <v>4</v>
      </c>
      <c r="O9" s="2" t="n">
        <v>5</v>
      </c>
      <c r="P9" s="2" t="n">
        <v>6</v>
      </c>
    </row>
    <row r="10">
      <c r="A10" s="2" t="inlineStr">
        <is>
          <t>Food Safety &amp; Regulatory Compliance</t>
        </is>
      </c>
      <c r="B10" s="2" t="inlineStr">
        <is>
          <t>PMO &amp; Grade A regulatory recordkeeping</t>
        </is>
      </c>
      <c r="C10" s="2">
        <f>IFERROR(INDEX(J10:P10,MATCH($B$1,$J$3:$P$3,0)),"")</f>
        <v/>
      </c>
      <c r="D10" s="7" t="n"/>
      <c r="E10" s="7" t="n"/>
      <c r="F10" s="7" t="n"/>
      <c r="G10" s="2">
        <f>IFERROR(AVERAGE(D10:F10),"")</f>
        <v/>
      </c>
      <c r="H10" s="2">
        <f>IFERROR(G10-C10,"")</f>
        <v/>
      </c>
      <c r="J10" s="2" t="n">
        <v>1</v>
      </c>
      <c r="K10" s="2" t="n">
        <v>2</v>
      </c>
      <c r="L10" s="2" t="n">
        <v>3</v>
      </c>
      <c r="M10" s="2" t="n">
        <v>4</v>
      </c>
      <c r="N10" s="2" t="n">
        <v>4</v>
      </c>
      <c r="O10" s="2" t="n">
        <v>5</v>
      </c>
      <c r="P10" s="2" t="n">
        <v>6</v>
      </c>
    </row>
    <row r="11">
      <c r="A11" s="2" t="inlineStr">
        <is>
          <t>Food Safety &amp; Regulatory Compliance</t>
        </is>
      </c>
      <c r="B11" s="2" t="inlineStr">
        <is>
          <t>GFSI audit &amp; certification readiness</t>
        </is>
      </c>
      <c r="C11" s="2">
        <f>IFERROR(INDEX(J11:P11,MATCH($B$1,$J$3:$P$3,0)),"")</f>
        <v/>
      </c>
      <c r="D11" s="7" t="n"/>
      <c r="E11" s="7" t="n"/>
      <c r="F11" s="7" t="n"/>
      <c r="G11" s="2">
        <f>IFERROR(AVERAGE(D11:F11),"")</f>
        <v/>
      </c>
      <c r="H11" s="2">
        <f>IFERROR(G11-C11,"")</f>
        <v/>
      </c>
      <c r="J11" s="2" t="n">
        <v>1</v>
      </c>
      <c r="K11" s="2" t="n">
        <v>2</v>
      </c>
      <c r="L11" s="2" t="n">
        <v>3</v>
      </c>
      <c r="M11" s="2" t="n">
        <v>4</v>
      </c>
      <c r="N11" s="2" t="n">
        <v>4</v>
      </c>
      <c r="O11" s="2" t="n">
        <v>5</v>
      </c>
      <c r="P11" s="2" t="n">
        <v>6</v>
      </c>
    </row>
    <row r="12">
      <c r="A12" s="2" t="inlineStr">
        <is>
          <t>Food Safety &amp; Regulatory Compliance</t>
        </is>
      </c>
      <c r="B12" s="2" t="inlineStr">
        <is>
          <t>GMP &amp; personnel hygiene</t>
        </is>
      </c>
      <c r="C12" s="2">
        <f>IFERROR(INDEX(J12:P12,MATCH($B$1,$J$3:$P$3,0)),"")</f>
        <v/>
      </c>
      <c r="D12" s="7" t="n"/>
      <c r="E12" s="7" t="n"/>
      <c r="F12" s="7" t="n"/>
      <c r="G12" s="2">
        <f>IFERROR(AVERAGE(D12:F12),"")</f>
        <v/>
      </c>
      <c r="H12" s="2">
        <f>IFERROR(G12-C12,"")</f>
        <v/>
      </c>
      <c r="J12" s="2" t="n">
        <v>1</v>
      </c>
      <c r="K12" s="2" t="n">
        <v>2</v>
      </c>
      <c r="L12" s="2" t="n">
        <v>3</v>
      </c>
      <c r="M12" s="2" t="n">
        <v>4</v>
      </c>
      <c r="N12" s="2" t="n">
        <v>4</v>
      </c>
      <c r="O12" s="2" t="n">
        <v>5</v>
      </c>
      <c r="P12" s="2" t="n">
        <v>6</v>
      </c>
    </row>
    <row r="13">
      <c r="A13" s="2" t="inlineStr">
        <is>
          <t>Process Operations &amp; Control</t>
        </is>
      </c>
      <c r="B13" s="2" t="inlineStr">
        <is>
          <t>Raw milk receiving &amp; grading</t>
        </is>
      </c>
      <c r="C13" s="2">
        <f>IFERROR(INDEX(J13:P13,MATCH($B$1,$J$3:$P$3,0)),"")</f>
        <v/>
      </c>
      <c r="D13" s="7" t="n"/>
      <c r="E13" s="7" t="n"/>
      <c r="F13" s="7" t="n"/>
      <c r="G13" s="2">
        <f>IFERROR(AVERAGE(D13:F13),"")</f>
        <v/>
      </c>
      <c r="H13" s="2">
        <f>IFERROR(G13-C13,"")</f>
        <v/>
      </c>
      <c r="J13" s="2" t="n">
        <v>1</v>
      </c>
      <c r="K13" s="2" t="n">
        <v>2</v>
      </c>
      <c r="L13" s="2" t="n">
        <v>3</v>
      </c>
      <c r="M13" s="2" t="n">
        <v>4</v>
      </c>
      <c r="N13" s="2" t="n">
        <v>4</v>
      </c>
      <c r="O13" s="2" t="n">
        <v>5</v>
      </c>
      <c r="P13" s="2" t="n">
        <v>6</v>
      </c>
    </row>
    <row r="14">
      <c r="A14" s="2" t="inlineStr">
        <is>
          <t>Process Operations &amp; Control</t>
        </is>
      </c>
      <c r="B14" s="2" t="inlineStr">
        <is>
          <t>Separation &amp; standardization</t>
        </is>
      </c>
      <c r="C14" s="2">
        <f>IFERROR(INDEX(J14:P14,MATCH($B$1,$J$3:$P$3,0)),"")</f>
        <v/>
      </c>
      <c r="D14" s="7" t="n"/>
      <c r="E14" s="7" t="n"/>
      <c r="F14" s="7" t="n"/>
      <c r="G14" s="2">
        <f>IFERROR(AVERAGE(D14:F14),"")</f>
        <v/>
      </c>
      <c r="H14" s="2">
        <f>IFERROR(G14-C14,"")</f>
        <v/>
      </c>
      <c r="J14" s="2" t="n">
        <v>1</v>
      </c>
      <c r="K14" s="2" t="n">
        <v>2</v>
      </c>
      <c r="L14" s="2" t="n">
        <v>3</v>
      </c>
      <c r="M14" s="2" t="n">
        <v>4</v>
      </c>
      <c r="N14" s="2" t="n">
        <v>4</v>
      </c>
      <c r="O14" s="2" t="n">
        <v>5</v>
      </c>
      <c r="P14" s="2" t="n">
        <v>6</v>
      </c>
    </row>
    <row r="15">
      <c r="A15" s="2" t="inlineStr">
        <is>
          <t>Process Operations &amp; Control</t>
        </is>
      </c>
      <c r="B15" s="2" t="inlineStr">
        <is>
          <t>Thermal processing operation (HTST/HHST/UHT)</t>
        </is>
      </c>
      <c r="C15" s="2">
        <f>IFERROR(INDEX(J15:P15,MATCH($B$1,$J$3:$P$3,0)),"")</f>
        <v/>
      </c>
      <c r="D15" s="7" t="n"/>
      <c r="E15" s="7" t="n"/>
      <c r="F15" s="7" t="n"/>
      <c r="G15" s="2">
        <f>IFERROR(AVERAGE(D15:F15),"")</f>
        <v/>
      </c>
      <c r="H15" s="2">
        <f>IFERROR(G15-C15,"")</f>
        <v/>
      </c>
      <c r="J15" s="2" t="n">
        <v>1</v>
      </c>
      <c r="K15" s="2" t="n">
        <v>2</v>
      </c>
      <c r="L15" s="2" t="n">
        <v>3</v>
      </c>
      <c r="M15" s="2" t="n">
        <v>4</v>
      </c>
      <c r="N15" s="2" t="n">
        <v>4</v>
      </c>
      <c r="O15" s="2" t="n">
        <v>5</v>
      </c>
      <c r="P15" s="2" t="n">
        <v>6</v>
      </c>
    </row>
    <row r="16">
      <c r="A16" s="2" t="inlineStr">
        <is>
          <t>Process Operations &amp; Control</t>
        </is>
      </c>
      <c r="B16" s="2" t="inlineStr">
        <is>
          <t>Homogenization &amp; product finishing</t>
        </is>
      </c>
      <c r="C16" s="2">
        <f>IFERROR(INDEX(J16:P16,MATCH($B$1,$J$3:$P$3,0)),"")</f>
        <v/>
      </c>
      <c r="D16" s="7" t="n"/>
      <c r="E16" s="7" t="n"/>
      <c r="F16" s="7" t="n"/>
      <c r="G16" s="2">
        <f>IFERROR(AVERAGE(D16:F16),"")</f>
        <v/>
      </c>
      <c r="H16" s="2">
        <f>IFERROR(G16-C16,"")</f>
        <v/>
      </c>
      <c r="J16" s="2" t="n">
        <v>1</v>
      </c>
      <c r="K16" s="2" t="n">
        <v>2</v>
      </c>
      <c r="L16" s="2" t="n">
        <v>3</v>
      </c>
      <c r="M16" s="2" t="n">
        <v>4</v>
      </c>
      <c r="N16" s="2" t="n">
        <v>4</v>
      </c>
      <c r="O16" s="2" t="n">
        <v>5</v>
      </c>
      <c r="P16" s="2" t="n">
        <v>6</v>
      </c>
    </row>
    <row r="17">
      <c r="A17" s="2" t="inlineStr">
        <is>
          <t>Process Operations &amp; Control</t>
        </is>
      </c>
      <c r="B17" s="2" t="inlineStr">
        <is>
          <t>Filling &amp; packaging operation</t>
        </is>
      </c>
      <c r="C17" s="2">
        <f>IFERROR(INDEX(J17:P17,MATCH($B$1,$J$3:$P$3,0)),"")</f>
        <v/>
      </c>
      <c r="D17" s="7" t="n"/>
      <c r="E17" s="7" t="n"/>
      <c r="F17" s="7" t="n"/>
      <c r="G17" s="2">
        <f>IFERROR(AVERAGE(D17:F17),"")</f>
        <v/>
      </c>
      <c r="H17" s="2">
        <f>IFERROR(G17-C17,"")</f>
        <v/>
      </c>
      <c r="J17" s="2" t="n">
        <v>1</v>
      </c>
      <c r="K17" s="2" t="n">
        <v>2</v>
      </c>
      <c r="L17" s="2" t="n">
        <v>3</v>
      </c>
      <c r="M17" s="2" t="n">
        <v>4</v>
      </c>
      <c r="N17" s="2" t="n">
        <v>4</v>
      </c>
      <c r="O17" s="2" t="n">
        <v>5</v>
      </c>
      <c r="P17" s="2" t="n">
        <v>6</v>
      </c>
    </row>
    <row r="18">
      <c r="A18" s="2" t="inlineStr">
        <is>
          <t>Process Operations &amp; Control</t>
        </is>
      </c>
      <c r="B18" s="2" t="inlineStr">
        <is>
          <t>Cold chain &amp; finished-goods integrity</t>
        </is>
      </c>
      <c r="C18" s="2">
        <f>IFERROR(INDEX(J18:P18,MATCH($B$1,$J$3:$P$3,0)),"")</f>
        <v/>
      </c>
      <c r="D18" s="7" t="n"/>
      <c r="E18" s="7" t="n"/>
      <c r="F18" s="7" t="n"/>
      <c r="G18" s="2">
        <f>IFERROR(AVERAGE(D18:F18),"")</f>
        <v/>
      </c>
      <c r="H18" s="2">
        <f>IFERROR(G18-C18,"")</f>
        <v/>
      </c>
      <c r="J18" s="2" t="n">
        <v>1</v>
      </c>
      <c r="K18" s="2" t="n">
        <v>2</v>
      </c>
      <c r="L18" s="2" t="n">
        <v>3</v>
      </c>
      <c r="M18" s="2" t="n">
        <v>4</v>
      </c>
      <c r="N18" s="2" t="n">
        <v>4</v>
      </c>
      <c r="O18" s="2" t="n">
        <v>5</v>
      </c>
      <c r="P18" s="2" t="n">
        <v>6</v>
      </c>
    </row>
    <row r="19">
      <c r="A19" s="2" t="inlineStr">
        <is>
          <t>Sanitation &amp; Hygiene</t>
        </is>
      </c>
      <c r="B19" s="2" t="inlineStr">
        <is>
          <t>CIP cycle execution &amp; verification</t>
        </is>
      </c>
      <c r="C19" s="2">
        <f>IFERROR(INDEX(J19:P19,MATCH($B$1,$J$3:$P$3,0)),"")</f>
        <v/>
      </c>
      <c r="D19" s="7" t="n"/>
      <c r="E19" s="7" t="n"/>
      <c r="F19" s="7" t="n"/>
      <c r="G19" s="2">
        <f>IFERROR(AVERAGE(D19:F19),"")</f>
        <v/>
      </c>
      <c r="H19" s="2">
        <f>IFERROR(G19-C19,"")</f>
        <v/>
      </c>
      <c r="J19" s="2" t="n">
        <v>1</v>
      </c>
      <c r="K19" s="2" t="n">
        <v>2</v>
      </c>
      <c r="L19" s="2" t="n">
        <v>3</v>
      </c>
      <c r="M19" s="2" t="n">
        <v>4</v>
      </c>
      <c r="N19" s="2" t="n">
        <v>4</v>
      </c>
      <c r="O19" s="2" t="n">
        <v>5</v>
      </c>
      <c r="P19" s="2" t="n">
        <v>6</v>
      </c>
    </row>
    <row r="20">
      <c r="A20" s="2" t="inlineStr">
        <is>
          <t>Sanitation &amp; Hygiene</t>
        </is>
      </c>
      <c r="B20" s="2" t="inlineStr">
        <is>
          <t>Cleaning chemistry &amp; titration control</t>
        </is>
      </c>
      <c r="C20" s="2">
        <f>IFERROR(INDEX(J20:P20,MATCH($B$1,$J$3:$P$3,0)),"")</f>
        <v/>
      </c>
      <c r="D20" s="7" t="n"/>
      <c r="E20" s="7" t="n"/>
      <c r="F20" s="7" t="n"/>
      <c r="G20" s="2">
        <f>IFERROR(AVERAGE(D20:F20),"")</f>
        <v/>
      </c>
      <c r="H20" s="2">
        <f>IFERROR(G20-C20,"")</f>
        <v/>
      </c>
      <c r="J20" s="2" t="n">
        <v>1</v>
      </c>
      <c r="K20" s="2" t="n">
        <v>2</v>
      </c>
      <c r="L20" s="2" t="n">
        <v>3</v>
      </c>
      <c r="M20" s="2" t="n">
        <v>4</v>
      </c>
      <c r="N20" s="2" t="n">
        <v>4</v>
      </c>
      <c r="O20" s="2" t="n">
        <v>5</v>
      </c>
      <c r="P20" s="2" t="n">
        <v>6</v>
      </c>
    </row>
    <row r="21">
      <c r="A21" s="2" t="inlineStr">
        <is>
          <t>Sanitation &amp; Hygiene</t>
        </is>
      </c>
      <c r="B21" s="2" t="inlineStr">
        <is>
          <t>COP &amp; manual sanitation</t>
        </is>
      </c>
      <c r="C21" s="2">
        <f>IFERROR(INDEX(J21:P21,MATCH($B$1,$J$3:$P$3,0)),"")</f>
        <v/>
      </c>
      <c r="D21" s="7" t="n"/>
      <c r="E21" s="7" t="n"/>
      <c r="F21" s="7" t="n"/>
      <c r="G21" s="2">
        <f>IFERROR(AVERAGE(D21:F21),"")</f>
        <v/>
      </c>
      <c r="H21" s="2">
        <f>IFERROR(G21-C21,"")</f>
        <v/>
      </c>
      <c r="J21" s="2" t="n">
        <v>1</v>
      </c>
      <c r="K21" s="2" t="n">
        <v>2</v>
      </c>
      <c r="L21" s="2" t="n">
        <v>3</v>
      </c>
      <c r="M21" s="2" t="n">
        <v>4</v>
      </c>
      <c r="N21" s="2" t="n">
        <v>4</v>
      </c>
      <c r="O21" s="2" t="n">
        <v>5</v>
      </c>
      <c r="P21" s="2" t="n">
        <v>6</v>
      </c>
    </row>
    <row r="22">
      <c r="A22" s="2" t="inlineStr">
        <is>
          <t>Sanitation &amp; Hygiene</t>
        </is>
      </c>
      <c r="B22" s="2" t="inlineStr">
        <is>
          <t>Hygienic design &amp; 3-A conformance</t>
        </is>
      </c>
      <c r="C22" s="2">
        <f>IFERROR(INDEX(J22:P22,MATCH($B$1,$J$3:$P$3,0)),"")</f>
        <v/>
      </c>
      <c r="D22" s="7" t="n"/>
      <c r="E22" s="7" t="n"/>
      <c r="F22" s="7" t="n"/>
      <c r="G22" s="2">
        <f>IFERROR(AVERAGE(D22:F22),"")</f>
        <v/>
      </c>
      <c r="H22" s="2">
        <f>IFERROR(G22-C22,"")</f>
        <v/>
      </c>
      <c r="J22" s="2" t="n">
        <v>1</v>
      </c>
      <c r="K22" s="2" t="n">
        <v>2</v>
      </c>
      <c r="L22" s="2" t="n">
        <v>3</v>
      </c>
      <c r="M22" s="2" t="n">
        <v>4</v>
      </c>
      <c r="N22" s="2" t="n">
        <v>4</v>
      </c>
      <c r="O22" s="2" t="n">
        <v>5</v>
      </c>
      <c r="P22" s="2" t="n">
        <v>6</v>
      </c>
    </row>
    <row r="23">
      <c r="A23" s="2" t="inlineStr">
        <is>
          <t>Equipment, Utilities &amp; Reliability</t>
        </is>
      </c>
      <c r="B23" s="2" t="inlineStr">
        <is>
          <t>Ammonia / CO2 refrigeration operation</t>
        </is>
      </c>
      <c r="C23" s="2">
        <f>IFERROR(INDEX(J23:P23,MATCH($B$1,$J$3:$P$3,0)),"")</f>
        <v/>
      </c>
      <c r="D23" s="7" t="n"/>
      <c r="E23" s="7" t="n"/>
      <c r="F23" s="7" t="n"/>
      <c r="G23" s="2">
        <f>IFERROR(AVERAGE(D23:F23),"")</f>
        <v/>
      </c>
      <c r="H23" s="2">
        <f>IFERROR(G23-C23,"")</f>
        <v/>
      </c>
      <c r="J23" s="2" t="n">
        <v>1</v>
      </c>
      <c r="K23" s="2" t="n">
        <v>2</v>
      </c>
      <c r="L23" s="2" t="n">
        <v>3</v>
      </c>
      <c r="M23" s="2" t="n">
        <v>4</v>
      </c>
      <c r="N23" s="2" t="n">
        <v>4</v>
      </c>
      <c r="O23" s="2" t="n">
        <v>5</v>
      </c>
      <c r="P23" s="2" t="n">
        <v>6</v>
      </c>
    </row>
    <row r="24">
      <c r="A24" s="2" t="inlineStr">
        <is>
          <t>Equipment, Utilities &amp; Reliability</t>
        </is>
      </c>
      <c r="B24" s="2" t="inlineStr">
        <is>
          <t>Boiler &amp; steam system operation</t>
        </is>
      </c>
      <c r="C24" s="2">
        <f>IFERROR(INDEX(J24:P24,MATCH($B$1,$J$3:$P$3,0)),"")</f>
        <v/>
      </c>
      <c r="D24" s="7" t="n"/>
      <c r="E24" s="7" t="n"/>
      <c r="F24" s="7" t="n"/>
      <c r="G24" s="2">
        <f>IFERROR(AVERAGE(D24:F24),"")</f>
        <v/>
      </c>
      <c r="H24" s="2">
        <f>IFERROR(G24-C24,"")</f>
        <v/>
      </c>
      <c r="J24" s="2" t="n">
        <v>1</v>
      </c>
      <c r="K24" s="2" t="n">
        <v>2</v>
      </c>
      <c r="L24" s="2" t="n">
        <v>3</v>
      </c>
      <c r="M24" s="2" t="n">
        <v>4</v>
      </c>
      <c r="N24" s="2" t="n">
        <v>4</v>
      </c>
      <c r="O24" s="2" t="n">
        <v>5</v>
      </c>
      <c r="P24" s="2" t="n">
        <v>6</v>
      </c>
    </row>
    <row r="25">
      <c r="A25" s="2" t="inlineStr">
        <is>
          <t>Equipment, Utilities &amp; Reliability</t>
        </is>
      </c>
      <c r="B25" s="2" t="inlineStr">
        <is>
          <t>Autonomous &amp; preventive maintenance</t>
        </is>
      </c>
      <c r="C25" s="2">
        <f>IFERROR(INDEX(J25:P25,MATCH($B$1,$J$3:$P$3,0)),"")</f>
        <v/>
      </c>
      <c r="D25" s="7" t="n"/>
      <c r="E25" s="7" t="n"/>
      <c r="F25" s="7" t="n"/>
      <c r="G25" s="2">
        <f>IFERROR(AVERAGE(D25:F25),"")</f>
        <v/>
      </c>
      <c r="H25" s="2">
        <f>IFERROR(G25-C25,"")</f>
        <v/>
      </c>
      <c r="J25" s="2" t="n">
        <v>1</v>
      </c>
      <c r="K25" s="2" t="n">
        <v>2</v>
      </c>
      <c r="L25" s="2" t="n">
        <v>3</v>
      </c>
      <c r="M25" s="2" t="n">
        <v>4</v>
      </c>
      <c r="N25" s="2" t="n">
        <v>4</v>
      </c>
      <c r="O25" s="2" t="n">
        <v>5</v>
      </c>
      <c r="P25" s="2" t="n">
        <v>6</v>
      </c>
    </row>
    <row r="26">
      <c r="A26" s="2" t="inlineStr">
        <is>
          <t>Equipment, Utilities &amp; Reliability</t>
        </is>
      </c>
      <c r="B26" s="2" t="inlineStr">
        <is>
          <t>Equipment troubleshooting &amp; breakdown recovery</t>
        </is>
      </c>
      <c r="C26" s="2">
        <f>IFERROR(INDEX(J26:P26,MATCH($B$1,$J$3:$P$3,0)),"")</f>
        <v/>
      </c>
      <c r="D26" s="7" t="n"/>
      <c r="E26" s="7" t="n"/>
      <c r="F26" s="7" t="n"/>
      <c r="G26" s="2">
        <f>IFERROR(AVERAGE(D26:F26),"")</f>
        <v/>
      </c>
      <c r="H26" s="2">
        <f>IFERROR(G26-C26,"")</f>
        <v/>
      </c>
      <c r="J26" s="2" t="n">
        <v>1</v>
      </c>
      <c r="K26" s="2" t="n">
        <v>2</v>
      </c>
      <c r="L26" s="2" t="n">
        <v>3</v>
      </c>
      <c r="M26" s="2" t="n">
        <v>4</v>
      </c>
      <c r="N26" s="2" t="n">
        <v>4</v>
      </c>
      <c r="O26" s="2" t="n">
        <v>5</v>
      </c>
      <c r="P26" s="2" t="n">
        <v>6</v>
      </c>
    </row>
    <row r="27">
      <c r="A27" s="2" t="inlineStr">
        <is>
          <t>Equipment, Utilities &amp; Reliability</t>
        </is>
      </c>
      <c r="B27" s="2" t="inlineStr">
        <is>
          <t>Utilities stewardship (water/air/energy)</t>
        </is>
      </c>
      <c r="C27" s="2">
        <f>IFERROR(INDEX(J27:P27,MATCH($B$1,$J$3:$P$3,0)),"")</f>
        <v/>
      </c>
      <c r="D27" s="7" t="n"/>
      <c r="E27" s="7" t="n"/>
      <c r="F27" s="7" t="n"/>
      <c r="G27" s="2">
        <f>IFERROR(AVERAGE(D27:F27),"")</f>
        <v/>
      </c>
      <c r="H27" s="2">
        <f>IFERROR(G27-C27,"")</f>
        <v/>
      </c>
      <c r="J27" s="2" t="n">
        <v>1</v>
      </c>
      <c r="K27" s="2" t="n">
        <v>2</v>
      </c>
      <c r="L27" s="2" t="n">
        <v>3</v>
      </c>
      <c r="M27" s="2" t="n">
        <v>4</v>
      </c>
      <c r="N27" s="2" t="n">
        <v>4</v>
      </c>
      <c r="O27" s="2" t="n">
        <v>5</v>
      </c>
      <c r="P27" s="2" t="n">
        <v>6</v>
      </c>
    </row>
    <row r="28">
      <c r="A28" s="2" t="inlineStr">
        <is>
          <t>Equipment, Utilities &amp; Reliability</t>
        </is>
      </c>
      <c r="B28" s="2" t="inlineStr">
        <is>
          <t>Wastewater &amp; effluent compliance</t>
        </is>
      </c>
      <c r="C28" s="2">
        <f>IFERROR(INDEX(J28:P28,MATCH($B$1,$J$3:$P$3,0)),"")</f>
        <v/>
      </c>
      <c r="D28" s="7" t="n"/>
      <c r="E28" s="7" t="n"/>
      <c r="F28" s="7" t="n"/>
      <c r="G28" s="2">
        <f>IFERROR(AVERAGE(D28:F28),"")</f>
        <v/>
      </c>
      <c r="H28" s="2">
        <f>IFERROR(G28-C28,"")</f>
        <v/>
      </c>
      <c r="J28" s="2" t="n">
        <v>1</v>
      </c>
      <c r="K28" s="2" t="n">
        <v>2</v>
      </c>
      <c r="L28" s="2" t="n">
        <v>3</v>
      </c>
      <c r="M28" s="2" t="n">
        <v>4</v>
      </c>
      <c r="N28" s="2" t="n">
        <v>4</v>
      </c>
      <c r="O28" s="2" t="n">
        <v>5</v>
      </c>
      <c r="P28" s="2" t="n">
        <v>6</v>
      </c>
    </row>
    <row r="29">
      <c r="A29" s="2" t="inlineStr">
        <is>
          <t>Safety &amp; Process Safety Management</t>
        </is>
      </c>
      <c r="B29" s="2" t="inlineStr">
        <is>
          <t>Lockout/tagout &amp; hazardous energy control</t>
        </is>
      </c>
      <c r="C29" s="2">
        <f>IFERROR(INDEX(J29:P29,MATCH($B$1,$J$3:$P$3,0)),"")</f>
        <v/>
      </c>
      <c r="D29" s="7" t="n"/>
      <c r="E29" s="7" t="n"/>
      <c r="F29" s="7" t="n"/>
      <c r="G29" s="2">
        <f>IFERROR(AVERAGE(D29:F29),"")</f>
        <v/>
      </c>
      <c r="H29" s="2">
        <f>IFERROR(G29-C29,"")</f>
        <v/>
      </c>
      <c r="J29" s="2" t="n">
        <v>1</v>
      </c>
      <c r="K29" s="2" t="n">
        <v>2</v>
      </c>
      <c r="L29" s="2" t="n">
        <v>3</v>
      </c>
      <c r="M29" s="2" t="n">
        <v>4</v>
      </c>
      <c r="N29" s="2" t="n">
        <v>4</v>
      </c>
      <c r="O29" s="2" t="n">
        <v>5</v>
      </c>
      <c r="P29" s="2" t="n">
        <v>6</v>
      </c>
    </row>
    <row r="30">
      <c r="A30" s="2" t="inlineStr">
        <is>
          <t>Safety &amp; Process Safety Management</t>
        </is>
      </c>
      <c r="B30" s="2" t="inlineStr">
        <is>
          <t>Hazard recognition, PPE &amp; permits</t>
        </is>
      </c>
      <c r="C30" s="2">
        <f>IFERROR(INDEX(J30:P30,MATCH($B$1,$J$3:$P$3,0)),"")</f>
        <v/>
      </c>
      <c r="D30" s="7" t="n"/>
      <c r="E30" s="7" t="n"/>
      <c r="F30" s="7" t="n"/>
      <c r="G30" s="2">
        <f>IFERROR(AVERAGE(D30:F30),"")</f>
        <v/>
      </c>
      <c r="H30" s="2">
        <f>IFERROR(G30-C30,"")</f>
        <v/>
      </c>
      <c r="J30" s="2" t="n">
        <v>1</v>
      </c>
      <c r="K30" s="2" t="n">
        <v>2</v>
      </c>
      <c r="L30" s="2" t="n">
        <v>3</v>
      </c>
      <c r="M30" s="2" t="n">
        <v>4</v>
      </c>
      <c r="N30" s="2" t="n">
        <v>4</v>
      </c>
      <c r="O30" s="2" t="n">
        <v>5</v>
      </c>
      <c r="P30" s="2" t="n">
        <v>6</v>
      </c>
    </row>
    <row r="31">
      <c r="A31" s="2" t="inlineStr">
        <is>
          <t>Safety &amp; Process Safety Management</t>
        </is>
      </c>
      <c r="B31" s="2" t="inlineStr">
        <is>
          <t>Process safety management (PSM/RMP)</t>
        </is>
      </c>
      <c r="C31" s="2">
        <f>IFERROR(INDEX(J31:P31,MATCH($B$1,$J$3:$P$3,0)),"")</f>
        <v/>
      </c>
      <c r="D31" s="7" t="n"/>
      <c r="E31" s="7" t="n"/>
      <c r="F31" s="7" t="n"/>
      <c r="G31" s="2">
        <f>IFERROR(AVERAGE(D31:F31),"")</f>
        <v/>
      </c>
      <c r="H31" s="2">
        <f>IFERROR(G31-C31,"")</f>
        <v/>
      </c>
      <c r="J31" s="2" t="n">
        <v>1</v>
      </c>
      <c r="K31" s="2" t="n">
        <v>2</v>
      </c>
      <c r="L31" s="2" t="n">
        <v>3</v>
      </c>
      <c r="M31" s="2" t="n">
        <v>4</v>
      </c>
      <c r="N31" s="2" t="n">
        <v>4</v>
      </c>
      <c r="O31" s="2" t="n">
        <v>5</v>
      </c>
      <c r="P31" s="2" t="n">
        <v>6</v>
      </c>
    </row>
    <row r="32">
      <c r="A32" s="2" t="inlineStr">
        <is>
          <t>Safety &amp; Process Safety Management</t>
        </is>
      </c>
      <c r="B32" s="2" t="inlineStr">
        <is>
          <t>Ammonia emergency response &amp; readiness</t>
        </is>
      </c>
      <c r="C32" s="2">
        <f>IFERROR(INDEX(J32:P32,MATCH($B$1,$J$3:$P$3,0)),"")</f>
        <v/>
      </c>
      <c r="D32" s="7" t="n"/>
      <c r="E32" s="7" t="n"/>
      <c r="F32" s="7" t="n"/>
      <c r="G32" s="2">
        <f>IFERROR(AVERAGE(D32:F32),"")</f>
        <v/>
      </c>
      <c r="H32" s="2">
        <f>IFERROR(G32-C32,"")</f>
        <v/>
      </c>
      <c r="J32" s="2" t="n">
        <v>1</v>
      </c>
      <c r="K32" s="2" t="n">
        <v>2</v>
      </c>
      <c r="L32" s="2" t="n">
        <v>3</v>
      </c>
      <c r="M32" s="2" t="n">
        <v>4</v>
      </c>
      <c r="N32" s="2" t="n">
        <v>4</v>
      </c>
      <c r="O32" s="2" t="n">
        <v>5</v>
      </c>
      <c r="P32" s="2" t="n">
        <v>6</v>
      </c>
    </row>
    <row r="33">
      <c r="A33" s="2" t="inlineStr">
        <is>
          <t>Leadership, People &amp; Continuous Improvement</t>
        </is>
      </c>
      <c r="B33" s="2" t="inlineStr">
        <is>
          <t>Operator training &amp; development</t>
        </is>
      </c>
      <c r="C33" s="2">
        <f>IFERROR(INDEX(J33:P33,MATCH($B$1,$J$3:$P$3,0)),"")</f>
        <v/>
      </c>
      <c r="D33" s="7" t="n"/>
      <c r="E33" s="7" t="n"/>
      <c r="F33" s="7" t="n"/>
      <c r="G33" s="2">
        <f>IFERROR(AVERAGE(D33:F33),"")</f>
        <v/>
      </c>
      <c r="H33" s="2">
        <f>IFERROR(G33-C33,"")</f>
        <v/>
      </c>
      <c r="J33" s="2" t="n">
        <v>1</v>
      </c>
      <c r="K33" s="2" t="n">
        <v>1</v>
      </c>
      <c r="L33" s="2" t="n">
        <v>2</v>
      </c>
      <c r="M33" s="2" t="n">
        <v>3</v>
      </c>
      <c r="N33" s="2" t="n">
        <v>4</v>
      </c>
      <c r="O33" s="2" t="n">
        <v>5</v>
      </c>
      <c r="P33" s="2" t="n">
        <v>6</v>
      </c>
    </row>
    <row r="34">
      <c r="A34" s="2" t="inlineStr">
        <is>
          <t>Leadership, People &amp; Continuous Improvement</t>
        </is>
      </c>
      <c r="B34" s="2" t="inlineStr">
        <is>
          <t>Coaching &amp; performance feedback</t>
        </is>
      </c>
      <c r="C34" s="2">
        <f>IFERROR(INDEX(J34:P34,MATCH($B$1,$J$3:$P$3,0)),"")</f>
        <v/>
      </c>
      <c r="D34" s="7" t="n"/>
      <c r="E34" s="7" t="n"/>
      <c r="F34" s="7" t="n"/>
      <c r="G34" s="2">
        <f>IFERROR(AVERAGE(D34:F34),"")</f>
        <v/>
      </c>
      <c r="H34" s="2">
        <f>IFERROR(G34-C34,"")</f>
        <v/>
      </c>
      <c r="J34" s="2" t="n">
        <v>1</v>
      </c>
      <c r="K34" s="2" t="n">
        <v>1</v>
      </c>
      <c r="L34" s="2" t="n">
        <v>2</v>
      </c>
      <c r="M34" s="2" t="n">
        <v>3</v>
      </c>
      <c r="N34" s="2" t="n">
        <v>4</v>
      </c>
      <c r="O34" s="2" t="n">
        <v>5</v>
      </c>
      <c r="P34" s="2" t="n">
        <v>6</v>
      </c>
    </row>
    <row r="35">
      <c r="A35" s="2" t="inlineStr">
        <is>
          <t>Leadership, People &amp; Continuous Improvement</t>
        </is>
      </c>
      <c r="B35" s="2" t="inlineStr">
        <is>
          <t>Shift leadership &amp; crew coordination</t>
        </is>
      </c>
      <c r="C35" s="2">
        <f>IFERROR(INDEX(J35:P35,MATCH($B$1,$J$3:$P$3,0)),"")</f>
        <v/>
      </c>
      <c r="D35" s="7" t="n"/>
      <c r="E35" s="7" t="n"/>
      <c r="F35" s="7" t="n"/>
      <c r="G35" s="2">
        <f>IFERROR(AVERAGE(D35:F35),"")</f>
        <v/>
      </c>
      <c r="H35" s="2">
        <f>IFERROR(G35-C35,"")</f>
        <v/>
      </c>
      <c r="J35" s="2" t="n">
        <v>1</v>
      </c>
      <c r="K35" s="2" t="n">
        <v>1</v>
      </c>
      <c r="L35" s="2" t="n">
        <v>2</v>
      </c>
      <c r="M35" s="2" t="n">
        <v>3</v>
      </c>
      <c r="N35" s="2" t="n">
        <v>4</v>
      </c>
      <c r="O35" s="2" t="n">
        <v>5</v>
      </c>
      <c r="P35" s="2" t="n">
        <v>6</v>
      </c>
    </row>
    <row r="36">
      <c r="A36" s="2" t="inlineStr">
        <is>
          <t>Leadership, People &amp; Continuous Improvement</t>
        </is>
      </c>
      <c r="B36" s="2" t="inlineStr">
        <is>
          <t>Pre-shift huddles &amp; shift handover</t>
        </is>
      </c>
      <c r="C36" s="2">
        <f>IFERROR(INDEX(J36:P36,MATCH($B$1,$J$3:$P$3,0)),"")</f>
        <v/>
      </c>
      <c r="D36" s="7" t="n"/>
      <c r="E36" s="7" t="n"/>
      <c r="F36" s="7" t="n"/>
      <c r="G36" s="2">
        <f>IFERROR(AVERAGE(D36:F36),"")</f>
        <v/>
      </c>
      <c r="H36" s="2">
        <f>IFERROR(G36-C36,"")</f>
        <v/>
      </c>
      <c r="J36" s="2" t="n">
        <v>1</v>
      </c>
      <c r="K36" s="2" t="n">
        <v>2</v>
      </c>
      <c r="L36" s="2" t="n">
        <v>2</v>
      </c>
      <c r="M36" s="2" t="n">
        <v>3</v>
      </c>
      <c r="N36" s="2" t="n">
        <v>4</v>
      </c>
      <c r="O36" s="2" t="n">
        <v>5</v>
      </c>
      <c r="P36" s="2" t="n">
        <v>6</v>
      </c>
    </row>
    <row r="37">
      <c r="A37" s="2" t="inlineStr">
        <is>
          <t>Leadership, People &amp; Continuous Improvement</t>
        </is>
      </c>
      <c r="B37" s="2" t="inlineStr">
        <is>
          <t>Escalation &amp; cross-functional coordination</t>
        </is>
      </c>
      <c r="C37" s="2">
        <f>IFERROR(INDEX(J37:P37,MATCH($B$1,$J$3:$P$3,0)),"")</f>
        <v/>
      </c>
      <c r="D37" s="7" t="n"/>
      <c r="E37" s="7" t="n"/>
      <c r="F37" s="7" t="n"/>
      <c r="G37" s="2">
        <f>IFERROR(AVERAGE(D37:F37),"")</f>
        <v/>
      </c>
      <c r="H37" s="2">
        <f>IFERROR(G37-C37,"")</f>
        <v/>
      </c>
      <c r="J37" s="2" t="n">
        <v>1</v>
      </c>
      <c r="K37" s="2" t="n">
        <v>2</v>
      </c>
      <c r="L37" s="2" t="n">
        <v>2</v>
      </c>
      <c r="M37" s="2" t="n">
        <v>3</v>
      </c>
      <c r="N37" s="2" t="n">
        <v>4</v>
      </c>
      <c r="O37" s="2" t="n">
        <v>5</v>
      </c>
      <c r="P37" s="2" t="n">
        <v>6</v>
      </c>
    </row>
    <row r="38">
      <c r="A38" s="2" t="inlineStr">
        <is>
          <t>Leadership, People &amp; Continuous Improvement</t>
        </is>
      </c>
      <c r="B38" s="2" t="inlineStr">
        <is>
          <t>OEE &amp; loss elimination</t>
        </is>
      </c>
      <c r="C38" s="2">
        <f>IFERROR(INDEX(J38:P38,MATCH($B$1,$J$3:$P$3,0)),"")</f>
        <v/>
      </c>
      <c r="D38" s="7" t="n"/>
      <c r="E38" s="7" t="n"/>
      <c r="F38" s="7" t="n"/>
      <c r="G38" s="2">
        <f>IFERROR(AVERAGE(D38:F38),"")</f>
        <v/>
      </c>
      <c r="H38" s="2">
        <f>IFERROR(G38-C38,"")</f>
        <v/>
      </c>
      <c r="J38" s="2" t="n">
        <v>1</v>
      </c>
      <c r="K38" s="2" t="n">
        <v>2</v>
      </c>
      <c r="L38" s="2" t="n">
        <v>3</v>
      </c>
      <c r="M38" s="2" t="n">
        <v>4</v>
      </c>
      <c r="N38" s="2" t="n">
        <v>4</v>
      </c>
      <c r="O38" s="2" t="n">
        <v>5</v>
      </c>
      <c r="P38" s="2" t="n">
        <v>6</v>
      </c>
    </row>
    <row r="39">
      <c r="A39" s="2" t="inlineStr">
        <is>
          <t>Leadership, People &amp; Continuous Improvement</t>
        </is>
      </c>
      <c r="B39" s="2" t="inlineStr">
        <is>
          <t>Root-cause problem solving</t>
        </is>
      </c>
      <c r="C39" s="2">
        <f>IFERROR(INDEX(J39:P39,MATCH($B$1,$J$3:$P$3,0)),"")</f>
        <v/>
      </c>
      <c r="D39" s="7" t="n"/>
      <c r="E39" s="7" t="n"/>
      <c r="F39" s="7" t="n"/>
      <c r="G39" s="2">
        <f>IFERROR(AVERAGE(D39:F39),"")</f>
        <v/>
      </c>
      <c r="H39" s="2">
        <f>IFERROR(G39-C39,"")</f>
        <v/>
      </c>
      <c r="J39" s="2" t="n">
        <v>1</v>
      </c>
      <c r="K39" s="2" t="n">
        <v>2</v>
      </c>
      <c r="L39" s="2" t="n">
        <v>3</v>
      </c>
      <c r="M39" s="2" t="n">
        <v>4</v>
      </c>
      <c r="N39" s="2" t="n">
        <v>4</v>
      </c>
      <c r="O39" s="2" t="n">
        <v>5</v>
      </c>
      <c r="P39" s="2" t="n">
        <v>6</v>
      </c>
    </row>
    <row r="40">
      <c r="A40" s="2" t="inlineStr">
        <is>
          <t>Leadership, People &amp; Continuous Improvement</t>
        </is>
      </c>
      <c r="B40" s="2" t="inlineStr">
        <is>
          <t>Production scheduling &amp; changeover</t>
        </is>
      </c>
      <c r="C40" s="2">
        <f>IFERROR(INDEX(J40:P40,MATCH($B$1,$J$3:$P$3,0)),"")</f>
        <v/>
      </c>
      <c r="D40" s="7" t="n"/>
      <c r="E40" s="7" t="n"/>
      <c r="F40" s="7" t="n"/>
      <c r="G40" s="2">
        <f>IFERROR(AVERAGE(D40:F40),"")</f>
        <v/>
      </c>
      <c r="H40" s="2">
        <f>IFERROR(G40-C40,"")</f>
        <v/>
      </c>
      <c r="J40" s="2" t="n">
        <v>1</v>
      </c>
      <c r="K40" s="2" t="n">
        <v>2</v>
      </c>
      <c r="L40" s="2" t="n">
        <v>2</v>
      </c>
      <c r="M40" s="2" t="n">
        <v>3</v>
      </c>
      <c r="N40" s="2" t="n">
        <v>4</v>
      </c>
      <c r="O40" s="2" t="n">
        <v>5</v>
      </c>
      <c r="P40" s="2" t="n">
        <v>6</v>
      </c>
    </row>
    <row r="41">
      <c r="A41" s="2" t="inlineStr">
        <is>
          <t>Leadership, People &amp; Continuous Improvement</t>
        </is>
      </c>
      <c r="B41" s="2" t="inlineStr">
        <is>
          <t>Cost, labor &amp; budget ownership</t>
        </is>
      </c>
      <c r="C41" s="2">
        <f>IFERROR(INDEX(J41:P41,MATCH($B$1,$J$3:$P$3,0)),"")</f>
        <v/>
      </c>
      <c r="D41" s="7" t="n"/>
      <c r="E41" s="7" t="n"/>
      <c r="F41" s="7" t="n"/>
      <c r="G41" s="2">
        <f>IFERROR(AVERAGE(D41:F41),"")</f>
        <v/>
      </c>
      <c r="H41" s="2">
        <f>IFERROR(G41-C41,"")</f>
        <v/>
      </c>
      <c r="J41" s="2" t="n">
        <v>1</v>
      </c>
      <c r="K41" s="2" t="n">
        <v>1</v>
      </c>
      <c r="L41" s="2" t="n">
        <v>2</v>
      </c>
      <c r="M41" s="2" t="n">
        <v>3</v>
      </c>
      <c r="N41" s="2" t="n">
        <v>4</v>
      </c>
      <c r="O41" s="2" t="n">
        <v>5</v>
      </c>
      <c r="P41" s="2" t="n">
        <v>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6"/>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 width="40" customWidth="1" min="3" max="3"/>
    <col width="45" customWidth="1" min="4" max="4"/>
  </cols>
  <sheetData>
    <row r="1">
      <c r="A1" s="1" t="inlineStr">
        <is>
          <t>Framework</t>
        </is>
      </c>
      <c r="B1" s="1" t="inlineStr">
        <is>
          <t>Source</t>
        </is>
      </c>
      <c r="C1" s="1" t="inlineStr">
        <is>
          <t>Grounds</t>
        </is>
      </c>
      <c r="D1" s="1" t="inlineStr">
        <is>
          <t>Link</t>
        </is>
      </c>
    </row>
    <row r="2">
      <c r="A2" s="4" t="inlineStr">
        <is>
          <t>Legal minima for Grade A dairy processing: pasteurization time/temperature, equipment, and permit requirements</t>
        </is>
      </c>
      <c r="B2" s="4" t="inlineStr">
        <is>
          <t>U.S. FDA / IMS, Grade "A" Pasteurized Milk Ordinance (PMO), 2019 Revision</t>
        </is>
      </c>
      <c r="C2" s="4" t="inlineStr">
        <is>
          <t>Pasteurization &amp; flow-diversion control</t>
        </is>
      </c>
      <c r="D2" s="4" t="inlineStr">
        <is>
          <t>https://www.fda.gov/media/140394/download</t>
        </is>
      </c>
    </row>
    <row r="3">
      <c r="A3" s="4" t="inlineStr">
        <is>
          <t>International reference hygiene code and the seven-principle HACCP system definition</t>
        </is>
      </c>
      <c r="B3" s="4" t="inlineStr">
        <is>
          <t>Codex Alimentarius Commission, General Principles of Food Hygiene (CXC 1-1969) and its HACCP Annex</t>
        </is>
      </c>
      <c r="C3" s="4" t="inlineStr">
        <is>
          <t>HACCP plan &amp; CCP monitoring</t>
        </is>
      </c>
      <c r="D3" s="4" t="inlineStr">
        <is>
          <t>https://www.isdi.org/wp-content/uploads/2020/04/CAC-RCP-1-1969.pdf</t>
        </is>
      </c>
    </row>
    <row r="4">
      <c r="A4" s="4" t="inlineStr">
        <is>
          <t>FSMA preventive-controls framework and the PCQI (preventive-controls qualified individual) requirement</t>
        </is>
      </c>
      <c r="B4" s="4" t="inlineStr">
        <is>
          <t>U.S. FDA, Hazard Analysis and Risk-Based Preventive Controls for Human Food, 21 CFR Part 117 Subpart C</t>
        </is>
      </c>
      <c r="C4" s="4" t="inlineStr">
        <is>
          <t>Preventive controls &amp; PCQI oversight</t>
        </is>
      </c>
      <c r="D4" s="4" t="inlineStr">
        <is>
          <t>https://www.ecfr.gov/current/title-21/chapter-I/subchapter-B/part-117/subpart-C</t>
        </is>
      </c>
    </row>
    <row r="5">
      <c r="A5" s="4" t="inlineStr">
        <is>
          <t>Environmental monitoring, hygienic zoning, and corrective-action practice for Listeria control</t>
        </is>
      </c>
      <c r="B5" s="4" t="inlineStr">
        <is>
          <t>U.S. FDA, Draft Guidance for Industry: Control of Listeria monocytogenes in Ready-To-Eat Foods (2017)</t>
        </is>
      </c>
      <c r="C5" s="4" t="inlineStr">
        <is>
          <t>Environmental monitoring &amp; pathogen control</t>
        </is>
      </c>
      <c r="D5" s="4" t="inlineStr">
        <is>
          <t>https://www.fda.gov/regulatory-information/search-fda-guidance-documents/draft-guidance-industry-control-listeria-monocytogenes-ready-eat-foods</t>
        </is>
      </c>
    </row>
    <row r="6">
      <c r="A6" s="4" t="inlineStr">
        <is>
          <t>Statutory basis for major-allergen labeling and cross-contact control</t>
        </is>
      </c>
      <c r="B6" s="4" t="inlineStr">
        <is>
          <t>Food Allergen Labeling and Consumer Protection Act of 2004 (Public Law 108-282)</t>
        </is>
      </c>
      <c r="C6" s="4" t="inlineStr">
        <is>
          <t>Allergen control &amp; changeover</t>
        </is>
      </c>
      <c r="D6" s="4" t="inlineStr">
        <is>
          <t>https://www.govinfo.gov/content/pkg/PLAW-108publ282/pdf/PLAW-108publ282.pdf</t>
        </is>
      </c>
    </row>
    <row r="7">
      <c r="A7" s="4" t="inlineStr">
        <is>
          <t>Defines the certification-scheme (SQF/BRCGS/FSSC 22000) equivalence bar food plants are audited against</t>
        </is>
      </c>
      <c r="B7" s="4" t="inlineStr">
        <is>
          <t>Global Food Safety Initiative, GFSI Benchmarking Requirements, Version 2024</t>
        </is>
      </c>
      <c r="C7" s="4" t="inlineStr">
        <is>
          <t>GFSI audit &amp; certification readiness</t>
        </is>
      </c>
      <c r="D7" s="4" t="inlineStr">
        <is>
          <t>https://mygfsi.com/wp-content/uploads/2024/12/Benchmarking_Requirements_v2024_Process_Handbook_Part_I.pdf</t>
        </is>
      </c>
    </row>
    <row r="8">
      <c r="A8" s="4" t="inlineStr">
        <is>
          <t>Personnel hygiene, sanitary facility and equipment baseline for food manufacturing</t>
        </is>
      </c>
      <c r="B8" s="4" t="inlineStr">
        <is>
          <t>U.S. FDA, Current Good Manufacturing Practice, 21 CFR Part 117 Subpart B</t>
        </is>
      </c>
      <c r="C8" s="4" t="inlineStr">
        <is>
          <t>GMP &amp; personnel hygiene</t>
        </is>
      </c>
      <c r="D8" s="4" t="inlineStr">
        <is>
          <t>https://www.ecfr.gov/current/title-21/chapter-I/subchapter-B/part-117/subpart-B</t>
        </is>
      </c>
    </row>
    <row r="9">
      <c r="A9" s="4" t="inlineStr">
        <is>
          <t>Standard dairy-process-engineering reference: receiving, separation, thermal processing, homogenization, CIP, packaging</t>
        </is>
      </c>
      <c r="B9" s="4" t="inlineStr">
        <is>
          <t>Bylund, Dairy Processing Handbook, 3rd ed. rev. 1 (Tetra Pak Processing Systems, 2015)</t>
        </is>
      </c>
      <c r="C9" s="4" t="inlineStr">
        <is>
          <t>Separation &amp; standardization</t>
        </is>
      </c>
      <c r="D9" s="4" t="inlineStr">
        <is>
          <t>https://dairyprocessinghandbook.tetrapak.com/</t>
        </is>
      </c>
    </row>
    <row r="10">
      <c r="A10" s="4" t="inlineStr">
        <is>
          <t>Consensus hygienic-design and cleanability standard for dairy/food processing equipment</t>
        </is>
      </c>
      <c r="B10" s="4" t="inlineStr">
        <is>
          <t>3-A Sanitary Standards, Inc., 3-A Sanitary Standards and 3-A Accepted Practices</t>
        </is>
      </c>
      <c r="C10" s="4" t="inlineStr">
        <is>
          <t>CIP cycle execution &amp; verification</t>
        </is>
      </c>
      <c r="D10" s="4" t="inlineStr">
        <is>
          <t>https://www.3-a.org/</t>
        </is>
      </c>
    </row>
    <row r="11">
      <c r="A11" s="4" t="inlineStr">
        <is>
          <t>Design and operating-envelope standard for industrial ammonia refrigeration systems</t>
        </is>
      </c>
      <c r="B11" s="4" t="inlineStr">
        <is>
          <t>International Institute of Ammonia Refrigeration, ANSI/IIAR 2: Safe Design of Closed-Circuit Ammonia Refrigeration Systems</t>
        </is>
      </c>
      <c r="C11" s="4" t="inlineStr">
        <is>
          <t>Ammonia / CO2 refrigeration operation</t>
        </is>
      </c>
      <c r="D11" s="4" t="inlineStr">
        <is>
          <t>https://www.iiar.org/iiar/iiar_publications/standards.aspx</t>
        </is>
      </c>
    </row>
    <row r="12">
      <c r="A12" s="4" t="inlineStr">
        <is>
          <t>Jurisdictional design, construction, and inspection code for boilers and pressure vessels</t>
        </is>
      </c>
      <c r="B12" s="4" t="inlineStr">
        <is>
          <t>ASME, Boiler and Pressure Vessel Code (BPVC)</t>
        </is>
      </c>
      <c r="C12" s="4" t="inlineStr">
        <is>
          <t>Boiler &amp; steam system operation</t>
        </is>
      </c>
      <c r="D12" s="4" t="inlineStr">
        <is>
          <t>https://www.asme.org/codes-standards/bpvc-standards</t>
        </is>
      </c>
    </row>
    <row r="13">
      <c r="A13" s="4" t="inlineStr">
        <is>
          <t>First English-language text codifying Total Productive Maintenance: autonomous maintenance and failure-root-cause strategy</t>
        </is>
      </c>
      <c r="B13" s="4" t="inlineStr">
        <is>
          <t>Nakajima, Introduction to TPM: Total Productive Maintenance (Productivity Press, 1988)</t>
        </is>
      </c>
      <c r="C13" s="4" t="inlineStr">
        <is>
          <t>Autonomous &amp; preventive maintenance</t>
        </is>
      </c>
      <c r="D13" s="4" t="inlineStr">
        <is>
          <t>https://books.google.com/books/about/Introduction_to_TPM.html?id=XKc28H3JeUUC</t>
        </is>
      </c>
    </row>
    <row r="14">
      <c r="A14" s="4" t="inlineStr">
        <is>
          <t>Systematic energy-performance-improvement standard; anchors sustainability/energy leveling</t>
        </is>
      </c>
      <c r="B14" s="4" t="inlineStr">
        <is>
          <t>ISO, ISO 50001:2018 Energy Management Systems -- Requirements with Guidance for Use (2018)</t>
        </is>
      </c>
      <c r="C14" s="4" t="inlineStr">
        <is>
          <t>Utilities stewardship (water/air/energy)</t>
        </is>
      </c>
      <c r="D14" s="4" t="inlineStr">
        <is>
          <t>https://www.iso.org/standard/69426.html</t>
        </is>
      </c>
    </row>
    <row r="15">
      <c r="A15" s="4" t="inlineStr">
        <is>
          <t>Permitting framework for wastewater/effluent discharge</t>
        </is>
      </c>
      <c r="B15" s="4" t="inlineStr">
        <is>
          <t>U.S. EPA, National Pollutant Discharge Elimination System (NPDES), Clean Water Act</t>
        </is>
      </c>
      <c r="C15" s="4" t="inlineStr">
        <is>
          <t>Wastewater &amp; effluent compliance</t>
        </is>
      </c>
      <c r="D15" s="4" t="inlineStr">
        <is>
          <t>https://www.epa.gov/npdes</t>
        </is>
      </c>
    </row>
    <row r="16">
      <c r="A16" s="4" t="inlineStr">
        <is>
          <t>Hazardous-energy control procedure baseline</t>
        </is>
      </c>
      <c r="B16" s="4" t="inlineStr">
        <is>
          <t>U.S. OSHA, The Control of Hazardous Energy (Lockout/Tagout), 29 CFR 1910.147</t>
        </is>
      </c>
      <c r="C16" s="4" t="inlineStr">
        <is>
          <t>Lockout/tagout &amp; hazardous energy control</t>
        </is>
      </c>
      <c r="D16" s="4" t="inlineStr">
        <is>
          <t>https://www.osha.gov/laws-regs/regulations/standardnumber/1910/1910.147</t>
        </is>
      </c>
    </row>
    <row r="17">
      <c r="A17" s="4" t="inlineStr">
        <is>
          <t>Federal baseline workplace-safety regulation; anchors EHS leveling</t>
        </is>
      </c>
      <c r="B17" s="4" t="inlineStr">
        <is>
          <t>U.S. OSHA, 29 CFR Part 1910 Occupational Safety and Health Standards (General Industry)</t>
        </is>
      </c>
      <c r="C17" s="4" t="inlineStr">
        <is>
          <t>Hazard recognition, PPE &amp; permits</t>
        </is>
      </c>
      <c r="D17" s="4" t="inlineStr">
        <is>
          <t>https://www.osha.gov/laws-regs/regulations/standardnumber/1910</t>
        </is>
      </c>
    </row>
    <row r="18">
      <c r="A18" s="4" t="inlineStr">
        <is>
          <t>Fourteen-element process-safety-management program for covered processes (e.g., threshold anhydrous-ammonia quantity)</t>
        </is>
      </c>
      <c r="B18" s="4" t="inlineStr">
        <is>
          <t>U.S. OSHA, Process Safety Management of Highly Hazardous Chemicals, 29 CFR 1910.119</t>
        </is>
      </c>
      <c r="C18" s="4" t="inlineStr">
        <is>
          <t>Process safety management (PSM/RMP)</t>
        </is>
      </c>
      <c r="D18" s="4" t="inlineStr">
        <is>
          <t>https://www.osha.gov/laws-regs/regulations/standardnumber/1910/1910.119</t>
        </is>
      </c>
    </row>
    <row r="19">
      <c r="A19" s="4" t="inlineStr">
        <is>
          <t>Emergency-response training and incident-command requirements for a hazardous chemical release</t>
        </is>
      </c>
      <c r="B19" s="4" t="inlineStr">
        <is>
          <t>U.S. OSHA, Hazardous Waste Operations and Emergency Response (HAZWOPER), 29 CFR 1910.120</t>
        </is>
      </c>
      <c r="C19" s="4" t="inlineStr">
        <is>
          <t>Ammonia emergency response &amp; readiness</t>
        </is>
      </c>
      <c r="D19" s="4" t="inlineStr">
        <is>
          <t>https://www.osha.gov/laws-regs/regulations/standardnumber/1910/1910.120</t>
        </is>
      </c>
    </row>
    <row r="20">
      <c r="A20" s="4" t="inlineStr">
        <is>
          <t>Origin of the four-step (show, tell, do, check) job-instruction method for training a skill on the floor</t>
        </is>
      </c>
      <c r="B20" s="4" t="inlineStr">
        <is>
          <t>War Manpower Commission, Training Within Industry Service, Job Instruction (1944)</t>
        </is>
      </c>
      <c r="C20" s="4" t="inlineStr">
        <is>
          <t>Operator training &amp; development</t>
        </is>
      </c>
      <c r="D20" s="4" t="inlineStr">
        <is>
          <t>https://www.govinfo.gov/content/pkg/GOVPUB-PR32_5200-00275cf1fd80a1d51995ae716fd38f34/html/GOVPUB-PR32_5200-00275cf1fd80a1d51995ae716fd38f34.htm</t>
        </is>
      </c>
    </row>
    <row r="21">
      <c r="A21" s="4" t="inlineStr">
        <is>
          <t>Origin of management-by-objectives cascading goal-setting that OKRs formalize</t>
        </is>
      </c>
      <c r="B21" s="4" t="inlineStr">
        <is>
          <t>Grove, High Output Management (Random House, 1983)</t>
        </is>
      </c>
      <c r="C21" s="4" t="inlineStr">
        <is>
          <t>Coaching &amp; performance feedback</t>
        </is>
      </c>
      <c r="D21" s="4" t="inlineStr">
        <is>
          <t>https://www.penguinrandomhouse.com/books/163289/high-output-management-by-andrew-s-grove/</t>
        </is>
      </c>
    </row>
    <row r="22">
      <c r="A22" s="4" t="inlineStr">
        <is>
          <t>Origin of the Situational Leadership model: directing/coaching/supporting/delegating matched to follower readiness</t>
        </is>
      </c>
      <c r="B22" s="4" t="inlineStr">
        <is>
          <t>Hersey &amp; Blanchard, Management of Organizational Behavior: Utilizing Human Resources (Prentice-Hall, 1969)</t>
        </is>
      </c>
      <c r="C22" s="4" t="inlineStr">
        <is>
          <t>Shift leadership &amp; crew coordination</t>
        </is>
      </c>
      <c r="D22" s="4" t="inlineStr"/>
    </row>
    <row r="23">
      <c r="A23" s="4" t="inlineStr">
        <is>
          <t>Origin of the Toyota Production System / Lean manufacturing: standardized work, jidoka, kaizen</t>
        </is>
      </c>
      <c r="B23" s="4" t="inlineStr">
        <is>
          <t>Ohno, Toyota Production System: Beyond Large-Scale Production (Productivity Press, 1988)</t>
        </is>
      </c>
      <c r="C23" s="4" t="inlineStr">
        <is>
          <t>Pre-shift huddles &amp; shift handover</t>
        </is>
      </c>
      <c r="D23" s="4" t="inlineStr">
        <is>
          <t>https://www.routledge.com/Toyota-Production-System-Beyond-Large-Scale-Production/Ohno/p/book/9780915299140</t>
        </is>
      </c>
    </row>
    <row r="24">
      <c r="A24" s="4" t="inlineStr">
        <is>
          <t>Trust/conflict/commitment team-dysfunction model; grounds teamwork and partnership leveling</t>
        </is>
      </c>
      <c r="B24" s="4" t="inlineStr">
        <is>
          <t>Lencioni, The Five Dysfunctions of a Team: A Leadership Fable (Jossey-Bass, 2002)</t>
        </is>
      </c>
      <c r="C24" s="4" t="inlineStr">
        <is>
          <t>Escalation &amp; cross-functional coordination</t>
        </is>
      </c>
      <c r="D24" s="4" t="inlineStr">
        <is>
          <t>https://openlibrary.org/works/OL3906183W/The_five_dysfunctions_of_a_team</t>
        </is>
      </c>
    </row>
    <row r="25">
      <c r="A25" s="4" t="inlineStr">
        <is>
          <t>Cross-industry process reference model (Plan/Source/Make-Transform/Deliver-Fulfill/Return) linking process, metrics, and practice</t>
        </is>
      </c>
      <c r="B25" s="4" t="inlineStr">
        <is>
          <t>ASCM (APICS), Supply Chain Operations Reference (SCOR) Digital Standard</t>
        </is>
      </c>
      <c r="C25" s="4" t="inlineStr">
        <is>
          <t>Production scheduling &amp; changeover</t>
        </is>
      </c>
      <c r="D25" s="4" t="inlineStr">
        <is>
          <t>https://www.ascm.org/corporate-solutions/standards-tools/scor-ds/</t>
        </is>
      </c>
    </row>
    <row r="26">
      <c r="A26" s="4" t="inlineStr">
        <is>
          <t>Standard managerial cost-accounting text: variance analysis, cost-center P&amp;L, and budget-ownership practice</t>
        </is>
      </c>
      <c r="B26" s="4" t="inlineStr">
        <is>
          <t>Horngren, Datar &amp; Rajan, Horngren's Cost Accounting: A Managerial Emphasis, 17th ed. (Pearson, 2023)</t>
        </is>
      </c>
      <c r="C26" s="4" t="inlineStr">
        <is>
          <t>Cost, labor &amp; budget ownership</t>
        </is>
      </c>
      <c r="D26" s="4" t="inlineStr">
        <is>
          <t>https://www.pearson.com/nl/en_NL/higher-education/subject-catalogue/accounting-and-taxation/Horngrens-Cost-Accounting-Datar-Rajan-17e.html</t>
        </is>
      </c>
    </row>
    <row r="27">
      <c r="A27" s="4" t="inlineStr"/>
      <c r="B27" s="4" t="inlineStr">
        <is>
          <t>U.S. FDA / IMS, Grade "A" Pasteurized Milk Ordinance (PMO), 2019 Revision — https://www.fda.gov/media/140394/download</t>
        </is>
      </c>
      <c r="C27" s="4" t="inlineStr"/>
      <c r="D27" s="4" t="inlineStr"/>
    </row>
    <row r="28">
      <c r="A28" s="4" t="inlineStr"/>
      <c r="B28" s="4" t="inlineStr">
        <is>
          <t>Dreyfus &amp; Dreyfus, A Five-Stage Model of the Mental Activities Involved in Directed Skill Acquisition (1980) — https://apps.dtic.mil/sti/citations/ADA084551</t>
        </is>
      </c>
      <c r="C28" s="4" t="inlineStr"/>
      <c r="D28" s="4" t="inlineStr"/>
    </row>
    <row r="29">
      <c r="A29" s="4" t="inlineStr"/>
      <c r="B29" s="4" t="inlineStr">
        <is>
          <t>SFIA Foundation, Skills Framework for the Information Age, version 9 (2024) — https://sfia-online.org/en/sfia-9</t>
        </is>
      </c>
      <c r="C29" s="4" t="inlineStr"/>
      <c r="D29" s="4" t="inlineStr"/>
    </row>
    <row r="30">
      <c r="A30" s="4" t="inlineStr"/>
      <c r="B30" s="4" t="inlineStr">
        <is>
          <t>Codex Alimentarius Commission, General Principles of Food Hygiene (CXC 1-1969) and its HACCP Annex — https://www.isdi.org/wp-content/uploads/2020/04/CAC-RCP-1-1969.pdf</t>
        </is>
      </c>
      <c r="C30" s="4" t="inlineStr"/>
      <c r="D30" s="4" t="inlineStr"/>
    </row>
    <row r="31">
      <c r="A31" s="4" t="inlineStr"/>
      <c r="B31" s="4" t="inlineStr">
        <is>
          <t>National Advisory Committee on Microbiological Criteria for Foods, Hazard Analysis and Critical Control Point Principles and Application Guidelines, Journal of Food Protection 61(9), 1246-1259 (1998) — https://pubmed.ncbi.nlm.nih.gov/9766085/</t>
        </is>
      </c>
      <c r="C31" s="4" t="inlineStr"/>
      <c r="D31" s="4" t="inlineStr"/>
    </row>
    <row r="32">
      <c r="A32" s="4" t="inlineStr"/>
      <c r="B32" s="4" t="inlineStr">
        <is>
          <t>U.S. FDA, Hazard Analysis and Risk-Based Preventive Controls for Human Food, 21 CFR Part 117 Subpart C — https://www.ecfr.gov/current/title-21/chapter-I/subchapter-B/part-117/subpart-C</t>
        </is>
      </c>
      <c r="C32" s="4" t="inlineStr"/>
      <c r="D32" s="4" t="inlineStr"/>
    </row>
    <row r="33">
      <c r="A33" s="4" t="inlineStr"/>
      <c r="B33" s="4" t="inlineStr">
        <is>
          <t>U.S. FDA, Draft Guidance for Industry: Control of Listeria monocytogenes in Ready-To-Eat Foods (2017) — https://www.fda.gov/regulatory-information/search-fda-guidance-documents/draft-guidance-industry-control-listeria-monocytogenes-ready-eat-foods</t>
        </is>
      </c>
      <c r="C33" s="4" t="inlineStr"/>
      <c r="D33" s="4" t="inlineStr"/>
    </row>
    <row r="34">
      <c r="A34" s="4" t="inlineStr"/>
      <c r="B34" s="4" t="inlineStr">
        <is>
          <t>Food Allergen Labeling and Consumer Protection Act of 2004 (Public Law 108-282) — https://www.govinfo.gov/content/pkg/PLAW-108publ282/pdf/PLAW-108publ282.pdf</t>
        </is>
      </c>
      <c r="C34" s="4" t="inlineStr"/>
      <c r="D34" s="4" t="inlineStr"/>
    </row>
    <row r="35">
      <c r="A35" s="4" t="inlineStr"/>
      <c r="B35" s="4" t="inlineStr">
        <is>
          <t>Global Food Safety Initiative, GFSI Benchmarking Requirements, Version 2024 — https://mygfsi.com/wp-content/uploads/2024/12/Benchmarking_Requirements_v2024_Process_Handbook_Part_I.pdf</t>
        </is>
      </c>
      <c r="C35" s="4" t="inlineStr"/>
      <c r="D35" s="4" t="inlineStr"/>
    </row>
    <row r="36">
      <c r="A36" s="4" t="inlineStr"/>
      <c r="B36" s="4" t="inlineStr">
        <is>
          <t>U.S. FDA, Current Good Manufacturing Practice, 21 CFR Part 117 Subpart B — https://www.ecfr.gov/current/title-21/chapter-I/subchapter-B/part-117/subpart-B</t>
        </is>
      </c>
      <c r="C36" s="4" t="inlineStr"/>
      <c r="D36" s="4" t="inlineStr"/>
    </row>
    <row r="37">
      <c r="A37" s="4" t="inlineStr"/>
      <c r="B37" s="4" t="inlineStr">
        <is>
          <t>Bylund, Dairy Processing Handbook, 3rd ed. rev. 1 (Tetra Pak Processing Systems, 2015) — https://dairyprocessinghandbook.tetrapak.com/</t>
        </is>
      </c>
      <c r="C37" s="4" t="inlineStr"/>
      <c r="D37" s="4" t="inlineStr"/>
    </row>
    <row r="38">
      <c r="A38" s="4" t="inlineStr"/>
      <c r="B38" s="4" t="inlineStr">
        <is>
          <t>3-A Sanitary Standards, Inc., 3-A Sanitary Standards and 3-A Accepted Practices — https://www.3-a.org/</t>
        </is>
      </c>
      <c r="C38" s="4" t="inlineStr"/>
      <c r="D38" s="4" t="inlineStr"/>
    </row>
    <row r="39">
      <c r="A39" s="4" t="inlineStr"/>
      <c r="B39" s="4" t="inlineStr">
        <is>
          <t>International Institute of Ammonia Refrigeration, ANSI/IIAR 2: Safe Design of Closed-Circuit Ammonia Refrigeration Systems — https://www.iiar.org/iiar/iiar_publications/standards.aspx</t>
        </is>
      </c>
      <c r="C39" s="4" t="inlineStr"/>
      <c r="D39" s="4" t="inlineStr"/>
    </row>
    <row r="40">
      <c r="A40" s="4" t="inlineStr"/>
      <c r="B40" s="4" t="inlineStr">
        <is>
          <t>ASME, Boiler and Pressure Vessel Code (BPVC) — https://www.asme.org/codes-standards/bpvc-standards</t>
        </is>
      </c>
      <c r="C40" s="4" t="inlineStr"/>
      <c r="D40" s="4" t="inlineStr"/>
    </row>
    <row r="41">
      <c r="A41" s="4" t="inlineStr"/>
      <c r="B41" s="4" t="inlineStr">
        <is>
          <t>Nakajima, Introduction to TPM: Total Productive Maintenance (Productivity Press, 1988) — https://books.google.com/books/about/Introduction_to_TPM.html?id=XKc28H3JeUUC</t>
        </is>
      </c>
      <c r="C41" s="4" t="inlineStr"/>
      <c r="D41" s="4" t="inlineStr"/>
    </row>
    <row r="42">
      <c r="A42" s="4" t="inlineStr"/>
      <c r="B42" s="4" t="inlineStr">
        <is>
          <t>ISO, ISO 50001:2018 Energy Management Systems -- Requirements with Guidance for Use (2018) — https://www.iso.org/standard/69426.html</t>
        </is>
      </c>
      <c r="C42" s="4" t="inlineStr"/>
      <c r="D42" s="4" t="inlineStr"/>
    </row>
    <row r="43">
      <c r="A43" s="4" t="inlineStr"/>
      <c r="B43" s="4" t="inlineStr">
        <is>
          <t>U.S. EPA, National Pollutant Discharge Elimination System (NPDES), Clean Water Act — https://www.epa.gov/npdes</t>
        </is>
      </c>
      <c r="C43" s="4" t="inlineStr"/>
      <c r="D43" s="4" t="inlineStr"/>
    </row>
    <row r="44">
      <c r="A44" s="4" t="inlineStr"/>
      <c r="B44" s="4" t="inlineStr">
        <is>
          <t>U.S. OSHA, The Control of Hazardous Energy (Lockout/Tagout), 29 CFR 1910.147 — https://www.osha.gov/laws-regs/regulations/standardnumber/1910/1910.147</t>
        </is>
      </c>
      <c r="C44" s="4" t="inlineStr"/>
      <c r="D44" s="4" t="inlineStr"/>
    </row>
    <row r="45">
      <c r="A45" s="4" t="inlineStr"/>
      <c r="B45" s="4" t="inlineStr">
        <is>
          <t>U.S. OSHA, 29 CFR Part 1910 Occupational Safety and Health Standards (General Industry) — https://www.osha.gov/laws-regs/regulations/standardnumber/1910</t>
        </is>
      </c>
      <c r="C45" s="4" t="inlineStr"/>
      <c r="D45" s="4" t="inlineStr"/>
    </row>
    <row r="46">
      <c r="A46" s="4" t="inlineStr"/>
      <c r="B46" s="4" t="inlineStr">
        <is>
          <t>U.S. OSHA, Process Safety Management of Highly Hazardous Chemicals, 29 CFR 1910.119 — https://www.osha.gov/laws-regs/regulations/standardnumber/1910/1910.119</t>
        </is>
      </c>
      <c r="C46" s="4" t="inlineStr"/>
      <c r="D46" s="4" t="inlineStr"/>
    </row>
    <row r="47">
      <c r="A47" s="4" t="inlineStr"/>
      <c r="B47" s="4" t="inlineStr">
        <is>
          <t>U.S. EPA, Risk Management Program, 40 CFR Part 68 — https://www.ecfr.gov/current/title-40/chapter-I/subchapter-C/part-68</t>
        </is>
      </c>
      <c r="C47" s="4" t="inlineStr"/>
      <c r="D47" s="4" t="inlineStr"/>
    </row>
    <row r="48">
      <c r="A48" s="4" t="inlineStr"/>
      <c r="B48" s="4" t="inlineStr">
        <is>
          <t>U.S. OSHA, Hazardous Waste Operations and Emergency Response (HAZWOPER), 29 CFR 1910.120 — https://www.osha.gov/laws-regs/regulations/standardnumber/1910/1910.120</t>
        </is>
      </c>
      <c r="C48" s="4" t="inlineStr"/>
      <c r="D48" s="4" t="inlineStr"/>
    </row>
    <row r="49">
      <c r="A49" s="4" t="inlineStr"/>
      <c r="B49" s="4" t="inlineStr">
        <is>
          <t>War Manpower Commission, Training Within Industry Service, Job Instruction (1944) — https://www.govinfo.gov/content/pkg/GOVPUB-PR32_5200-00275cf1fd80a1d51995ae716fd38f34/html/GOVPUB-PR32_5200-00275cf1fd80a1d51995ae716fd38f34.htm</t>
        </is>
      </c>
      <c r="C49" s="4" t="inlineStr"/>
      <c r="D49" s="4" t="inlineStr"/>
    </row>
    <row r="50">
      <c r="A50" s="4" t="inlineStr"/>
      <c r="B50" s="4" t="inlineStr">
        <is>
          <t>Grove, High Output Management (Random House, 1983) — https://www.penguinrandomhouse.com/books/163289/high-output-management-by-andrew-s-grove/</t>
        </is>
      </c>
      <c r="C50" s="4" t="inlineStr"/>
      <c r="D50" s="4" t="inlineStr"/>
    </row>
    <row r="51">
      <c r="A51" s="4" t="inlineStr"/>
      <c r="B51" s="4" t="inlineStr">
        <is>
          <t>Hersey &amp; Blanchard, Management of Organizational Behavior: Utilizing Human Resources (Prentice-Hall, 1969)</t>
        </is>
      </c>
      <c r="C51" s="4" t="inlineStr"/>
      <c r="D51" s="4" t="inlineStr"/>
    </row>
    <row r="52">
      <c r="A52" s="4" t="inlineStr"/>
      <c r="B52" s="4" t="inlineStr">
        <is>
          <t>Ohno, Toyota Production System: Beyond Large-Scale Production (Productivity Press, 1988) — https://www.routledge.com/Toyota-Production-System-Beyond-Large-Scale-Production/Ohno/p/book/9780915299140</t>
        </is>
      </c>
      <c r="C52" s="4" t="inlineStr"/>
      <c r="D52" s="4" t="inlineStr"/>
    </row>
    <row r="53">
      <c r="A53" s="4" t="inlineStr"/>
      <c r="B53" s="4" t="inlineStr">
        <is>
          <t>Lencioni, The Five Dysfunctions of a Team: A Leadership Fable (Jossey-Bass, 2002) — https://openlibrary.org/works/OL3906183W/The_five_dysfunctions_of_a_team</t>
        </is>
      </c>
      <c r="C53" s="4" t="inlineStr"/>
      <c r="D53" s="4" t="inlineStr"/>
    </row>
    <row r="54">
      <c r="A54" s="4" t="inlineStr"/>
      <c r="B54" s="4" t="inlineStr">
        <is>
          <t>ASCM (APICS), Supply Chain Operations Reference (SCOR) Digital Standard — https://www.ascm.org/corporate-solutions/standards-tools/scor-ds/</t>
        </is>
      </c>
      <c r="C54" s="4" t="inlineStr"/>
      <c r="D54" s="4" t="inlineStr"/>
    </row>
    <row r="55">
      <c r="A55" s="4" t="inlineStr"/>
      <c r="B55" s="4" t="inlineStr">
        <is>
          <t>Shingo, A Revolution in Manufacturing: The SMED System (Productivity Press, 1985) — https://www.routledge.com/A-Revolution-in-Manufacturing-The-SMED-System/Dillon-Shingo/p/book/9780915299034</t>
        </is>
      </c>
      <c r="C55" s="4" t="inlineStr"/>
      <c r="D55" s="4" t="inlineStr"/>
    </row>
    <row r="56">
      <c r="A56" s="4" t="inlineStr"/>
      <c r="B56" s="4" t="inlineStr">
        <is>
          <t>Horngren, Datar &amp; Rajan, Horngren's Cost Accounting: A Managerial Emphasis, 17th ed. (Pearson, 2023) — https://www.pearson.com/nl/en_NL/higher-education/subject-catalogue/accounting-and-taxation/Horngrens-Cost-Accounting-Datar-Rajan-17e.html</t>
        </is>
      </c>
      <c r="C56" s="4" t="inlineStr"/>
      <c r="D56"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2026-07-09T19:35:50Z</dcterms:created>
  <dcterms:modified xsi:type="dcterms:W3CDTF">2026-07-09T19:35:50Z</dcterms:modified>
</cp:coreProperties>
</file>