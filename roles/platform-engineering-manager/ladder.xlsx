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li-02" TargetMode="External" Id="rId1" /><Relationship Type="http://schemas.openxmlformats.org/officeDocument/2006/relationships/hyperlink" Target="https://github.com/jmresearch/open-capability-framework/blob/main/data/capabilities.md#em-13" TargetMode="External" Id="rId2" /><Relationship Type="http://schemas.openxmlformats.org/officeDocument/2006/relationships/hyperlink" Target="https://github.com/jmresearch/open-capability-framework/blob/main/data/capabilities.md#li-01" TargetMode="External" Id="rId3" /><Relationship Type="http://schemas.openxmlformats.org/officeDocument/2006/relationships/hyperlink" Target="https://github.com/jmresearch/open-capability-framework/blob/main/data/capabilities.md#em-02" TargetMode="External" Id="rId4" /><Relationship Type="http://schemas.openxmlformats.org/officeDocument/2006/relationships/hyperlink" Target="https://github.com/jmresearch/open-capability-framework/blob/main/data/capabilities.md#em-01" TargetMode="External" Id="rId5" /><Relationship Type="http://schemas.openxmlformats.org/officeDocument/2006/relationships/hyperlink" Target="https://github.com/jmresearch/open-capability-framework/blob/main/data/capabilities.md#em-03" TargetMode="External" Id="rId6" /><Relationship Type="http://schemas.openxmlformats.org/officeDocument/2006/relationships/hyperlink" Target="https://github.com/jmresearch/open-capability-framework/blob/main/data/capabilities.md#em-17" TargetMode="External" Id="rId7" /><Relationship Type="http://schemas.openxmlformats.org/officeDocument/2006/relationships/hyperlink" Target="https://github.com/jmresearch/open-capability-framework/blob/main/data/capabilities.md#pm-05" TargetMode="External" Id="rId8" /><Relationship Type="http://schemas.openxmlformats.org/officeDocument/2006/relationships/hyperlink" Target="https://github.com/jmresearch/open-capability-framework/blob/main/data/capabilities.md#pm-01" TargetMode="External" Id="rId9" /><Relationship Type="http://schemas.openxmlformats.org/officeDocument/2006/relationships/hyperlink" Target="https://github.com/jmresearch/open-capability-framework/blob/main/data/capabilities.md#pd-06" TargetMode="External" Id="rId10" /><Relationship Type="http://schemas.openxmlformats.org/officeDocument/2006/relationships/hyperlink" Target="https://github.com/jmresearch/open-capability-framework/blob/main/data/capabilities.md#ops-27" TargetMode="External" Id="rId11" /><Relationship Type="http://schemas.openxmlformats.org/officeDocument/2006/relationships/hyperlink" Target="https://github.com/jmresearch/open-capability-framework/blob/main/data/capabilities.md#ops-27" TargetMode="External" Id="rId12" /><Relationship Type="http://schemas.openxmlformats.org/officeDocument/2006/relationships/hyperlink" Target="https://github.com/jmresearch/open-capability-framework/blob/main/data/capabilities.md#ops-33" TargetMode="External" Id="rId13" /><Relationship Type="http://schemas.openxmlformats.org/officeDocument/2006/relationships/hyperlink" Target="https://github.com/jmresearch/open-capability-framework/blob/main/data/capabilities.md#dr-01" TargetMode="External" Id="rId14" /><Relationship Type="http://schemas.openxmlformats.org/officeDocument/2006/relationships/hyperlink" Target="https://github.com/jmresearch/open-capability-framework/blob/main/data/capabilities.md#ops-04" TargetMode="External" Id="rId15" /><Relationship Type="http://schemas.openxmlformats.org/officeDocument/2006/relationships/hyperlink" Target="https://github.com/jmresearch/open-capability-framework/blob/main/data/capabilities.md#em-10" TargetMode="External" Id="rId16" /><Relationship Type="http://schemas.openxmlformats.org/officeDocument/2006/relationships/hyperlink" Target="https://github.com/jmresearch/open-capability-framework/blob/main/data/capabilities.md#ops-05" TargetMode="External" Id="rId17" /><Relationship Type="http://schemas.openxmlformats.org/officeDocument/2006/relationships/hyperlink" Target="https://github.com/jmresearch/open-capability-framework/blob/main/data/capabilities.md#ops-28" TargetMode="External" Id="rId18" /><Relationship Type="http://schemas.openxmlformats.org/officeDocument/2006/relationships/hyperlink" Target="https://github.com/jmresearch/open-capability-framework/blob/main/data/capabilities.md#ops-07" TargetMode="External" Id="rId19" /><Relationship Type="http://schemas.openxmlformats.org/officeDocument/2006/relationships/hyperlink" Target="https://github.com/jmresearch/open-capability-framework/blob/main/data/capabilities.md#arc-10" TargetMode="External" Id="rId20" /><Relationship Type="http://schemas.openxmlformats.org/officeDocument/2006/relationships/hyperlink" Target="https://github.com/jmresearch/open-capability-framework/blob/main/data/capabilities.md#swe-02" TargetMode="External" Id="rId21" /><Relationship Type="http://schemas.openxmlformats.org/officeDocument/2006/relationships/hyperlink" Target="https://github.com/jmresearch/open-capability-framework/blob/main/data/capabilities.md#em-15" TargetMode="External" Id="rId22" /><Relationship Type="http://schemas.openxmlformats.org/officeDocument/2006/relationships/hyperlink" Target="https://github.com/jmresearch/open-capability-framework/blob/main/data/capabilities.md#li-03" TargetMode="External" Id="rId23" /><Relationship Type="http://schemas.openxmlformats.org/officeDocument/2006/relationships/hyperlink" Target="https://github.com/jmresearch/open-capability-framework/blob/main/data/capabilities.md#em-06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pd-04" TargetMode="External" Id="rId26" /><Relationship Type="http://schemas.openxmlformats.org/officeDocument/2006/relationships/hyperlink" Target="https://github.com/jmresearch/open-capability-framework/blob/main/data/capabilities.md#pd-02" TargetMode="External" Id="rId27" /><Relationship Type="http://schemas.openxmlformats.org/officeDocument/2006/relationships/hyperlink" Target="https://github.com/jmresearch/open-capability-framework/blob/main/data/capabilities.md#em-05" TargetMode="External" Id="rId28" /><Relationship Type="http://schemas.openxmlformats.org/officeDocument/2006/relationships/hyperlink" Target="https://github.com/jmresearch/open-capability-framework/blob/main/data/capabilities.md#em-07" TargetMode="External" Id="rId29" /><Relationship Type="http://schemas.openxmlformats.org/officeDocument/2006/relationships/hyperlink" Target="https://github.com/jmresearch/open-capability-framework/blob/main/data/capabilities.md#em-09" TargetMode="External" Id="rId30" /><Relationship Type="http://schemas.openxmlformats.org/officeDocument/2006/relationships/hyperlink" Target="https://github.com/jmresearch/open-capability-framework/blob/main/data/capabilities.md#em-08" TargetMode="External" Id="rId31" /><Relationship Type="http://schemas.openxmlformats.org/officeDocument/2006/relationships/hyperlink" Target="https://github.com/jmresearch/open-capability-framework/blob/main/data/capabilities.md#risk-01" TargetMode="External" Id="rId32" /><Relationship Type="http://schemas.openxmlformats.org/officeDocument/2006/relationships/hyperlink" Target="https://github.com/jmresearch/open-capability-framework/blob/main/data/capabilities.md#strat-01" TargetMode="External" Id="rId33" /><Relationship Type="http://schemas.openxmlformats.org/officeDocument/2006/relationships/hyperlink" Target="https://github.com/jmresearch/open-capability-framework/blob/main/data/capabilities.md#em-12" TargetMode="External" Id="rId34" /><Relationship Type="http://schemas.openxmlformats.org/officeDocument/2006/relationships/hyperlink" Target="https://github.com/jmresearch/open-capability-framework/blob/main/data/capabilities.md#em-04" TargetMode="External" Id="rId35" /><Relationship Type="http://schemas.openxmlformats.org/officeDocument/2006/relationships/hyperlink" Target="https://github.com/jmresearch/open-capability-framework/blob/main/data/capabilities.md#cc-06" TargetMode="External" Id="rId36" /><Relationship Type="http://schemas.openxmlformats.org/officeDocument/2006/relationships/hyperlink" Target="https://github.com/jmresearch/open-capability-framework/blob/main/data/capabilities.md#pm-13" TargetMode="External" Id="rId37" /><Relationship Type="http://schemas.openxmlformats.org/officeDocument/2006/relationships/hyperlink" Target="https://github.com/jmresearch/open-capability-framework/blob/main/data/capabilities.md#li-07" TargetMode="External" Id="rId38" /><Relationship Type="http://schemas.openxmlformats.org/officeDocument/2006/relationships/hyperlink" Target="https://github.com/jmresearch/open-capability-framework/blob/main/data/capabilities.md#em-16" TargetMode="External" Id="rId39" /><Relationship Type="http://schemas.openxmlformats.org/officeDocument/2006/relationships/hyperlink" Target="https://github.com/jmresearch/open-capability-framework/blob/main/data/capabilities.md#em-14" TargetMode="External" Id="rId40" /><Relationship Type="http://schemas.openxmlformats.org/officeDocument/2006/relationships/hyperlink" Target="https://github.com/jmresearch/open-capability-framework/blob/main/data/capabilities.md#li-09" TargetMode="External" Id="rId41" /><Relationship Type="http://schemas.openxmlformats.org/officeDocument/2006/relationships/hyperlink" Target="https://github.com/jmresearch/open-capability-framework/blob/main/data/capabilities.md#li-10" TargetMode="External" Id="rId42" /><Relationship Type="http://schemas.openxmlformats.org/officeDocument/2006/relationships/hyperlink" Target="https://github.com/jmresearch/open-capability-framework/blob/main/data/capabilities.md#li-04" TargetMode="External" Id="rId43" /><Relationship Type="http://schemas.openxmlformats.org/officeDocument/2006/relationships/hyperlink" Target="https://github.com/jmresearch/open-capability-framework/blob/main/data/capabilities.md#li-11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 Management</t>
        </is>
      </c>
    </row>
    <row r="2">
      <c r="A2" s="1" t="inlineStr">
        <is>
          <t>Slug</t>
        </is>
      </c>
      <c r="B2" s="2" t="inlineStr">
        <is>
          <t>platform-engineering-manager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2026-07-07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Platform Engineering Manager</t>
        </is>
      </c>
      <c r="C7" s="4" t="inlineStr">
        <is>
          <t>one platform team</t>
        </is>
      </c>
      <c r="D7" s="4" t="inlineStr">
        <is>
          <t>builds one healthy platform team and the platform-as-a-product fundamentals</t>
        </is>
      </c>
    </row>
    <row r="8">
      <c r="A8" s="3" t="inlineStr">
        <is>
          <t>M2</t>
        </is>
      </c>
      <c r="B8" s="3" t="inlineStr">
        <is>
          <t>Senior Platform Engineering Manager</t>
        </is>
      </c>
      <c r="C8" s="4" t="inlineStr">
        <is>
          <t>a complex / critical platform team</t>
        </is>
      </c>
      <c r="D8" s="4" t="inlineStr">
        <is>
          <t>runs a high-stakes platform team and its reliability and DevEx outcomes</t>
        </is>
      </c>
    </row>
    <row r="9">
      <c r="A9" s="3" t="inlineStr">
        <is>
          <t>M3</t>
        </is>
      </c>
      <c r="B9" s="3" t="inlineStr">
        <is>
          <t>Director of Platform Engineering</t>
        </is>
      </c>
      <c r="C9" s="4" t="inlineStr">
        <is>
          <t>a platform domain (cross-team)</t>
        </is>
      </c>
      <c r="D9" s="4" t="inlineStr">
        <is>
          <t>sets strategy and paved-road standards for a cross-team platform domain</t>
        </is>
      </c>
    </row>
    <row r="10">
      <c r="A10" s="3" t="inlineStr">
        <is>
          <t>M4</t>
        </is>
      </c>
      <c r="B10" s="3" t="inlineStr">
        <is>
          <t>Senior Director of Platform Engineering</t>
        </is>
      </c>
      <c r="C10" s="4" t="inlineStr">
        <is>
          <t>a platform sub-org</t>
        </is>
      </c>
      <c r="D10" s="4" t="inlineStr">
        <is>
          <t>builds the operating system and architecture a platform sub-org runs on</t>
        </is>
      </c>
    </row>
    <row r="11">
      <c r="A11" s="3" t="inlineStr">
        <is>
          <t>M5</t>
        </is>
      </c>
      <c r="B11" s="3" t="inlineStr">
        <is>
          <t>VP of Platform Engineering</t>
        </is>
      </c>
      <c r="C11" s="4" t="inlineStr">
        <is>
          <t>the platform function</t>
        </is>
      </c>
      <c r="D11" s="4" t="inlineStr">
        <is>
          <t>sets platform-function direction and represents developer productivity to the business</t>
        </is>
      </c>
    </row>
    <row r="12">
      <c r="A12" s="3" t="inlineStr">
        <is>
          <t>M6</t>
        </is>
      </c>
      <c r="B12" s="3" t="inlineStr">
        <is>
          <t>SVP / Head of Platform</t>
        </is>
      </c>
      <c r="C12" s="4" t="inlineStr">
        <is>
          <t>org-wide platform</t>
        </is>
      </c>
      <c r="D12" s="4" t="inlineStr">
        <is>
          <t>sets org-wide platform vision, operating model, and the company-level infrastructure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People Leadership &amp; Team Health</t>
        </is>
      </c>
      <c r="B2" s="4" t="inlineStr">
        <is>
          <t>Hiring &amp; Team Formation</t>
        </is>
      </c>
      <c r="C2" s="4" t="inlineStr">
        <is>
          <t>Hiring &amp; selection</t>
        </is>
      </c>
      <c r="D2" s="6" t="inlineStr">
        <is>
          <t>LI-02</t>
        </is>
      </c>
      <c r="E2" s="4" t="inlineStr">
        <is>
          <t>Builds the team through hiring and placement.</t>
        </is>
      </c>
      <c r="F2" s="4" t="inlineStr">
        <is>
          <t>Schmidt &amp; Hunter, The Validity and Utility of Selection Methods in Personnel Psychology, Psychological Bulletin 124(2), 262-274 (1998) — structured, work-sample selection predicts job performance far better than unstructured judgment</t>
        </is>
      </c>
      <c r="G2" s="4" t="inlineStr">
        <is>
          <t>Depth: Shapes hiring for a team; designs loops; makes sound staffing calls. Evidenced by: Defends every hire/no-hire in debrief with recorded signal evidence rather than gut feel. Scope: one platform team.</t>
        </is>
      </c>
      <c r="H2" s="4" t="inlineStr">
        <is>
          <t>Depth: Shapes hiring for a team; designs loops; makes sound staffing calls. Evidenced by: Rebuilds a loop that is letting weak candidates through by tightening the signals it actually tests. Scope: a complex / critical platform team.</t>
        </is>
      </c>
      <c r="I2" s="4" t="inlineStr">
        <is>
          <t>Depth: Drives hiring strategy across teams; builds the interviewing bar. Evidenced by: Publishes the rubric and calibration cadence several teams' loops now run on. Scope: a platform domain (cross-team).</t>
        </is>
      </c>
      <c r="J2" s="4" t="inlineStr">
        <is>
          <t>Depth: Drives hiring strategy across teams; builds the interviewing bar. Evidenced by: Certifies interviewers and installs a bar-raiser mechanism that measurably lifts quality-of-hire. Scope: a platform sub-org.</t>
        </is>
      </c>
      <c r="K2" s="4" t="inlineStr">
        <is>
          <t>Depth: Sets the org's talent strategy. Evidenced by: Shapes leveling and headcount decisions across the function from pipeline and labor-market data. Scope: the platform function.</t>
        </is>
      </c>
      <c r="L2" s="4" t="inlineStr">
        <is>
          <t>Depth: Shapes company-wide talent philosophy. Evidenced by: Pioneers selection practice, like work-sample design for platform work, that other organizations copy. Scope: org-wide platform.</t>
        </is>
      </c>
    </row>
    <row r="3">
      <c r="A3" s="4" t="inlineStr">
        <is>
          <t>People Leadership &amp; Team Health</t>
        </is>
      </c>
      <c r="B3" s="4" t="inlineStr">
        <is>
          <t>Hiring &amp; Team Formation</t>
        </is>
      </c>
      <c r="C3" s="4" t="inlineStr">
        <is>
          <t>Onboarding &amp; team formation</t>
        </is>
      </c>
      <c r="D3" s="6" t="inlineStr">
        <is>
          <t>EM-13</t>
        </is>
      </c>
      <c r="E3" s="4" t="inlineStr">
        <is>
          <t>Ramps new people to productivity fast and leads teams through formation stages — launches, merges, and resets — deliberately rather than enduring them.</t>
        </is>
      </c>
      <c r="F3" s="4" t="inlineStr">
        <is>
          <t>Tuckman, Developmental Sequence in Small Groups, Psychological Bulletin 63(6), 384-399 (1965) — teams cross forming-storming-norming-performing, and the manager's job is to shorten that arc</t>
        </is>
      </c>
      <c r="G3" s="4" t="inlineStr">
        <is>
          <t>Depth: Runs a 30/60/90 onboarding with named buddies and early wins; new hires ship in their first weeks and say so in check-ins. Evidenced by: Gets a new platform hire shipping a real change within their first sprint. Scope: one platform team.</t>
        </is>
      </c>
      <c r="H3" s="4" t="inlineStr">
        <is>
          <t>Depth: Reads a team's formation stage and intervenes on it — resets norms after a merge, names storming in the room instead of managing it by email. Evidenced by: Reads where a forming team is stuck in storming and intervenes to move it to performing. Scope: a complex / critical platform team.</t>
        </is>
      </c>
      <c r="I3" s="4" t="inlineStr">
        <is>
          <t>Depth: Builds the onboarding and team-launch playbook multiple teams use; teams start faster because of materials and rituals they created, and stands up whole new teams repeatedly. Evidenced by: Ships a reusable ramp template and 30/60/90 model that cuts time-to-first-contribution across the domain. Scope: a platform domain (cross-team).</t>
        </is>
      </c>
      <c r="J3" s="4" t="inlineStr">
        <is>
          <t>Depth: Builds the onboarding and team-launch playbook multiple teams use; teams start faster because of materials and rituals they created, and stands up whole new teams repeatedly. Evidenced by: Stands up a new platform team from scratch to productive without a delivery trough. Scope: a platform sub-org.</t>
        </is>
      </c>
      <c r="K3" s="4" t="inlineStr">
        <is>
          <t>Depth: Designs how an organization absorbs step-change growth — acquisitions, new sites, doubled headcount — without culture dilution; integration plans carry named cultural mechanisms. Evidenced by: Sets the norms that keep newly formed platform teams productive through function-wide scaling. Scope: the platform function.</t>
        </is>
      </c>
      <c r="L3" s="4" t="inlineStr">
        <is>
          <t>Depth: Makes team formation an organization-wide capability — new groups spin up predictably without heroics — and audits that the machinery still works. Evidenced by: Pioneers the team-formation playbook other engineering functions reuse. Scope: org-wide platform.</t>
        </is>
      </c>
    </row>
    <row r="4">
      <c r="A4" s="4" t="inlineStr">
        <is>
          <t>People Leadership &amp; Team Health</t>
        </is>
      </c>
      <c r="B4" s="4" t="inlineStr">
        <is>
          <t>Coaching &amp; Performance</t>
        </is>
      </c>
      <c r="C4" s="4" t="inlineStr">
        <is>
          <t>Coaching &amp; development</t>
        </is>
      </c>
      <c r="D4" s="6" t="inlineStr">
        <is>
          <t>LI-01</t>
        </is>
      </c>
      <c r="E4" s="4" t="inlineStr">
        <is>
          <t>Grows other people's capability.</t>
        </is>
      </c>
      <c r="F4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4" s="4" t="inlineStr">
        <is>
          <t>Depth: Coaches engineers with growth-oriented feedback; measurably improves a team's skill. Evidenced by: Turns a specific platform-engineer weakness into a visible skill gain within a quarter. Scope: one platform team.</t>
        </is>
      </c>
      <c r="H4" s="4" t="inlineStr">
        <is>
          <t>Depth: Coaches engineers with growth-oriented feedback; measurably improves a team's skill. Evidenced by: Develops a report into a tech lead who now runs a workstream unaided. Scope: a complex / critical platform team.</t>
        </is>
      </c>
      <c r="I4" s="4" t="inlineStr">
        <is>
          <t>Depth: Develops future leads across teams; shapes hiring and onboarding. Evidenced by: Runs coaching-the-coach sessions that lift how platform leads across the domain develop their own people. Scope: a platform domain (cross-team).</t>
        </is>
      </c>
      <c r="J4" s="4" t="inlineStr">
        <is>
          <t>Depth: Develops future leads across teams; shapes hiring and onboarding. Evidenced by: Produces leaders others actively recruit onto their teams. Scope: a platform sub-org.</t>
        </is>
      </c>
      <c r="K4" s="4" t="inlineStr">
        <is>
          <t>Depth: Develops senior engineers and leaders; builds culture deliberately. Evidenced by: Sets development standards leaders across the function coach against. Scope: the platform function.</t>
        </is>
      </c>
      <c r="L4" s="4" t="inlineStr">
        <is>
          <t>Depth: Develops the next generation of top talent; legacy outlasts tenure. Evidenced by: Pioneers a development model peer functions adopt. Scope: org-wide platform.</t>
        </is>
      </c>
    </row>
    <row r="5">
      <c r="A5" s="4" t="inlineStr">
        <is>
          <t>People Leadership &amp; Team Health</t>
        </is>
      </c>
      <c r="B5" s="4" t="inlineStr">
        <is>
          <t>Coaching &amp; Performance</t>
        </is>
      </c>
      <c r="C5" s="4" t="inlineStr">
        <is>
          <t>Career development &amp; sponsorship</t>
        </is>
      </c>
      <c r="D5" s="6" t="inlineStr">
        <is>
          <t>EM-02</t>
        </is>
      </c>
      <c r="E5" s="4" t="inlineStr">
        <is>
          <t>Growing engineers through development plans, advancement opportunities, and active sponsorship.</t>
        </is>
      </c>
      <c r="F5" s="4" t="inlineStr">
        <is>
          <t>Hewlett, Forget a Mentor, Find a Sponsor: The New Way to Fast-Track Your Career (Harvard Business Review Press, 2013) — advancement comes from spending capital on people, not just mentoring them</t>
        </is>
      </c>
      <c r="G5" s="4" t="inlineStr">
        <is>
          <t>Depth: Coaches direct reports on standard career growth with normal review. Evidenced by: Puts a report's name forward for a visible platform project that stretches them. Scope: one platform team.</t>
        </is>
      </c>
      <c r="H5" s="4" t="inlineStr">
        <is>
          <t>Depth: Independently sponsors people into stretch roles and navigates complex growth paths. Evidenced by: Gets a deserving platform engineer promoted through a defensible packet. Scope: a complex / critical platform team.</t>
        </is>
      </c>
      <c r="I5" s="4" t="inlineStr">
        <is>
          <t>Depth: Defines career-development practices others adopt and unblocks the toughest growth cases. Evidenced by: Advocates for talent in cross-team calibration rooms they do not own, moving outcomes for people who are not theirs. Scope: a platform domain (cross-team).</t>
        </is>
      </c>
      <c r="J5" s="4" t="inlineStr">
        <is>
          <t>Depth: Defines career-development practices others adopt and unblocks the toughest growth cases. Evidenced by: Spends visible capital to place emerging platform leaders into scope. Scope: a platform sub-org.</t>
        </is>
      </c>
      <c r="K5" s="4" t="inlineStr">
        <is>
          <t>Depth: Sets the org's talent-development strategy and anticipates future capability needs. Evidenced by: Sets the sponsorship expectations leaders across the function are held to. Scope: the platform function.</t>
        </is>
      </c>
      <c r="L5" s="4" t="inlineStr">
        <is>
          <t>Depth: Defines exemplary career sponsorship for the discipline and is externally recognized for it. Evidenced by: Pioneers a sponsorship model that measurably widens the platform leadership pipeline. Scope: org-wide platform.</t>
        </is>
      </c>
    </row>
    <row r="6">
      <c r="A6" s="4" t="inlineStr">
        <is>
          <t>People Leadership &amp; Team Health</t>
        </is>
      </c>
      <c r="B6" s="4" t="inlineStr">
        <is>
          <t>Coaching &amp; Performance</t>
        </is>
      </c>
      <c r="C6" s="4" t="inlineStr">
        <is>
          <t>Performance management</t>
        </is>
      </c>
      <c r="D6" s="6" t="inlineStr">
        <is>
          <t>EM-01</t>
        </is>
      </c>
      <c r="E6" s="4" t="inlineStr">
        <is>
          <t>Setting expectations, evaluating performance, and addressing under-performance fairly and clearly.</t>
        </is>
      </c>
      <c r="F6" s="4" t="inlineStr">
        <is>
          <t>Grove, High Output Management (Random House, 1983) — a manager's output is the team's output, so managing performance is the core lever</t>
        </is>
      </c>
      <c r="G6" s="4" t="inlineStr">
        <is>
          <t>Depth: Independently manages underperformance and difficult cases through to clear resolution. Evidenced by: Addresses an underperforming platform engineer directly with a documented plan rather than letting it drift. Scope: one platform team.</t>
        </is>
      </c>
      <c r="H6" s="4" t="inlineStr">
        <is>
          <t>Depth: Independently manages underperformance and difficult cases through to clear resolution. Evidenced by: Runs a difficult exit cleanly and defensibly. Scope: a complex / critical platform team.</t>
        </is>
      </c>
      <c r="I6" s="4" t="inlineStr">
        <is>
          <t>Depth: Defines accountability practices other managers adopt and coaches them through hard cases. Evidenced by: Runs cross-team calibration that holds a fair, comparable bar across the domain. Scope: a platform domain (cross-team).</t>
        </is>
      </c>
      <c r="J6" s="4" t="inlineStr">
        <is>
          <t>Depth: Defines accountability practices other managers adopt and coaches them through hard cases. Evidenced by: Corrects rating drift between teams so the bar means the same everywhere. Scope: a platform sub-org.</t>
        </is>
      </c>
      <c r="K6" s="4" t="inlineStr">
        <is>
          <t>Depth: Sets the org's performance philosophy and anticipates systemic accountability gaps. Evidenced by: Sets the standard leaders across the function calibrate to. Scope: the platform function.</t>
        </is>
      </c>
      <c r="L6" s="4" t="inlineStr">
        <is>
          <t>Depth: Defines what fair, effective performance management means and influences the field externally. Evidenced by: Pioneers a performance model peer functions adopt. Scope: org-wide platform.</t>
        </is>
      </c>
    </row>
    <row r="7">
      <c r="A7" s="4" t="inlineStr">
        <is>
          <t>People Leadership &amp; Team Health</t>
        </is>
      </c>
      <c r="B7" s="4" t="inlineStr">
        <is>
          <t>Team Health &amp; Culture</t>
        </is>
      </c>
      <c r="C7" s="4" t="inlineStr">
        <is>
          <t>Psychological safety &amp; team health</t>
        </is>
      </c>
      <c r="D7" s="6" t="inlineStr">
        <is>
          <t>EM-03</t>
        </is>
      </c>
      <c r="E7" s="4" t="inlineStr">
        <is>
          <t>Creates the conditions where people raise problems, dissent, and admit mistakes without penalty; reads and repairs team-health signals (conflict, burnout risk, on-call load).</t>
        </is>
      </c>
      <c r="F7" s="4" t="inlineStr">
        <is>
          <t>Edmondson, The Fearless Organization: Creating Psychological Safety in the Workplace for Learning, Innovation, and Growth (Wiley, 2018) — safety is the top predictor of team performance and the precondition for blameless ops</t>
        </is>
      </c>
      <c r="G7" s="4" t="inlineStr">
        <is>
          <t>Depth: Sustains safety through pressure (incidents, deadlines, change); repairs damaged trust; the team measurably speaks up (postmortems name real causes). Evidenced by: Models admitting their own mistakes so engineers surface problems early instead of hiding them. Scope: one platform team.</t>
        </is>
      </c>
      <c r="H7" s="4" t="inlineStr">
        <is>
          <t>Depth: Sustains safety through pressure (incidents, deadlines, change); repairs damaged trust; the team measurably speaks up (postmortems name real causes). Evidenced by: Keeps a severe-outage review blameless so the real contributing causes come out. Scope: a complex / critical platform team.</t>
        </is>
      </c>
      <c r="I7" s="4" t="inlineStr">
        <is>
          <t>Depth: Diagnoses and fixes systemic safety failures across teams; other leaders seek their help on entrenched conflict and burnout patterns. Evidenced by: Instruments team-health signals across the domain and acts on a declining one before it becomes attrition. Scope: a platform domain (cross-team).</t>
        </is>
      </c>
      <c r="J7" s="4" t="inlineStr">
        <is>
          <t>Depth: Diagnoses and fixes systemic safety failures across teams; other leaders seek their help on entrenched conflict and burnout patterns. Evidenced by: Turns around an unhealthy team's culture through the leader running it. Scope: a platform sub-org.</t>
        </is>
      </c>
      <c r="K7" s="4" t="inlineStr">
        <is>
          <t>Depth: Sets the org's team-health bar and mechanisms; safety practices they designed are adopted org-wide. Evidenced by: Sets the health norms leaders across the function are measured against. Scope: the platform function.</t>
        </is>
      </c>
      <c r="L7" s="4" t="inlineStr">
        <is>
          <t>Depth: Shapes how the industry thinks about team health; published practices others implement. Evidenced by: Pioneers a culture model other engineering functions copy. Scope: org-wide platform.</t>
        </is>
      </c>
    </row>
    <row r="8">
      <c r="A8" s="4" t="inlineStr">
        <is>
          <t>People Leadership &amp; Team Health</t>
        </is>
      </c>
      <c r="B8" s="4" t="inlineStr">
        <is>
          <t>Team Health &amp; Culture</t>
        </is>
      </c>
      <c r="C8" s="4" t="inlineStr">
        <is>
          <t>Motivation, engagement &amp; retention</t>
        </is>
      </c>
      <c r="D8" s="6" t="inlineStr">
        <is>
          <t>EM-17</t>
        </is>
      </c>
      <c r="E8" s="4" t="inlineStr">
        <is>
          <t>Builds durable intrinsic motivation: removes dissatisfiers, feeds autonomy/mastery/purpose, recognizes well.</t>
        </is>
      </c>
      <c r="F8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8" s="4" t="inlineStr">
        <is>
          <t>Depth: Sustains engagement through hard stretches; diagnoses systemic motivation problems (not just individuals) and fixes the conditions. Evidenced by: Spots a disengaging report early and re-engages them before they start looking. Scope: one platform team.</t>
        </is>
      </c>
      <c r="H8" s="4" t="inlineStr">
        <is>
          <t>Depth: Sustains engagement through hard stretches; diagnoses systemic motivation problems (not just individuals) and fixes the conditions. Evidenced by: Keeps regrettable attrition low on a critical platform team through a demanding period. Scope: a complex / critical platform team.</t>
        </is>
      </c>
      <c r="I8" s="4" t="inlineStr">
        <is>
          <t>Depth: Builds engagement mechanisms other teams adopt; reverses disengagement trends beyond their own span. Evidenced by: Reads engagement signals across the domain and fixes a systemic driver of attrition, not just symptoms. Scope: a platform domain (cross-team).</t>
        </is>
      </c>
      <c r="J8" s="4" t="inlineStr">
        <is>
          <t>Depth: Builds engagement mechanisms other teams adopt; reverses disengagement trends beyond their own span. Evidenced by: Shifts a sub-org's engagement trend through the leaders who own each team. Scope: a platform sub-org.</t>
        </is>
      </c>
      <c r="K8" s="4" t="inlineStr">
        <is>
          <t>Depth: Owns the engagement strategy for a function; conditions they designed show up in retention and survey trends. Evidenced by: Sets the expectations leaders across the function own for engagement. Scope: the platform function.</t>
        </is>
      </c>
      <c r="L8" s="4" t="inlineStr">
        <is>
          <t>Depth: Advances the practice of engagement in the field; frameworks others cite and use. Evidenced by: Pioneers retention practice for infrastructure talent that peers adopt. Scope: org-wide platform.</t>
        </is>
      </c>
    </row>
    <row r="9">
      <c r="A9" s="4" t="inlineStr">
        <is>
          <t>Platform as a Product</t>
        </is>
      </c>
      <c r="B9" s="4" t="inlineStr">
        <is>
          <t>Product Strategy &amp; Discovery</t>
        </is>
      </c>
      <c r="C9" s="4" t="inlineStr">
        <is>
          <t>Platform vision &amp; roadmap</t>
        </is>
      </c>
      <c r="D9" s="6" t="inlineStr">
        <is>
          <t>PM-05</t>
        </is>
      </c>
      <c r="E9" s="4" t="inlineStr">
        <is>
          <t>Sequencing initiatives across products and horizons against goals, capacity, and dependencies.</t>
        </is>
      </c>
      <c r="F9" s="4" t="inlineStr">
        <is>
          <t>Perri, Escaping the Build Trap: How Effective Product Management Creates Real Value (O'Reilly, 2018) — a platform is run as a product with outcomes and sized as a thinnest-viable-platform, not a feature factory</t>
        </is>
      </c>
      <c r="G9" s="4" t="inlineStr">
        <is>
          <t>Depth: Builds and sequences a credible roadmap for one product with normal review. Evidenced by: States the problem each platform capability solves and for whom. Scope: one platform team.</t>
        </is>
      </c>
      <c r="H9" s="4" t="inlineStr">
        <is>
          <t>Depth: Independently balances competing priorities and replans confidently under shifting constraints. Evidenced by: Kills or defers a low-value platform build others wanted, with the outcome argument to back it. Scope: a complex / critical platform team.</t>
        </is>
      </c>
      <c r="I9" s="4" t="inlineStr">
        <is>
          <t>Depth: Designs the planning approach others use and resolves cross-team portfolio conflicts. Evidenced by: Publishes a domain platform strategy that redirects several teams' build priorities. Scope: a platform domain (cross-team).</t>
        </is>
      </c>
      <c r="J9" s="4" t="inlineStr">
        <is>
          <t>Depth: Designs the planning approach others use and resolves cross-team portfolio conflicts. Evidenced by: Frames the platform-as-a-product operating model the sub-org plans within. Scope: a platform sub-org.</t>
        </is>
      </c>
      <c r="K9" s="4" t="inlineStr">
        <is>
          <t>Depth: Sets portfolio planning strategy and foresees where investment should shift next. Evidenced by: Sets the platform bets the function organizes around and defends them at the exec table. Scope: the platform function.</t>
        </is>
      </c>
      <c r="L9" s="4" t="inlineStr">
        <is>
          <t>Depth: Defines portfolio-planning best practice for the field and is recognized for it. Evidenced by: Pioneers a platform strategy the industry recognizes. Scope: org-wide platform.</t>
        </is>
      </c>
    </row>
    <row r="10">
      <c r="A10" s="4" t="inlineStr">
        <is>
          <t>Platform as a Product</t>
        </is>
      </c>
      <c r="B10" s="4" t="inlineStr">
        <is>
          <t>Product Strategy &amp; Discovery</t>
        </is>
      </c>
      <c r="C10" s="4" t="inlineStr">
        <is>
          <t>Internal user research &amp; discovery</t>
        </is>
      </c>
      <c r="D10" s="6" t="inlineStr">
        <is>
          <t>PM-01</t>
        </is>
      </c>
      <c r="E10" s="4" t="inlineStr">
        <is>
          <t>Uncovering user needs and validating problems through interviews, observation, and experimentation.</t>
        </is>
      </c>
      <c r="F10" s="4" t="inlineStr">
        <is>
          <t>Noda, Storey, Forsgren &amp; Greiler, DevEx: What Actually Drives Productivity, ACM Queue 21(2) (2023) — platform value is set by developers' lived experience, which must be measured not assumed</t>
        </is>
      </c>
      <c r="G10" s="4" t="inlineStr">
        <is>
          <t>Depth: Plans and conducts standard discovery for a feature, synthesizing themes with normal review. Evidenced by: Turns an observed developer pain point into a prioritized platform fix. Scope: one platform team.</t>
        </is>
      </c>
      <c r="H10" s="4" t="inlineStr">
        <is>
          <t>Depth: Independently frames ambiguous problems, selects fitting methods, and separates signal from noise. Evidenced by: Quantifies a cognitive-load or feedback-loop problem the team then designs against. Scope: a complex / critical platform team.</t>
        </is>
      </c>
      <c r="I10" s="4" t="inlineStr">
        <is>
          <t>Depth: Designs the team's discovery approach and untangles findings others find contradictory. Evidenced by: Stands up a developer-experience measurement combining surveys and system signals that several teams now steer by. Scope: a platform domain (cross-team).</t>
        </is>
      </c>
      <c r="J10" s="4" t="inlineStr">
        <is>
          <t>Depth: Designs the team's discovery approach and untangles findings others find contradictory. Evidenced by: Makes DevEx evidence the default input to roadmap decisions across the sub-org. Scope: a platform sub-org.</t>
        </is>
      </c>
      <c r="K10" s="4" t="inlineStr">
        <is>
          <t>Depth: Sets the org's research strategy and anticipates emerging customer needs before they surface. Evidenced by: Sets the DevEx metrics the function commits to and reports upward. Scope: the platform function.</t>
        </is>
      </c>
      <c r="L10" s="4" t="inlineStr">
        <is>
          <t>Depth: Defines what rigorous product discovery means and shapes the discipline's practice externally. Evidenced by: Pioneers a DevEx research program other companies reference. Scope: org-wide platform.</t>
        </is>
      </c>
    </row>
    <row r="11">
      <c r="A11" s="4" t="inlineStr">
        <is>
          <t>Platform as a Product</t>
        </is>
      </c>
      <c r="B11" s="4" t="inlineStr">
        <is>
          <t>Product Strategy &amp; Discovery</t>
        </is>
      </c>
      <c r="C11" s="4" t="inlineStr">
        <is>
          <t>Platform value &amp; business case</t>
        </is>
      </c>
      <c r="D11" s="6" t="inlineStr">
        <is>
          <t>PD-06</t>
        </is>
      </c>
      <c r="E11" s="4" t="inlineStr">
        <is>
          <t>Connects technical work to user and business value.</t>
        </is>
      </c>
      <c r="F11" s="4" t="inlineStr">
        <is>
          <t>Cagan, INSPIRED: How to Create Tech Products Customers Love, 2nd Edition (Wiley, 2018) — platform investment is justified in value delivered, not output shipped</t>
        </is>
      </c>
      <c r="G11" s="4" t="inlineStr">
        <is>
          <t>Depth: Frames own work in user/business outcomes, not just tasks. Evidenced by: Ties a platform initiative to a concrete productivity or cost outcome. Scope: one platform team.</t>
        </is>
      </c>
      <c r="H11" s="4" t="inlineStr">
        <is>
          <t>Depth: Treats their area as a product; uses metrics to decide what to build for a domain. Evidenced by: Wins funding for a platform bet with a defensible value model. Scope: a complex / critical platform team.</t>
        </is>
      </c>
      <c r="I11" s="4" t="inlineStr">
        <is>
          <t>Depth: Expert at aligning technical bets with product strategy across teams. Evidenced by: Publishes a value and ROI framework several teams justify platform work with. Scope: a platform domain (cross-team).</t>
        </is>
      </c>
      <c r="J11" s="4" t="inlineStr">
        <is>
          <t>Depth: Expert at aligning technical bets with product strategy across teams. Evidenced by: Reframes platform from cost center to leverage multiplier for the sub-org's stakeholders. Scope: a platform sub-org.</t>
        </is>
      </c>
      <c r="K11" s="4" t="inlineStr">
        <is>
          <t>Depth: Sets product direction for an org's technical surface. Evidenced by: Sets the value narrative and metrics the function is funded against. Scope: the platform function.</t>
        </is>
      </c>
      <c r="L11" s="4" t="inlineStr">
        <is>
          <t>Depth: Shapes how the company creates value through technical products. Evidenced by: Pioneers a platform-value model the business plans capital around. Scope: org-wide platform.</t>
        </is>
      </c>
    </row>
    <row r="12">
      <c r="A12" s="4" t="inlineStr">
        <is>
          <t>Platform as a Product</t>
        </is>
      </c>
      <c r="B12" s="4" t="inlineStr">
        <is>
          <t>Developer Experience &amp; Adoption</t>
        </is>
      </c>
      <c r="C12" s="4" t="inlineStr">
        <is>
          <t>Golden paths &amp; paved roads</t>
        </is>
      </c>
      <c r="D12" s="6" t="inlineStr">
        <is>
          <t>OPS-27</t>
        </is>
      </c>
      <c r="E12" s="4" t="inlineStr">
        <is>
          <t>Build self-service internal platforms and paved paths that streamline delivery.</t>
        </is>
      </c>
      <c r="F12" s="4" t="inlineStr">
        <is>
          <t>Spotify Engineering, How We Use Golden Paths to Solve Fragmentation in Our Software Ecosystem (Spotify Engineering Blog, 2020) — an opinionated, supported path makes the right way the easy way</t>
        </is>
      </c>
      <c r="G12" s="4" t="inlineStr">
        <is>
          <t>Depth: Independently builds and supports standard platform capabilities and templates for routine developer needs with review. Evidenced by: Gets the team's users onto the paved road for one high-frequency task. Scope: one platform team.</t>
        </is>
      </c>
      <c r="H12" s="4" t="inlineStr">
        <is>
          <t>Depth: Designs self-service workflows for ambiguous needs, reducing friction and resolving hard abstraction and adoption issues. Evidenced by: Retires a fragmented set of bespoke setups onto a single supported golden path. Scope: a complex / critical platform team.</t>
        </is>
      </c>
      <c r="I12" s="4" t="inlineStr">
        <is>
          <t>Depth: Defines platform architecture and golden paths others adopt, solving deep developer-experience and leverage problems. Evidenced by: Defines what paved means across the domain, from support SLA to versioning and deprecation, and gets teams to build to it. Scope: a platform domain (cross-team).</t>
        </is>
      </c>
      <c r="J12" s="4" t="inlineStr">
        <is>
          <t>Depth: Defines platform architecture and golden paths others adopt, solving deep developer-experience and leverage problems. Evidenced by: Makes the golden path the default choice across the sub-org, not the exception. Scope: a platform sub-org.</t>
        </is>
      </c>
      <c r="K12" s="4" t="inlineStr">
        <is>
          <t>Depth: Sets organization-wide platform strategy, anticipating how developer-experience engineering should evolve. Evidenced by: Sets the paved-road principles the whole function designs to. Scope: the platform function.</t>
        </is>
      </c>
      <c r="L12" s="4" t="inlineStr">
        <is>
          <t>Depth: Defines what excellent platform engineering means for the field, shaping industry developer-experience practice. Evidenced by: Pioneers a golden-path model other engineering orgs adopt. Scope: org-wide platform.</t>
        </is>
      </c>
    </row>
    <row r="13">
      <c r="A13" s="4" t="inlineStr">
        <is>
          <t>Platform as a Product</t>
        </is>
      </c>
      <c r="B13" s="4" t="inlineStr">
        <is>
          <t>Developer Experience &amp; Adoption</t>
        </is>
      </c>
      <c r="C13" s="4" t="inlineStr">
        <is>
          <t>Self-service &amp; platform interfaces</t>
        </is>
      </c>
      <c r="D13" s="6" t="inlineStr">
        <is>
          <t>OPS-27</t>
        </is>
      </c>
      <c r="E13" s="4" t="inlineStr">
        <is>
          <t>Build self-service internal platforms and paved paths that streamline delivery.</t>
        </is>
      </c>
      <c r="F13" s="4" t="inlineStr">
        <is>
          <t>Bottcher, What I Talk About When I Talk About Platforms (martinfowler.com, 2018) — a platform's job is to cut cognitive load through interfaces developers use without asking anyone</t>
        </is>
      </c>
      <c r="G13" s="4" t="inlineStr">
        <is>
          <t>Depth: Independently builds and supports standard platform capabilities and templates for routine developer needs with review. Evidenced by: Eliminates a manual request path by making it self-serve. Scope: one platform team.</t>
        </is>
      </c>
      <c r="H13" s="4" t="inlineStr">
        <is>
          <t>Depth: Designs self-service workflows for ambiguous needs, reducing friction and resolving hard abstraction and adoption issues. Evidenced by: Removes the team as a human bottleneck from a high-volume workflow. Scope: a complex / critical platform team.</t>
        </is>
      </c>
      <c r="I13" s="4" t="inlineStr">
        <is>
          <t>Depth: Defines platform architecture and golden paths others adopt, solving deep developer-experience and leverage problems. Evidenced by: Defines the interface-contract pattern, whether API, portal, or paved road, that several platform teams now expose. Scope: a platform domain (cross-team).</t>
        </is>
      </c>
      <c r="J13" s="4" t="inlineStr">
        <is>
          <t>Depth: Defines platform architecture and golden paths others adopt, solving deep developer-experience and leverage problems. Evidenced by: Shifts the sub-org's platforms from ticket-driven to self-service by default. Scope: a platform sub-org.</t>
        </is>
      </c>
      <c r="K13" s="4" t="inlineStr">
        <is>
          <t>Depth: Sets organization-wide platform strategy, anticipating how developer-experience engineering should evolve. Evidenced by: Sets the target that platform work is consumed without human intervention across the function. Scope: the platform function.</t>
        </is>
      </c>
      <c r="L13" s="4" t="inlineStr">
        <is>
          <t>Depth: Defines what excellent platform engineering means for the field, shaping industry developer-experience practice. Evidenced by: Pioneers an internal-platform interface model the industry references. Scope: org-wide platform.</t>
        </is>
      </c>
    </row>
    <row r="14">
      <c r="A14" s="4" t="inlineStr">
        <is>
          <t>Platform as a Product</t>
        </is>
      </c>
      <c r="B14" s="4" t="inlineStr">
        <is>
          <t>Developer Experience &amp; Adoption</t>
        </is>
      </c>
      <c r="C14" s="4" t="inlineStr">
        <is>
          <t>Adoption &amp; migration strategy</t>
        </is>
      </c>
      <c r="D14" s="6" t="inlineStr">
        <is>
          <t>OPS-33</t>
        </is>
      </c>
      <c r="E14" s="4" t="inlineStr">
        <is>
          <t>Drives internal adoption of platform capabilities and manages the full lifecycle of platform surfaces - migration onto paved roads, long-tail burndown, and safe deprecation and sunsetting of what they replace.</t>
        </is>
      </c>
      <c r="F14" s="4" t="inlineStr">
        <is>
          <t>Winters, Manshreck &amp; Wright, Software Engineering at Google: Lessons Learned from Programming Over Time (O'Reilly, 2020) — a platform only creates value once adopted, and migrations and deprecations must be engineered and finished, not merely mandated</t>
        </is>
      </c>
      <c r="G14" s="4" t="inlineStr">
        <is>
          <t>Depth: Runs the adoption of a single capability end to end - communicates the change, provides migration tooling or docs, and clears the common blockers without help. Evidenced by: Moves the first cohort of teams onto a new platform version. Scope: one platform team.</t>
        </is>
      </c>
      <c r="H14" s="4" t="inlineStr">
        <is>
          <t>Depth: Owns a capability's adoption and deprecation as a program: sets migration tooling (codemods, automated rewrites), burns down the long tail, and enforces a deprecation policy with published timelines and support commitments. Evidenced by: Completes a migration including the last stubborn holdouts rather than stalling at eighty percent. Scope: a complex / critical platform team.</t>
        </is>
      </c>
      <c r="I14" s="4" t="inlineStr">
        <is>
          <t>Depth: Designs the migration operating model a domain reuses - adoption instrumentation, incentives, and deprecation guarantees - so multiple teams retire and replace surfaces predictably. Evidenced by: Defines the deprecation policy and migration-support standard several teams' rollouts now run on. Scope: a platform domain (cross-team).</t>
        </is>
      </c>
      <c r="J14" s="4" t="inlineStr">
        <is>
          <t>Depth: Designs the migration operating model a domain reuses - adoption instrumentation, incentives, and deprecation guarantees - so multiple teams retire and replace surfaces predictably. Evidenced by: Drives a sub-org-wide migration to completion through the teams that own each service. Scope: a platform sub-org.</t>
        </is>
      </c>
      <c r="K14" s="4" t="inlineStr">
        <is>
          <t>Depth: Sets the organization's adoption and deprecation standards: the sunset principles, the guarantee bar, and the mechanisms that keep the platform's surface area from sprawling as it grows. Evidenced by: Sets the adoption and sunsetting principles the function commits to. Scope: the platform function.</t>
        </is>
      </c>
      <c r="L14" s="4" t="inlineStr">
        <is>
          <t>Depth: Establishes adoption-and-lifecycle practice others in the field adopt; makes deprecation a trusted, low-friction default rather than a feared event across the industry. Evidenced by: Pioneers a migration model that keeps the org off long-lived forks. Scope: org-wide platform.</t>
        </is>
      </c>
    </row>
    <row r="15">
      <c r="A15" s="4" t="inlineStr">
        <is>
          <t>Platform as a Product</t>
        </is>
      </c>
      <c r="B15" s="4" t="inlineStr">
        <is>
          <t>Developer Experience &amp; Adoption</t>
        </is>
      </c>
      <c r="C15" s="4" t="inlineStr">
        <is>
          <t>Platform advocacy &amp; enablement</t>
        </is>
      </c>
      <c r="D15" s="6" t="inlineStr">
        <is>
          <t>DR-01</t>
        </is>
      </c>
      <c r="E15" s="4" t="inlineStr">
        <is>
          <t>Growing and nurturing developer communities and representing their needs internally.</t>
        </is>
      </c>
      <c r="F15" s="4" t="inlineStr">
        <is>
          <t>CNCF TAG App Delivery, Platform Engineering Maturity Model (2023) — platforms succeed on enablement and advocacy as much as on the technology</t>
        </is>
      </c>
      <c r="G15" s="4" t="inlineStr">
        <is>
          <t>Depth: Grows and supports a developer community segment with normal review. Evidenced by: Turns a confused user base into a competent one for one capability through documentation and support. Scope: one platform team.</t>
        </is>
      </c>
      <c r="H15" s="4" t="inlineStr">
        <is>
          <t>Depth: Independently builds thriving communities and defuses tense community conflicts. Evidenced by: Grows an internal champion network that advocates the platform without the team present. Scope: a complex / critical platform team.</t>
        </is>
      </c>
      <c r="I15" s="4" t="inlineStr">
        <is>
          <t>Depth: Defines community-building practices others adopt and revives flagging communities. Evidenced by: Stands up a platform-community and docs practice several teams run their enablement through. Scope: a platform domain (cross-team).</t>
        </is>
      </c>
      <c r="J15" s="4" t="inlineStr">
        <is>
          <t>Depth: Defines community-building practices others adopt and revives flagging communities. Evidenced by: Makes platform enablement a repeatable function rather than heroics across the sub-org. Scope: a platform sub-org.</t>
        </is>
      </c>
      <c r="K15" s="4" t="inlineStr">
        <is>
          <t>Depth: Sets the org's community strategy and anticipates where developer interest is shifting. Evidenced by: Sets the enablement and advocacy strategy the function invests in. Scope: the platform function.</t>
        </is>
      </c>
      <c r="L15" s="4" t="inlineStr">
        <is>
          <t>Depth: Defines what great developer advocacy means and is externally recognized for it. Evidenced by: Pioneers an internal developer-relations model peer functions and other orgs copy. Scope: org-wide platform.</t>
        </is>
      </c>
    </row>
    <row r="16">
      <c r="A16" s="4" t="inlineStr">
        <is>
          <t>Reliability &amp; Operations</t>
        </is>
      </c>
      <c r="B16" s="4" t="inlineStr">
        <is>
          <t>Reliability Engineering</t>
        </is>
      </c>
      <c r="C16" s="4" t="inlineStr">
        <is>
          <t>Reliability, SLOs &amp; error budgets</t>
        </is>
      </c>
      <c r="D16" s="6" t="inlineStr">
        <is>
          <t>OPS-04</t>
        </is>
      </c>
      <c r="E16" s="4" t="inlineStr">
        <is>
          <t>Keeps services healthy; designs for failure.</t>
        </is>
      </c>
      <c r="F16" s="4" t="inlineStr">
        <is>
          <t>Beyer, Jones, Petoff &amp; Murphy (eds.), Site Reliability Engineering: How Google Runs Production Systems (O'Reilly/Google, 2016) — SLOs and error budgets turn reliability from opinion into an explicit, negotiable target</t>
        </is>
      </c>
      <c r="G16" s="4" t="inlineStr">
        <is>
          <t>Depth: Builds retries, timeouts and fallbacks; understands blast radius. Evidenced by: Uses an error-budget breach to hold a release-versus-reliability trade-off honestly. Scope: one platform team.</t>
        </is>
      </c>
      <c r="H16" s="4" t="inlineStr">
        <is>
          <t>Depth: Designs for graceful degradation; defines SLOs; accountable for a domain's reliability. Evidenced by: Negotiates and enforces an error-budget policy that pauses feature work when reliability slips. Scope: a complex / critical platform team.</t>
        </is>
      </c>
      <c r="I16" s="4" t="inlineStr">
        <is>
          <t>Depth: Expert in resilience and capacity planning at scale; drives down incidents systemically. Evidenced by: Defines the reliability-target framework several teams now run their services against. Scope: a platform domain (cross-team).</t>
        </is>
      </c>
      <c r="J16" s="4" t="inlineStr">
        <is>
          <t>Depth: Expert in resilience and capacity planning at scale; drives down incidents systemically. Evidenced by: Makes error-budget policy the mechanism the sub-org's prioritization respects. Scope: a platform sub-org.</t>
        </is>
      </c>
      <c r="K16" s="4" t="inlineStr">
        <is>
          <t>Depth: Owns org-level reliability; fixes risk in process and org design. Evidenced by: Sets the reliability commitments the function makes to the business. Scope: the platform function.</t>
        </is>
      </c>
      <c r="L16" s="4" t="inlineStr">
        <is>
          <t>Depth: Sets the company's reliability philosophy. Evidenced by: Pioneers a reliability model other orgs adopt. Scope: org-wide platform.</t>
        </is>
      </c>
    </row>
    <row r="17">
      <c r="A17" s="4" t="inlineStr">
        <is>
          <t>Reliability &amp; Operations</t>
        </is>
      </c>
      <c r="B17" s="4" t="inlineStr">
        <is>
          <t>Reliability Engineering</t>
        </is>
      </c>
      <c r="C17" s="4" t="inlineStr">
        <is>
          <t>Incident &amp; operational-risk leadership</t>
        </is>
      </c>
      <c r="D17" s="6" t="inlineStr">
        <is>
          <t>EM-10</t>
        </is>
      </c>
      <c r="E17" s="4" t="inlineStr">
        <is>
          <t>Establishing on-call, incident response, and risk practices that protect reliability.</t>
        </is>
      </c>
      <c r="F17" s="4" t="inlineStr">
        <is>
          <t>PagerDuty, Incident Response Documentation (accessed 2026-07) — how an org runs incidents and blameless learning decides whether outages recur</t>
        </is>
      </c>
      <c r="G17" s="4" t="inlineStr">
        <is>
          <t>Depth: Manages standard incidents and routine operational risk with normal review. Evidenced by: Turns a postmortem's action items into shipped fixes rather than a filed document. Scope: one platform team.</t>
        </is>
      </c>
      <c r="H17" s="4" t="inlineStr">
        <is>
          <t>Depth: Independently leads severe incidents and drives durable remediation of risk. Evidenced by: Runs a major-incident review whose systemic fixes prevent the class of failure from recurring. Scope: a complex / critical platform team.</t>
        </is>
      </c>
      <c r="I17" s="4" t="inlineStr">
        <is>
          <t>Depth: Defines incident and risk practices others adopt and commands the worst crises calmly. Evidenced by: Defines the incident-command and postmortem practice several teams now run. Scope: a platform domain (cross-team).</t>
        </is>
      </c>
      <c r="J17" s="4" t="inlineStr">
        <is>
          <t>Depth: Defines incident and risk practices others adopt and commands the worst crises calmly. Evidenced by: Drives a measurable drop in MTTR or repeat incidents across the sub-org through the leaders who own each service. Scope: a platform sub-org.</t>
        </is>
      </c>
      <c r="K17" s="4" t="inlineStr">
        <is>
          <t>Depth: Sets the org's operational-risk strategy and anticipates systemic failure modes. Evidenced by: Sets the incident and reliability standard the function is accountable to. Scope: the platform function.</t>
        </is>
      </c>
      <c r="L17" s="4" t="inlineStr">
        <is>
          <t>Depth: Defines what excellent operational risk management means and shapes external practice. Evidenced by: Pioneers an operational-excellence practice other orgs reference. Scope: org-wide platform.</t>
        </is>
      </c>
    </row>
    <row r="18">
      <c r="A18" s="4" t="inlineStr">
        <is>
          <t>Reliability &amp; Operations</t>
        </is>
      </c>
      <c r="B18" s="4" t="inlineStr">
        <is>
          <t>Reliability Engineering</t>
        </is>
      </c>
      <c r="C18" s="4" t="inlineStr">
        <is>
          <t>Observability &amp; health signals</t>
        </is>
      </c>
      <c r="D18" s="6" t="inlineStr">
        <is>
          <t>OPS-05</t>
        </is>
      </c>
      <c r="E18" s="4" t="inlineStr">
        <is>
          <t>Makes system behavior visible.</t>
        </is>
      </c>
      <c r="F18" s="4" t="inlineStr">
        <is>
          <t>Majors, Fong-Jones &amp; Miranda, Observability Engineering: Achieving Production Excellence (O'Reilly, 2022) — you cannot operate or improve what you cannot see</t>
        </is>
      </c>
      <c r="G18" s="4" t="inlineStr">
        <is>
          <t>Depth: Instruments their services; builds dashboards; tunes alerts to limit noise. Evidenced by: Replaces a noisy or blind alert with a signal that maps to real user pain. Scope: one platform team.</t>
        </is>
      </c>
      <c r="H18" s="4" t="inlineStr">
        <is>
          <t>Depth: Designs observability for complex systems (end-to-end traces, quality signals, cost attribution). Evidenced by: Makes a previously opaque failure mode diagnosable in minutes. Scope: a complex / critical platform team.</t>
        </is>
      </c>
      <c r="I18" s="4" t="inlineStr">
        <is>
          <t>Depth: Expert in instrumentation trade-offs at scale, incl. privacy-safe logging. Evidenced by: Defines the instrumentation and alerting baseline several teams now build to. Scope: a platform domain (cross-team).</t>
        </is>
      </c>
      <c r="J18" s="4" t="inlineStr">
        <is>
          <t>Depth: Expert in instrumentation trade-offs at scale, incl. privacy-safe logging. Evidenced by: Makes health signals consistent and comparable across the sub-org's services. Scope: a platform sub-org.</t>
        </is>
      </c>
      <c r="K18" s="4" t="inlineStr">
        <is>
          <t>Depth: Defines org observability strategy. Evidenced by: Sets the observability standard the function commits to. Scope: the platform function.</t>
        </is>
      </c>
      <c r="L18" s="4" t="inlineStr">
        <is>
          <t>Depth: Shapes company-wide operational visibility; advances practice. Evidenced by: Pioneers an approach to health signals other orgs adopt. Scope: org-wide platform.</t>
        </is>
      </c>
    </row>
    <row r="19">
      <c r="A19" s="4" t="inlineStr">
        <is>
          <t>Reliability &amp; Operations</t>
        </is>
      </c>
      <c r="B19" s="4" t="inlineStr">
        <is>
          <t>Operational Leverage</t>
        </is>
      </c>
      <c r="C19" s="4" t="inlineStr">
        <is>
          <t>Toil reduction &amp; automation</t>
        </is>
      </c>
      <c r="D19" s="6" t="inlineStr">
        <is>
          <t>OPS-28</t>
        </is>
      </c>
      <c r="E19" s="4" t="inlineStr">
        <is>
          <t>Default to eliminating toil by automating repetitive operational work.</t>
        </is>
      </c>
      <c r="F19" s="4" t="inlineStr">
        <is>
          <t>Beyer, Jones, Petoff &amp; Murphy (eds.), Site Reliability Engineering: How Google Runs Production Systems (O'Reilly/Google, 2016) — unmanaged toil caps leverage; automating it is how platform scales sublinearly with load</t>
        </is>
      </c>
      <c r="G19" s="4" t="inlineStr">
        <is>
          <t>Depth: Independently automates routine operational tasks and integrates them into standard workflows with normal review. Evidenced by: Converts a recurring manual operational task into an automated one. Scope: one platform team.</t>
        </is>
      </c>
      <c r="H19" s="4" t="inlineStr">
        <is>
          <t>Depth: Designs automation for ambiguous, error-prone toil and resolves hard reliability and orchestration issues in pipelines. Evidenced by: Cuts on-call and operational load enough to visibly change the team's toil ratio. Scope: a complex / critical platform team.</t>
        </is>
      </c>
      <c r="I19" s="4" t="inlineStr">
        <is>
          <t>Depth: Defines automation patterns and toil-elimination practices others adopt, solving deep workflow and safety problems. Evidenced by: Defines the toil-budget practice several teams now manage their operational load with. Scope: a platform domain (cross-team).</t>
        </is>
      </c>
      <c r="J19" s="4" t="inlineStr">
        <is>
          <t>Depth: Defines automation patterns and toil-elimination practices others adopt, solving deep workflow and safety problems. Evidenced by: Drives a sub-org-wide reduction in toil through the platforms that eliminate it. Scope: a platform sub-org.</t>
        </is>
      </c>
      <c r="K19" s="4" t="inlineStr">
        <is>
          <t>Depth: Sets organization-wide automation strategy, anticipating where automation-first operations should head. Evidenced by: Sets the toil and automation targets the function commits to. Scope: the platform function.</t>
        </is>
      </c>
      <c r="L19" s="4" t="inlineStr">
        <is>
          <t>Depth: Defines what automation-first operations means for the discipline, externally credible in shaping the practice. Evidenced by: Pioneers an operational-leverage model other orgs adopt. Scope: org-wide platform.</t>
        </is>
      </c>
    </row>
    <row r="20">
      <c r="A20" s="4" t="inlineStr">
        <is>
          <t>Reliability &amp; Operations</t>
        </is>
      </c>
      <c r="B20" s="4" t="inlineStr">
        <is>
          <t>Operational Leverage</t>
        </is>
      </c>
      <c r="C20" s="4" t="inlineStr">
        <is>
          <t>Capacity, performance &amp; cost</t>
        </is>
      </c>
      <c r="D20" s="6" t="inlineStr">
        <is>
          <t>OPS-07</t>
        </is>
      </c>
      <c r="E20" s="4" t="inlineStr">
        <is>
          <t>Keeps systems fast and economical.</t>
        </is>
      </c>
      <c r="F20" s="4" t="inlineStr">
        <is>
          <t>Gregg, Systems Performance: Enterprise and the Cloud, 2nd ed. (Addison-Wesley, 2020) — capacity, performance, and cost are one coupled system, the FinOps lever of a platform</t>
        </is>
      </c>
      <c r="G20" s="4" t="inlineStr">
        <is>
          <t>Depth: Applies standard optimizations; stays within cost/latency budgets. Evidenced by: Right-sizes a resource or fixes a performance regression to cut cost without hurting reliability. Scope: one platform team.</t>
        </is>
      </c>
      <c r="H20" s="4" t="inlineStr">
        <is>
          <t>Depth: Designs cost-aware architectures; defines and tracks unit economics for a domain. Evidenced by: Lands a material infrastructure-cost reduction while holding SLOs. Scope: a complex / critical platform team.</t>
        </is>
      </c>
      <c r="I20" s="4" t="inlineStr">
        <is>
          <t>Depth: Expert in economics at scale (fleet optimization, build-vs-buy). Evidenced by: Defines the FinOps and performance practice several teams now manage spend with. Scope: a platform domain (cross-team).</t>
        </is>
      </c>
      <c r="J20" s="4" t="inlineStr">
        <is>
          <t>Depth: Expert in economics at scale (fleet optimization, build-vs-buy). Evidenced by: Makes infrastructure unit cost a managed, trending metric across the sub-org. Scope: a platform sub-org.</t>
        </is>
      </c>
      <c r="K20" s="4" t="inlineStr">
        <is>
          <t>Depth: Owns org-level spend strategy; cost decisions change margins. Evidenced by: Sets the unit-economics and capacity commitments the function owns. Scope: the platform function.</t>
        </is>
      </c>
      <c r="L20" s="4" t="inlineStr">
        <is>
          <t>Depth: Shapes the company economics of the products. Evidenced by: Pioneers a FinOps model the business plans spend around. Scope: org-wide platform.</t>
        </is>
      </c>
    </row>
    <row r="21">
      <c r="A21" s="4" t="inlineStr">
        <is>
          <t>Technical Direction &amp; Architecture</t>
        </is>
      </c>
      <c r="B21" s="4" t="inlineStr">
        <is>
          <t>Architecture &amp; Standards</t>
        </is>
      </c>
      <c r="C21" s="4" t="inlineStr">
        <is>
          <t>Platform architecture stewardship</t>
        </is>
      </c>
      <c r="D21" s="6" t="inlineStr">
        <is>
          <t>ARC-10</t>
        </is>
      </c>
      <c r="E21" s="4" t="inlineStr">
        <is>
          <t>Evaluates and justifies design options against competing quality attributes and constraints.</t>
        </is>
      </c>
      <c r="F21" s="4" t="inlineStr">
        <is>
          <t>Conway, How Do Committees Invent?, Datamation 14(4), 28-31 (1968) — platform architecture and org design are coupled, and decisions must be recorded to hold coherence</t>
        </is>
      </c>
      <c r="G21" s="4" t="inlineStr">
        <is>
          <t>Depth: Evaluates standard trade-offs independently for routine architectural choices. Evidenced by: Catches an architectural drift or coupling problem in review before it ships. Scope: one platform team.</t>
        </is>
      </c>
      <c r="H21" s="4" t="inlineStr">
        <is>
          <t>Depth: Structures and defends trade-off decisions for ambiguous, high-stakes designs autonomously. Evidenced by: Redesigns a component boundary so team and system seams line up. Scope: a complex / critical platform team.</t>
        </is>
      </c>
      <c r="I21" s="4" t="inlineStr">
        <is>
          <t>Depth: Defines trade-off analysis methods and decision frameworks others adopt. Evidenced by: Defines the reference architecture and decision-record practice several teams now build within. Scope: a platform domain (cross-team).</t>
        </is>
      </c>
      <c r="J21" s="4" t="inlineStr">
        <is>
          <t>Depth: Defines trade-off analysis methods and decision frameworks others adopt. Evidenced by: Shapes a sub-org's team topology to fit the platform architecture it needs. Scope: a platform sub-org.</t>
        </is>
      </c>
      <c r="K21" s="4" t="inlineStr">
        <is>
          <t>Depth: Sets how the organization makes architectural trade-offs, anticipating future tensions. Evidenced by: Sets the architecture principles the function builds against. Scope: the platform function.</t>
        </is>
      </c>
      <c r="L21" s="4" t="inlineStr">
        <is>
          <t>Depth: Advances trade-off-analysis practice recognized across the industry. Evidenced by: Pioneers an architecture other orgs study. Scope: org-wide platform.</t>
        </is>
      </c>
    </row>
    <row r="22">
      <c r="A22" s="4" t="inlineStr">
        <is>
          <t>Technical Direction &amp; Architecture</t>
        </is>
      </c>
      <c r="B22" s="4" t="inlineStr">
        <is>
          <t>Architecture &amp; Standards</t>
        </is>
      </c>
      <c r="C22" s="4" t="inlineStr">
        <is>
          <t>Engineering standards &amp; quality</t>
        </is>
      </c>
      <c r="D22" s="6" t="inlineStr">
        <is>
          <t>SWE-02</t>
        </is>
      </c>
      <c r="E22" s="4" t="inlineStr">
        <is>
          <t>Keeps code healthy, modular and maintainable.</t>
        </is>
      </c>
      <c r="F22" s="4" t="inlineStr">
        <is>
          <t>Humble &amp; Farley, Continuous Delivery: Reliable Software Releases through Build Test and Deployment Automation (Addison-Wesley, 2010) — quality is built in through automation and standards, not inspected in afterward</t>
        </is>
      </c>
      <c r="G22" s="4" t="inlineStr">
        <is>
          <t>Depth: Writes clean, documented, modular code; gives useful review feedback. Evidenced by: Raises a slipping quality practice such as test coverage or review rigor on the team. Scope: one platform team.</t>
        </is>
      </c>
      <c r="H22" s="4" t="inlineStr">
        <is>
          <t>Depth: Designs for maintainability; leads refactors of problem areas; review feedback teaches. Evidenced by: Installs a delivery-safety practice that measurably cuts change-failure rate. Scope: a complex / critical platform team.</t>
        </is>
      </c>
      <c r="I22" s="4" t="inlineStr">
        <is>
          <t>Depth: Expert in code health at scale (shared libraries, deprecations, large migrations). Evidenced by: Defines the CI/CD and quality standard several teams now build to. Scope: a platform domain (cross-team).</t>
        </is>
      </c>
      <c r="J22" s="4" t="inlineStr">
        <is>
          <t>Depth: Expert in code health at scale (shared libraries, deprecations, large migrations). Evidenced by: Makes high-quality delivery the default path across the sub-org. Scope: a platform sub-org.</t>
        </is>
      </c>
      <c r="K22" s="4" t="inlineStr">
        <is>
          <t>Depth: Shapes org-wide engineering standards for long-lived codebases. Evidenced by: Sets the quality standard the function commits to. Scope: the platform function.</t>
        </is>
      </c>
      <c r="L22" s="4" t="inlineStr">
        <is>
          <t>Depth: Defines what good engineering looks like company-wide; externally recognized. Evidenced by: Pioneers a standards model other functions adopt. Scope: org-wide platform.</t>
        </is>
      </c>
    </row>
    <row r="23">
      <c r="A23" s="4" t="inlineStr">
        <is>
          <t>Technical Direction &amp; Architecture</t>
        </is>
      </c>
      <c r="B23" s="4" t="inlineStr">
        <is>
          <t>Architecture &amp; Standards</t>
        </is>
      </c>
      <c r="C23" s="4" t="inlineStr">
        <is>
          <t>Technical debt &amp; modernization</t>
        </is>
      </c>
      <c r="D23" s="6" t="inlineStr">
        <is>
          <t>EM-15</t>
        </is>
      </c>
      <c r="E23" s="4" t="inlineStr">
        <is>
          <t>Surfaces, prices, and manages technical debt and technical risk as an economic portfolio — funding paydown structurally and setting the speed-versus-soundness posture explicitly.</t>
        </is>
      </c>
      <c r="F23" s="4" t="inlineStr">
        <is>
          <t>Cunningham, The WyCash Portfolio Management System, OOPSLA 1992 Experience Report — debt is a deliberate liability with interest, paid down on purpose, not neglected mess</t>
        </is>
      </c>
      <c r="G23" s="4" t="inlineStr">
        <is>
          <t>Depth: Keeps a visible debt register with the cost of carry noted and defends a steady paydown allocation in planning rather than begging quarter by quarter. Evidenced by: Makes a debt trade-off explicit in planning rather than letting it accrue silently. Scope: one platform team.</t>
        </is>
      </c>
      <c r="H23" s="4" t="inlineStr">
        <is>
          <t>Depth: Distinguishes debt worth carrying from debt that will detonate, sequences remediation by risk, and prices debt in incident and velocity terms stakeholders accept. Evidenced by: Funds and lands a modernization that removes a systemic drag on the team. Scope: a complex / critical platform team.</t>
        </is>
      </c>
      <c r="I23" s="4" t="inlineStr">
        <is>
          <t>Depth: Makes debt legible across multiple teams — shared taxonomy, reporting rhythm — and gets cross-team risk (the shared library nobody owns, the half-finished migration) owned and funded. Evidenced by: Defines the debt-accounting and modernization practice several teams now prioritize with. Scope: a platform domain (cross-team).</t>
        </is>
      </c>
      <c r="J23" s="4" t="inlineStr">
        <is>
          <t>Depth: Makes debt legible across multiple teams — shared taxonomy, reporting rhythm — and gets cross-team risk (the shared library nobody owns, the half-finished migration) owned and funded. Evidenced by: Wins sustained investment for a sub-org-wide modernization others deprioritized. Scope: a platform sub-org.</t>
        </is>
      </c>
      <c r="K23" s="4" t="inlineStr">
        <is>
          <t>Depth: Carries technical risk onto the executive risk register — top exposures known, sized, owned, trending — and lands multi-quarter remediation programs against feature pressure. Evidenced by: Sets the debt and modernization commitments the function makes. Scope: the platform function.</t>
        </is>
      </c>
      <c r="L23" s="4" t="inlineStr">
        <is>
          <t>Depth: Sets an organization's speed-versus-soundness posture explicitly — where debt is accepted for velocity and where it never is — and holds it under growth pressure. Evidenced by: Pioneers a debt-management model the business funds against. Scope: org-wide platform.</t>
        </is>
      </c>
    </row>
    <row r="24">
      <c r="A24" s="4" t="inlineStr">
        <is>
          <t>Technical Direction &amp; Architecture</t>
        </is>
      </c>
      <c r="B24" s="4" t="inlineStr">
        <is>
          <t>Technical Strategy &amp; Risk</t>
        </is>
      </c>
      <c r="C24" s="4" t="inlineStr">
        <is>
          <t>Technical strategy &amp; investment</t>
        </is>
      </c>
      <c r="D24" s="6" t="inlineStr">
        <is>
          <t>LI-03</t>
        </is>
      </c>
      <c r="E24" s="4" t="inlineStr">
        <is>
          <t>Shapes technical direction beyond own work.</t>
        </is>
      </c>
      <c r="F24" s="4" t="inlineStr">
        <is>
          <t>Larson, An Elegant Puzzle: Systems of Engineering Management (Stripe Press, 2019) — technical strategy is placing a few high-leverage bets and mapping where value sits</t>
        </is>
      </c>
      <c r="G24" s="4" t="inlineStr">
        <is>
          <t>Depth: Influences component-level decisions through credibility. Evidenced by: Frames a build decision as a bet with a stated rationale, not an ad-hoc pick. Scope: one platform team.</t>
        </is>
      </c>
      <c r="H24" s="4" t="inlineStr">
        <is>
          <t>Depth: Sets technical direction for a domain; others align to their calls. Evidenced by: Makes a hard technical-investment call such as rebuild versus extend and defends it with evidence. Scope: a complex / critical platform team.</t>
        </is>
      </c>
      <c r="I24" s="4" t="inlineStr">
        <is>
          <t>Depth: Shapes how multiple teams approach problems; trusted tiebreaker. Evidenced by: Publishes a domain technical strategy or Wardley map that redirects where several teams invest. Scope: a platform domain (cross-team).</t>
        </is>
      </c>
      <c r="J24" s="4" t="inlineStr">
        <is>
          <t>Depth: Shapes how multiple teams approach problems; trusted tiebreaker. Evidenced by: Frames the small set of bets the sub-org organizes its roadmap around. Scope: a platform sub-org.</t>
        </is>
      </c>
      <c r="K24" s="4" t="inlineStr">
        <is>
          <t>Depth: Influences org-wide technical strategy. Evidenced by: Sets the technology bets the function commits capital and headcount to. Scope: the platform function.</t>
        </is>
      </c>
      <c r="L24" s="4" t="inlineStr">
        <is>
          <t>Depth: Influences company strategic direction through insight. Evidenced by: Pioneers a technical strategy the company's product strategy depends on. Scope: org-wide platform.</t>
        </is>
      </c>
    </row>
    <row r="25">
      <c r="A25" s="4" t="inlineStr">
        <is>
          <t>Technical Direction &amp; Architecture</t>
        </is>
      </c>
      <c r="B25" s="4" t="inlineStr">
        <is>
          <t>Technical Strategy &amp; Risk</t>
        </is>
      </c>
      <c r="C25" s="4" t="inlineStr">
        <is>
          <t>Vendor &amp; build/buy/adopt strategy</t>
        </is>
      </c>
      <c r="D25" s="6" t="inlineStr">
        <is>
          <t>EM-06</t>
        </is>
      </c>
      <c r="E25" s="4" t="inlineStr">
        <is>
          <t>Managing budgets, costs, and external vendor or contractor relationships.</t>
        </is>
      </c>
      <c r="F25" s="4" t="inlineStr">
        <is>
          <t>Korn Ferry, Korn Ferry Leadership Architect Global Competency Framework (2014) — build-vs-buy and vendor choices are capital-allocation decisions needing financial judgment</t>
        </is>
      </c>
      <c r="G25" s="4" t="inlineStr">
        <is>
          <t>Depth: Manages a team budget and standard vendor relationships with normal review. Evidenced by: Avoids building something a supported off-the-shelf option already solves. Scope: one platform team.</t>
        </is>
      </c>
      <c r="H25" s="4" t="inlineStr">
        <is>
          <t>Depth: Independently controls budgets under pressure and negotiates difficult vendor terms. Evidenced by: Negotiates or selects a platform vendor on a defensible total-cost basis. Scope: a complex / critical platform team.</t>
        </is>
      </c>
      <c r="I25" s="4" t="inlineStr">
        <is>
          <t>Depth: Defines budget and vendor practices others adopt and rescues failing vendor relationships. Evidenced by: Defines the evaluation and vendor-selection framework several teams now decide with. Scope: a platform domain (cross-team).</t>
        </is>
      </c>
      <c r="J25" s="4" t="inlineStr">
        <is>
          <t>Depth: Defines budget and vendor practices others adopt and rescues failing vendor relationships. Evidenced by: Drives a sub-org-wide build-versus-buy decision with material budget impact. Scope: a platform sub-org.</t>
        </is>
      </c>
      <c r="K25" s="4" t="inlineStr">
        <is>
          <t>Depth: Sets org-wide budget and vendor strategy and anticipates cost and supplier risks. Evidenced by: Sets the sourcing principles and major vendor relationships the function commits to. Scope: the platform function.</t>
        </is>
      </c>
      <c r="L25" s="4" t="inlineStr">
        <is>
          <t>Depth: Defines exemplary budget and vendor management for the field and influences practice. Evidenced by: Pioneers a sourcing strategy the business plans capital around. Scope: org-wide platform.</t>
        </is>
      </c>
    </row>
    <row r="26">
      <c r="A26" s="4" t="inlineStr">
        <is>
          <t>Technical Direction &amp; Architecture</t>
        </is>
      </c>
      <c r="B26" s="4" t="inlineStr">
        <is>
          <t>Technical Strategy &amp; Risk</t>
        </is>
      </c>
      <c r="C26" s="4" t="inlineStr">
        <is>
          <t>Secure-by-default platform &amp; guardrails</t>
        </is>
      </c>
      <c r="D26" s="6" t="inlineStr">
        <is>
          <t>SEC-18</t>
        </is>
      </c>
      <c r="E26" s="4" t="inlineStr">
        <is>
          <t>Encodes preventive controls as versioned, tested, automatically enforced policy - admission checks, pipeline gates, configuration rules - with actionable violation messages and governed exception paths, so the safe way is the default way.</t>
        </is>
      </c>
      <c r="F26" s="4" t="inlineStr">
        <is>
          <t>OWASP Foundation, OWASP Application Security Verification Standard (accessed 2026-07) — platforms are the leverage point where security is built in for everyone or absent for everyone</t>
        </is>
      </c>
      <c r="G26" s="4" t="inlineStr">
        <is>
          <t>Depth: Writes and tests policy rules for a component - admission checks, pipeline gates - with low false-positive rates and violation messages that tell the user how to comply. Evidenced by: Bakes a security control into the platform so users get it by default rather than bolting it on. Scope: one platform team.</t>
        </is>
      </c>
      <c r="H26" s="4" t="inlineStr">
        <is>
          <t>Depth: Designs the guardrail architecture for a capability - what is blocked, warned, or audited, with documented threat reasoning - tuned so the safe path is the fast path, and runs an audited exception workflow without becoming the bottleneck. Evidenced by: Closes a systemic vulnerability class through a platform control rather than one-off fixes. Scope: a complex / critical platform team.</t>
        </is>
      </c>
      <c r="I26" s="4" t="inlineStr">
        <is>
          <t>Depth: Harmonizes policy across teams into a coherent, versioned policy library with a governed exception process, and adjudicates escalated safety-versus-velocity disputes. Evidenced by: Defines the paved-road security controls several teams now inherit by default. Scope: a platform domain (cross-team).</t>
        </is>
      </c>
      <c r="J26" s="4" t="inlineStr">
        <is>
          <t>Depth: Harmonizes policy across teams into a coherent, versioned policy library with a governed exception process, and adjudicates escalated safety-versus-velocity disputes. Evidenced by: Makes secure-by-default the path of least resistance across the sub-org. Scope: a platform sub-org.</t>
        </is>
      </c>
      <c r="K26" s="4" t="inlineStr">
        <is>
          <t>Depth: Owns an organization's preventive-control strategy with security partners - the control catalog, its coverage, and the evidence it works - moving enforcement from review-time to platform-time. Evidenced by: Sets the risk commitments and compliance guarantees the function owns. Scope: the platform function.</t>
        </is>
      </c>
      <c r="L26" s="4" t="inlineStr">
        <is>
          <t>Depth: Sets an organization-defining balance of enablement and control, accountable for guardrails that hold under audit and attack without throttling delivery. Evidenced by: Pioneers a secure-platform model auditors and peers reference. Scope: org-wide platform.</t>
        </is>
      </c>
    </row>
    <row r="27">
      <c r="A27" s="4" t="inlineStr">
        <is>
          <t>Delivery &amp; Execution</t>
        </is>
      </c>
      <c r="B27" s="4" t="inlineStr">
        <is>
          <t>Planning &amp; Prioritization</t>
        </is>
      </c>
      <c r="C27" s="4" t="inlineStr">
        <is>
          <t>Planning &amp; estimation</t>
        </is>
      </c>
      <c r="D27" s="6" t="inlineStr">
        <is>
          <t>PD-04</t>
        </is>
      </c>
      <c r="E27" s="4" t="inlineStr">
        <is>
          <t>Forecasts and plans work credibly.</t>
        </is>
      </c>
      <c r="F27" s="4" t="inlineStr">
        <is>
          <t>McConnell, Software Estimation: Demystifying the Black Art (Microsoft Press, 2006) — estimation is a probabilistic forecast to calibrate, not a promise, and platform work is especially uncertain</t>
        </is>
      </c>
      <c r="G27" s="4" t="inlineStr">
        <is>
          <t>Depth: Estimates scoped work realistically; plans own 1-3 week projects. Evidenced by: Surfaces a schedule risk early instead of discovering the slip at the deadline. Scope: one platform team.</t>
        </is>
      </c>
      <c r="H27" s="4" t="inlineStr">
        <is>
          <t>Depth: Plans quarter-scale, multi-workstream efforts including dependencies. Evidenced by: Replans a high-stakes platform delivery mid-flight without losing the commitment. Scope: a complex / critical platform team.</t>
        </is>
      </c>
      <c r="I27" s="4" t="inlineStr">
        <is>
          <t>Depth: Expert at planning large programs; anticipates risk early. Evidenced by: Defines the forecasting practice several teams now plan with. Scope: a platform domain (cross-team).</t>
        </is>
      </c>
      <c r="J27" s="4" t="inlineStr">
        <is>
          <t>Depth: Expert at planning large programs; anticipates risk early. Evidenced by: Makes sub-org delivery forecasts credible to stakeholders. Scope: a platform sub-org.</t>
        </is>
      </c>
      <c r="K27" s="4" t="inlineStr">
        <is>
          <t>Depth: Plans org-level programs across quarters/years. Evidenced by: Sets the planning discipline the function commits to. Scope: the platform function.</t>
        </is>
      </c>
      <c r="L27" s="4" t="inlineStr">
        <is>
          <t>Depth: Shapes how the company plans major technical change. Evidenced by: Pioneers a forecasting practice other functions adopt. Scope: org-wide platform.</t>
        </is>
      </c>
    </row>
    <row r="28">
      <c r="A28" s="4" t="inlineStr">
        <is>
          <t>Delivery &amp; Execution</t>
        </is>
      </c>
      <c r="B28" s="4" t="inlineStr">
        <is>
          <t>Planning &amp; Prioritization</t>
        </is>
      </c>
      <c r="C28" s="4" t="inlineStr">
        <is>
          <t>Prioritization &amp; trade-offs</t>
        </is>
      </c>
      <c r="D28" s="6" t="inlineStr">
        <is>
          <t>PD-02</t>
        </is>
      </c>
      <c r="E28" s="4" t="inlineStr">
        <is>
          <t>Weighs cost, value, risk and timing.</t>
        </is>
      </c>
      <c r="F28" s="4" t="inlineStr">
        <is>
          <t>Reinertsen, The Principles of Product Development Flow: Second Generation Lean Product Development (Celeritas, 2009) — prioritizing by cost of delay and managing queues, not utilization, maximizes economic flow</t>
        </is>
      </c>
      <c r="G28" s="4" t="inlineStr">
        <is>
          <t>Depth: Makes sound priority calls within scope; time-boxes uncertain work. Evidenced by: Says no to a low-value request with a clear rationale rather than absorbing everything. Scope: one platform team.</t>
        </is>
      </c>
      <c r="H28" s="4" t="inlineStr">
        <is>
          <t>Depth: Balances cost/value/risk across a domain; resists hype; decisions hold up over months. Evidenced by: Defends a contested platform trade-off between competing stakeholder demands. Scope: a complex / critical platform team.</t>
        </is>
      </c>
      <c r="I28" s="4" t="inlineStr">
        <is>
          <t>Depth: Expert at portfolio-level trade-offs; surfaces hidden assumptions; trusted tiebreaker. Evidenced by: Installs a cost-of-delay or WSJF practice several teams now sequence with. Scope: a platform domain (cross-team).</t>
        </is>
      </c>
      <c r="J28" s="4" t="inlineStr">
        <is>
          <t>Depth: Expert at portfolio-level trade-offs; surfaces hidden assumptions; trusted tiebreaker. Evidenced by: Arbitrates a sub-org-wide trade-off that reallocates investment. Scope: a platform sub-org.</t>
        </is>
      </c>
      <c r="K28" s="4" t="inlineStr">
        <is>
          <t>Depth: Sets decision frameworks for the org. Evidenced by: Sets the prioritization principles the function commits capacity against. Scope: the platform function.</t>
        </is>
      </c>
      <c r="L28" s="4" t="inlineStr">
        <is>
          <t>Depth: Influences company strategic direction through judgment. Evidenced by: Pioneers a portfolio-prioritization model other functions adopt. Scope: org-wide platform.</t>
        </is>
      </c>
    </row>
    <row r="29">
      <c r="A29" s="4" t="inlineStr">
        <is>
          <t>Delivery &amp; Execution</t>
        </is>
      </c>
      <c r="B29" s="4" t="inlineStr">
        <is>
          <t>Planning &amp; Prioritization</t>
        </is>
      </c>
      <c r="C29" s="4" t="inlineStr">
        <is>
          <t>Capacity &amp; resource allocation</t>
        </is>
      </c>
      <c r="D29" s="6" t="inlineStr">
        <is>
          <t>EM-05</t>
        </is>
      </c>
      <c r="E29" s="4" t="inlineStr">
        <is>
          <t>Forecasting staffing needs and allocating people across initiatives and priorities.</t>
        </is>
      </c>
      <c r="F29" s="4" t="inlineStr">
        <is>
          <t>Brooks, The Mythical Man-Month: Essays on Software Engineering, Anniversary ed. (Addison-Wesley, 1995; orig. 1975) — people and time do not trade linearly, so allocation is a judgment lever</t>
        </is>
      </c>
      <c r="G29" s="4" t="inlineStr">
        <is>
          <t>Depth: Builds a credible headcount plan for one team with normal review. Evidenced by: Protects focus time rather than fragmenting the team across too many fronts. Scope: one platform team.</t>
        </is>
      </c>
      <c r="H29" s="4" t="inlineStr">
        <is>
          <t>Depth: Independently plans resourcing under uncertainty and defends staffing trade-offs. Evidenced by: Rebalances staffing to unblock a priority without wrecking sustainability. Scope: a complex / critical platform team.</t>
        </is>
      </c>
      <c r="I29" s="4" t="inlineStr">
        <is>
          <t>Depth: Defines resource-planning practices others adopt and resolves cross-team allocation conflicts. Evidenced by: Defines the staffing and load-balancing model several teams now allocate with. Scope: a platform domain (cross-team).</t>
        </is>
      </c>
      <c r="J29" s="4" t="inlineStr">
        <is>
          <t>Depth: Defines resource-planning practices others adopt and resolves cross-team allocation conflicts. Evidenced by: Reallocates capacity across a sub-org to match investment shifts. Scope: a platform sub-org.</t>
        </is>
      </c>
      <c r="K29" s="4" t="inlineStr">
        <is>
          <t>Depth: Sets org-wide resourcing strategy and anticipates future capacity demand. Evidenced by: Sets the resourcing principles the function plans against. Scope: the platform function.</t>
        </is>
      </c>
      <c r="L29" s="4" t="inlineStr">
        <is>
          <t>Depth: Defines headcount-planning best practice for the discipline and is recognized for it. Evidenced by: Pioneers a resourcing approach other functions adopt. Scope: org-wide platform.</t>
        </is>
      </c>
    </row>
    <row r="30">
      <c r="A30" s="4" t="inlineStr">
        <is>
          <t>Delivery &amp; Execution</t>
        </is>
      </c>
      <c r="B30" s="4" t="inlineStr">
        <is>
          <t>Delivery Management</t>
        </is>
      </c>
      <c r="C30" s="4" t="inlineStr">
        <is>
          <t>Predictable delivery &amp; flow</t>
        </is>
      </c>
      <c r="D30" s="6" t="inlineStr">
        <is>
          <t>EM-07</t>
        </is>
      </c>
      <c r="E30" s="4" t="inlineStr">
        <is>
          <t>Driving cross-team execution, dependencies, and predictable delivery of programs.</t>
        </is>
      </c>
      <c r="F30" s="4" t="inlineStr">
        <is>
          <t>Forsgren, Humble &amp; Kim, Accelerate: The Science of Lean Software and DevOps (IT Revolution Press, 2018) — predictable, high-frequency delivery is an engineered property that predicts org performance</t>
        </is>
      </c>
      <c r="G30" s="4" t="inlineStr">
        <is>
          <t>Depth: Drives delivery of a standard program with normal review. Evidenced by: Removes a recurring flow blocker such as a handoff, review lag, or big-batch release that stalls delivery. Scope: one platform team.</t>
        </is>
      </c>
      <c r="H30" s="4" t="inlineStr">
        <is>
          <t>Depth: Independently runs complex multi-team programs and recovers slipping delivery. Evidenced by: Stabilizes a team's delivery so its commitments become trustworthy. Scope: a complex / critical platform team.</t>
        </is>
      </c>
      <c r="I30" s="4" t="inlineStr">
        <is>
          <t>Depth: Defines delivery practices others adopt and rescues the most troubled programs. Evidenced by: Defines the flow and batch-size practice several teams now deliver with. Scope: a platform domain (cross-team).</t>
        </is>
      </c>
      <c r="J30" s="4" t="inlineStr">
        <is>
          <t>Depth: Defines delivery practices others adopt and rescues the most troubled programs. Evidenced by: Makes a sub-org's delivery predictable through the leaders who run each team. Scope: a platform sub-org.</t>
        </is>
      </c>
      <c r="K30" s="4" t="inlineStr">
        <is>
          <t>Depth: Sets the org's delivery strategy and anticipates systemic delivery risks. Evidenced by: Sets the flow and predictability standard the function commits to. Scope: the platform function.</t>
        </is>
      </c>
      <c r="L30" s="4" t="inlineStr">
        <is>
          <t>Depth: Defines what excellent program delivery means and shapes external practice. Evidenced by: Pioneers a flow model other functions adopt. Scope: org-wide platform.</t>
        </is>
      </c>
    </row>
    <row r="31">
      <c r="A31" s="4" t="inlineStr">
        <is>
          <t>Delivery &amp; Execution</t>
        </is>
      </c>
      <c r="B31" s="4" t="inlineStr">
        <is>
          <t>Delivery Management</t>
        </is>
      </c>
      <c r="C31" s="4" t="inlineStr">
        <is>
          <t>Engineering metrics &amp; delivery health</t>
        </is>
      </c>
      <c r="D31" s="6" t="inlineStr">
        <is>
          <t>EM-09</t>
        </is>
      </c>
      <c r="E31" s="4" t="inlineStr">
        <is>
          <t>Using delivery and health metrics to diagnose and improve team effectiveness.</t>
        </is>
      </c>
      <c r="F31" s="4" t="inlineStr">
        <is>
          <t>Forsgren, Humble &amp; Kim, Accelerate: The Science of Lean Software and DevOps (IT Revolution Press, 2018) — DORA and SPACE give a validated, hard-to-game way to measure delivery, used to improve not to rank</t>
        </is>
      </c>
      <c r="G31" s="4" t="inlineStr">
        <is>
          <t>Depth: Interprets productivity metrics for one team with normal review. Evidenced by: Acts on a delivery-metric trend to fix an actual bottleneck. Scope: one platform team.</t>
        </is>
      </c>
      <c r="H31" s="4" t="inlineStr">
        <is>
          <t>Depth: Independently designs metric systems and distinguishes real signal from vanity numbers. Evidenced by: Diagnoses a delivery-health problem from the four keys and fixes its root cause. Scope: a complex / critical platform team.</t>
        </is>
      </c>
      <c r="I31" s="4" t="inlineStr">
        <is>
          <t>Depth: Defines the productivity-measurement model others adopt and debunks misleading metrics. Evidenced by: Defines the DORA and SPACE measurement several teams now steer by. Scope: a platform domain (cross-team).</t>
        </is>
      </c>
      <c r="J31" s="4" t="inlineStr">
        <is>
          <t>Depth: Defines the productivity-measurement model others adopt and debunks misleading metrics. Evidenced by: Makes data-driven delivery improvement the norm across the sub-org. Scope: a platform sub-org.</t>
        </is>
      </c>
      <c r="K31" s="4" t="inlineStr">
        <is>
          <t>Depth: Sets the org's engineering-metrics strategy and anticipates which signals will matter. Evidenced by: Sets the metrics the function commits to and defends against misuse. Scope: the platform function.</t>
        </is>
      </c>
      <c r="L31" s="4" t="inlineStr">
        <is>
          <t>Depth: Defines rigorous engineering productivity measurement and influences the field externally. Evidenced by: Pioneers a measurement model other functions adopt. Scope: org-wide platform.</t>
        </is>
      </c>
    </row>
    <row r="32">
      <c r="A32" s="4" t="inlineStr">
        <is>
          <t>Delivery &amp; Execution</t>
        </is>
      </c>
      <c r="B32" s="4" t="inlineStr">
        <is>
          <t>Delivery Management</t>
        </is>
      </c>
      <c r="C32" s="4" t="inlineStr">
        <is>
          <t>Process &amp; continuous improvement</t>
        </is>
      </c>
      <c r="D32" s="6" t="inlineStr">
        <is>
          <t>EM-08</t>
        </is>
      </c>
      <c r="E32" s="4" t="inlineStr">
        <is>
          <t>Designing rituals, workflows, and cadences that keep teams effective and aligned.</t>
        </is>
      </c>
      <c r="F32" s="4" t="inlineStr">
        <is>
          <t>Deming, Out of the Crisis (MIT Center for Advanced Engineering Study, 1986) — throughput comes from improving the system, not exhorting people</t>
        </is>
      </c>
      <c r="G32" s="4" t="inlineStr">
        <is>
          <t>Depth: Runs and tunes a team's operating cadence with normal review. Evidenced by: Removes a wasteful step from the team's process instead of adding ceremony. Scope: one platform team.</t>
        </is>
      </c>
      <c r="H32" s="4" t="inlineStr">
        <is>
          <t>Depth: Independently designs processes that fit the work and removes friction others miss. Evidenced by: Lands a process change that measurably improves throughput or quality. Scope: a complex / critical platform team.</t>
        </is>
      </c>
      <c r="I32" s="4" t="inlineStr">
        <is>
          <t>Depth: Defines operating-cadence patterns others adopt and fixes broken processes across teams. Evidenced by: Installs an improvement discipline several teams now run. Scope: a platform domain (cross-team).</t>
        </is>
      </c>
      <c r="J32" s="4" t="inlineStr">
        <is>
          <t>Depth: Defines operating-cadence patterns others adopt and fixes broken processes across teams. Evidenced by: Makes systematic improvement, not firefighting, the sub-org's default mode. Scope: a platform sub-org.</t>
        </is>
      </c>
      <c r="K32" s="4" t="inlineStr">
        <is>
          <t>Depth: Sets the org's operating model and anticipates where cadence must evolve. Evidenced by: Sets the process standards the function runs on. Scope: the platform function.</t>
        </is>
      </c>
      <c r="L32" s="4" t="inlineStr">
        <is>
          <t>Depth: Defines effective engineering operating cadence for the discipline and is recognized for it. Evidenced by: Pioneers a continuous-improvement practice other functions adopt. Scope: org-wide platform.</t>
        </is>
      </c>
    </row>
    <row r="33">
      <c r="A33" s="4" t="inlineStr">
        <is>
          <t>Delivery &amp; Execution</t>
        </is>
      </c>
      <c r="B33" s="4" t="inlineStr">
        <is>
          <t>Delivery Management</t>
        </is>
      </c>
      <c r="C33" s="4" t="inlineStr">
        <is>
          <t>Dependency &amp; risk management</t>
        </is>
      </c>
      <c r="D33" s="6" t="inlineStr">
        <is>
          <t>RISK-01</t>
        </is>
      </c>
      <c r="E33" s="4" t="inlineStr">
        <is>
          <t>Identify, assess, treat, and monitor risks across the organization within a risk appetite.</t>
        </is>
      </c>
      <c r="F33" s="4" t="inlineStr">
        <is>
          <t>NIST, The NIST Cybersecurity Framework (CSF) 2.0, NIST CSWP 29 (2024) — platforms sit on everyone else's critical path, so cross-team dependency and risk work is core</t>
        </is>
      </c>
      <c r="G33" s="4" t="inlineStr">
        <is>
          <t>Depth: Conducts standard risk assessments and updates registers independently with normal review. Evidenced by: Flags and mitigates a cross-team dependency before it blocks delivery. Scope: one platform team.</t>
        </is>
      </c>
      <c r="H33" s="4" t="inlineStr">
        <is>
          <t>Depth: Assesses complex, interconnected enterprise risks and sets local methodology autonomously. Evidenced by: Unblocks a delivery stalled on another team's dependency through negotiation, not escalation alone. Scope: a complex / critical platform team.</t>
        </is>
      </c>
      <c r="I33" s="4" t="inlineStr">
        <is>
          <t>Depth: Designs the enterprise risk framework and appetite model others adopt; solves the hardest risk problems. Evidenced by: Defines the cross-team dependency and risk practice several teams now coordinate with. Scope: a platform domain (cross-team).</t>
        </is>
      </c>
      <c r="J33" s="4" t="inlineStr">
        <is>
          <t>Depth: Designs the enterprise risk framework and appetite model others adopt; solves the hardest risk problems. Evidenced by: De-risks a sub-org-wide initiative with many moving dependencies. Scope: a platform sub-org.</t>
        </is>
      </c>
      <c r="K33" s="4" t="inlineStr">
        <is>
          <t>Depth: Sets enterprise risk strategy and appetite at board level; anticipates emerging systemic risks. Evidenced by: Sets the risk-management standard the function is accountable to. Scope: the platform function.</t>
        </is>
      </c>
      <c r="L33" s="4" t="inlineStr">
        <is>
          <t>Depth: Defines enterprise-risk practice recognized industry-wide; externally cited authority. Evidenced by: Pioneers a risk practice other functions adopt. Scope: org-wide platform.</t>
        </is>
      </c>
    </row>
    <row r="34">
      <c r="A34" s="4" t="inlineStr">
        <is>
          <t>Strategy, Communication &amp; Influence</t>
        </is>
      </c>
      <c r="B34" s="4" t="inlineStr">
        <is>
          <t>Strategy &amp; Change</t>
        </is>
      </c>
      <c r="C34" s="4" t="inlineStr">
        <is>
          <t>Strategy formulation</t>
        </is>
      </c>
      <c r="D34" s="6" t="inlineStr">
        <is>
          <t>STRAT-01</t>
        </is>
      </c>
      <c r="E34" s="4" t="inlineStr">
        <is>
          <t>Define enterprise direction, scope, and competitive positioning to create durable advantage.</t>
        </is>
      </c>
      <c r="F34" s="4" t="inlineStr">
        <is>
          <t>Rumelt, Good Strategy Bad Strategy: The Difference and Why It Matters (Crown Business, 2011) — real strategy is a diagnosis plus a coherent guiding policy and actions, not a list of goals</t>
        </is>
      </c>
      <c r="G34" s="4" t="inlineStr">
        <is>
          <t>Depth: Develops components of strategy and standard analyses independently with normal review. Evidenced by: Names the core problem the team's strategy actually addresses rather than listing goals. Scope: one platform team.</t>
        </is>
      </c>
      <c r="H34" s="4" t="inlineStr">
        <is>
          <t>Depth: Frames ambiguous strategic problems and shapes coherent strategy autonomously; the go-to strategist. Evidenced by: Produces a platform strategy that says no to things, not just yes. Scope: a complex / critical platform team.</t>
        </is>
      </c>
      <c r="I34" s="4" t="inlineStr">
        <is>
          <t>Depth: Defines strategy-formulation approaches others adopt; resolves the hardest strategic trade-offs. Evidenced by: Publishes a domain strategy several teams reorient their plans around. Scope: a platform domain (cross-team).</t>
        </is>
      </c>
      <c r="J34" s="4" t="inlineStr">
        <is>
          <t>Depth: Sets the enterprise strategic direction; anticipates major shifts reshaping the competitive landscape. Evidenced by: Builds a sub-org strategy that survives exec scrutiny and reallocates real investment. Scope: a platform sub-org.</t>
        </is>
      </c>
      <c r="K34" s="4" t="inlineStr">
        <is>
          <t>Depth: Sets the enterprise strategic direction; anticipates major shifts reshaping the competitive landscape. Evidenced by: Sets the strategic bets the function commits to and defends them at the top table. Scope: the platform function.</t>
        </is>
      </c>
      <c r="L34" s="4" t="inlineStr">
        <is>
          <t>Depth: Defines corporate-strategy practice recognized industry-wide; externally cited thought leader. Evidenced by: Pioneers a strategic thesis the company's direction depends on. Scope: org-wide platform.</t>
        </is>
      </c>
    </row>
    <row r="35">
      <c r="A35" s="4" t="inlineStr">
        <is>
          <t>Strategy, Communication &amp; Influence</t>
        </is>
      </c>
      <c r="B35" s="4" t="inlineStr">
        <is>
          <t>Strategy &amp; Change</t>
        </is>
      </c>
      <c r="C35" s="4" t="inlineStr">
        <is>
          <t>Leading change &amp; transformation</t>
        </is>
      </c>
      <c r="D35" s="6" t="inlineStr">
        <is>
          <t>EM-12</t>
        </is>
      </c>
      <c r="E35" s="4" t="inlineStr">
        <is>
          <t>Leading teams through reorganization, process change, and shifting priorities.</t>
        </is>
      </c>
      <c r="F35" s="4" t="inlineStr">
        <is>
          <t>Kotter, Leading Change (Harvard Business School Press, 1996) — durable change needs urgency, coalition, and follow-through, not a mandate</t>
        </is>
      </c>
      <c r="G35" s="4" t="inlineStr">
        <is>
          <t>Depth: Leads a contained team change with normal review. Evidenced by: Gets a team through a tooling or process change without losing people or momentum. Scope: one platform team.</t>
        </is>
      </c>
      <c r="H35" s="4" t="inlineStr">
        <is>
          <t>Depth: Independently drives significant change through resistance to durable adoption. Evidenced by: Builds the coalition that makes a hard platform migration or reorg stick. Scope: a complex / critical platform team.</t>
        </is>
      </c>
      <c r="I35" s="4" t="inlineStr">
        <is>
          <t>Depth: Defines change approaches others adopt and rescues stalled transformations. Evidenced by: Drives a cross-team transformation through the leaders who own each team. Scope: a platform domain (cross-team).</t>
        </is>
      </c>
      <c r="J35" s="4" t="inlineStr">
        <is>
          <t>Depth: Defines change approaches others adopt and rescues stalled transformations. Evidenced by: Lands a sub-org change that outlives the initial push. Scope: a platform sub-org.</t>
        </is>
      </c>
      <c r="K35" s="4" t="inlineStr">
        <is>
          <t>Depth: Sets the org's transformation strategy and anticipates where change is needed next. Evidenced by: Sets the change the function leads and sustains. Scope: the platform function.</t>
        </is>
      </c>
      <c r="L35" s="4" t="inlineStr">
        <is>
          <t>Depth: Defines effective engineering transformation for the discipline and shapes external practice. Evidenced by: Pioneers a change other functions model theirs on. Scope: org-wide platform.</t>
        </is>
      </c>
    </row>
    <row r="36">
      <c r="A36" s="4" t="inlineStr">
        <is>
          <t>Strategy, Communication &amp; Influence</t>
        </is>
      </c>
      <c r="B36" s="4" t="inlineStr">
        <is>
          <t>Strategy &amp; Change</t>
        </is>
      </c>
      <c r="C36" s="4" t="inlineStr">
        <is>
          <t>Organizational &amp; team design</t>
        </is>
      </c>
      <c r="D36" s="6" t="inlineStr">
        <is>
          <t>EM-04</t>
        </is>
      </c>
      <c r="E36" s="4" t="inlineStr">
        <is>
          <t>Shaping team topologies, roles, and reporting lines to fit the work and scale.</t>
        </is>
      </c>
      <c r="F36" s="4" t="inlineStr">
        <is>
          <t>Skelton &amp; Pais, Team Topologies (IT Revolution, 2019) — team boundaries shape the software, and platform teams exist to cut others' cognitive load</t>
        </is>
      </c>
      <c r="G36" s="4" t="inlineStr">
        <is>
          <t>Depth: Designs a sound structure for one team with normal review. Evidenced by: Clarifies a fuzzy team boundary that was causing thrash. Scope: one platform team.</t>
        </is>
      </c>
      <c r="H36" s="4" t="inlineStr">
        <is>
          <t>Depth: Independently restructures teams to fit changing work and resolves boundary conflicts. Evidenced by: Restructures a team so its boundary matches the platform it owns. Scope: a complex / critical platform team.</t>
        </is>
      </c>
      <c r="I36" s="4" t="inlineStr">
        <is>
          <t>Depth: Defines org-design approaches others adopt and reshapes the most tangled structures. Evidenced by: Redesigns team boundaries across the domain to cut cross-team cognitive load. Scope: a platform domain (cross-team).</t>
        </is>
      </c>
      <c r="J36" s="4" t="inlineStr">
        <is>
          <t>Depth: Defines org-design approaches others adopt and reshapes the most tangled structures. Evidenced by: Proposes and drives a sub-org reshape that improves flow. Scope: a platform sub-org.</t>
        </is>
      </c>
      <c r="K36" s="4" t="inlineStr">
        <is>
          <t>Depth: Sets org-structuring strategy across the org and anticipates scaling inflection points. Evidenced by: Sets the operating structure the function runs on. Scope: the platform function.</t>
        </is>
      </c>
      <c r="L36" s="4" t="inlineStr">
        <is>
          <t>Depth: Defines effective engineering-org design for the discipline and is cited externally on it. Evidenced by: Pioneers an operating model other functions adopt. Scope: org-wide platform.</t>
        </is>
      </c>
    </row>
    <row r="37">
      <c r="A37" s="4" t="inlineStr">
        <is>
          <t>Strategy, Communication &amp; Influence</t>
        </is>
      </c>
      <c r="B37" s="4" t="inlineStr">
        <is>
          <t>Communication &amp; Influence</t>
        </is>
      </c>
      <c r="C37" s="4" t="inlineStr">
        <is>
          <t>Executive &amp; stakeholder communication</t>
        </is>
      </c>
      <c r="D37" s="6" t="inlineStr">
        <is>
          <t>CC-06</t>
        </is>
      </c>
      <c r="E37" s="4" t="inlineStr">
        <is>
          <t>Communicates upward and to executive audiences — answer-first briefings, decision-ready framing, and composure under hostile questioning.</t>
        </is>
      </c>
      <c r="F37" s="4" t="inlineStr">
        <is>
          <t>Duarte, HBR Guide to Persuasive Presentations (Harvard Business Review Press, 2012) — leaders move resources through clear, audience-tuned narrative, not data dumps</t>
        </is>
      </c>
      <c r="G37" s="4" t="inlineStr">
        <is>
          <t>Depth: Reports upward answer-first with a specific ask; escalates early with options attached, so no surprise reaches leadership from someone else. Evidenced by: Translates a technical platform issue into terms a non-engineer decision-maker acts on. Scope: one platform team.</t>
        </is>
      </c>
      <c r="H37" s="4" t="inlineStr">
        <is>
          <t>Depth: Briefs senior leaders under pressure — facts, impact, options, and a recommendation inside the first two minutes; one-pagers get forwarded unedited. Evidenced by: Gets a skeptical stakeholder to a decision through a well-framed case. Scope: a complex / critical platform team.</t>
        </is>
      </c>
      <c r="I37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 Evidenced by: Crafts the platform narrative several teams reuse to align stakeholders. Scope: a platform domain (cross-team).</t>
        </is>
      </c>
      <c r="J37" s="4" t="inlineStr">
        <is>
          <t>Depth: Operates the executive room as a peer — advances positions, absorbs hostile questioning without defensiveness, and changes the room's decision more often than not. Evidenced by: Turns a complex platform investment into an exec-level story that lands the budget. Scope: a platform sub-org.</t>
        </is>
      </c>
      <c r="K37" s="4" t="inlineStr">
        <is>
          <t>Depth: Operates the executive room as a peer — advances positions, absorbs hostile questioning without defensiveness, and changes the room's decision more often than not. Evidenced by: Sets how the function tells its story to the board and business. Scope: the platform function.</t>
        </is>
      </c>
      <c r="L37" s="4" t="inlineStr">
        <is>
          <t>Depth: Speaks for an organization's technical reality to boards, investors, and press; trusted with the messages that cannot be delegated, and organizational credibility survives the appearances. Evidenced by: Speaks for platform to the board and externally as a recognized voice. Scope: org-wide platform.</t>
        </is>
      </c>
    </row>
    <row r="38">
      <c r="A38" s="4" t="inlineStr">
        <is>
          <t>Strategy, Communication &amp; Influence</t>
        </is>
      </c>
      <c r="B38" s="4" t="inlineStr">
        <is>
          <t>Communication &amp; Influence</t>
        </is>
      </c>
      <c r="C38" s="4" t="inlineStr">
        <is>
          <t>Stakeholder management &amp; partnership</t>
        </is>
      </c>
      <c r="D38" s="6" t="inlineStr">
        <is>
          <t>PM-13</t>
        </is>
      </c>
      <c r="E38" s="4" t="inlineStr">
        <is>
          <t>Aligning leadership and cross-functional stakeholders around product direction and trade-offs.</t>
        </is>
      </c>
      <c r="F38" s="4" t="inlineStr">
        <is>
          <t>Freeman, Strategic Management: A Stakeholder Approach (Pitman, 1984) — platform serves many internal stakeholders with conflicting needs, and managing them is the job</t>
        </is>
      </c>
      <c r="G38" s="4" t="inlineStr">
        <is>
          <t>Depth: Manages routine stakeholder relationships and communications with normal review. Evidenced by: Turns a frustrated internal customer into a collaborating partner. Scope: one platform team.</t>
        </is>
      </c>
      <c r="H38" s="4" t="inlineStr">
        <is>
          <t>Depth: Independently aligns conflicting stakeholders and navigates tense executive conversations. Evidenced by: Brokers a durable agreement between platform and a demanding consumer team. Scope: a complex / critical platform team.</t>
        </is>
      </c>
      <c r="I38" s="4" t="inlineStr">
        <is>
          <t>Depth: Defines stakeholder-engagement approaches others adopt and brokers the hardest alignment. Evidenced by: Builds the cross-team partnership model several teams manage relationships through. Scope: a platform domain (cross-team).</t>
        </is>
      </c>
      <c r="J38" s="4" t="inlineStr">
        <is>
          <t>Depth: Defines stakeholder-engagement approaches others adopt and brokers the hardest alignment. Evidenced by: Realigns a strained sub-org-level partnership with a major consumer org. Scope: a platform sub-org.</t>
        </is>
      </c>
      <c r="K38" s="4" t="inlineStr">
        <is>
          <t>Depth: Sets executive-engagement strategy and anticipates leadership concerns before they arise. Evidenced by: Sets the partnership approach the function relies on. Scope: the platform function.</t>
        </is>
      </c>
      <c r="L38" s="4" t="inlineStr">
        <is>
          <t>Depth: Defines exemplary stakeholder management for the discipline and is externally credible on it. Evidenced by: Pioneers a stakeholder approach other functions adopt. Scope: org-wide platform.</t>
        </is>
      </c>
    </row>
    <row r="39">
      <c r="A39" s="4" t="inlineStr">
        <is>
          <t>Strategy, Communication &amp; Influence</t>
        </is>
      </c>
      <c r="B39" s="4" t="inlineStr">
        <is>
          <t>Communication &amp; Influence</t>
        </is>
      </c>
      <c r="C39" s="4" t="inlineStr">
        <is>
          <t>Cross-org influence &amp; alignment</t>
        </is>
      </c>
      <c r="D39" s="6" t="inlineStr">
        <is>
          <t>LI-07</t>
        </is>
      </c>
      <c r="E39" s="4" t="inlineStr">
        <is>
          <t>Wins outcomes across organizational seams with no formal mandate — exchange in others' currencies, coalition-building, and earned credibility.</t>
        </is>
      </c>
      <c r="F39" s="4" t="inlineStr">
        <is>
          <t>Cohen &amp; Bradford, Influence Without Authority, 3rd ed. (Wiley, 2017) — platform leaders get outcomes across teams they do not own, through reciprocity and clear intent</t>
        </is>
      </c>
      <c r="G39" s="4" t="inlineStr">
        <is>
          <t>Depth: Wins cooperation from adjacent teams by trading in their currencies — timing help, review effort, shared credit — rather than escalating. Evidenced by: Aligns another team to a shared platform goal without authority over them. Scope: one platform team.</t>
        </is>
      </c>
      <c r="H39" s="4" t="inlineStr">
        <is>
          <t>Depth: Secures priority from other teams for an initiative with no borrowed authority; builds the case in the other party's terms and repays visibly. Evidenced by: Builds cross-team agreement on a contested platform standard. Scope: a complex / critical platform team.</t>
        </is>
      </c>
      <c r="I39" s="4" t="inlineStr">
        <is>
          <t>Depth: Moves a multi-team domain to a shared position with no mandate — assembles the coalition, converts the best-argued skeptic — and the position holds after they stop pushing. Evidenced by: Drives alignment across a domain by clear intent, commander's-intent style, rather than escalation. Scope: a platform domain (cross-team).</t>
        </is>
      </c>
      <c r="J39" s="4" t="inlineStr">
        <is>
          <t>Depth: Moves a multi-team domain to a shared position with no mandate — assembles the coalition, converts the best-argued skeptic — and the position holds after they stop pushing. Evidenced by: Wins peer-org buy-in for a sub-org-wide platform initiative. Scope: a platform sub-org.</t>
        </is>
      </c>
      <c r="K39" s="4" t="inlineStr">
        <is>
          <t>Depth: Shifts organization-level outcomes through people several seams away who advocate the position as their own; lands decisions while holding a minority of the formal power in the room. Evidenced by: Sets the alignment mechanisms the function relies on to move the wider org. Scope: the platform function.</t>
        </is>
      </c>
      <c r="L39" s="4" t="inlineStr">
        <is>
          <t>Depth: Shapes industry and market context in the organization's favor — standards bodies, open ecosystems, talent narratives — so external forces push where the organization wants to go. Evidenced by: Pioneers an influence model that aligns the whole company behind platform bets. Scope: org-wide platform.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Managerial leverage &amp; focus</t>
        </is>
      </c>
      <c r="D40" s="6" t="inlineStr">
        <is>
          <t>EM-16</t>
        </is>
      </c>
      <c r="E40" s="4" t="inlineStr">
        <is>
          <t>Spends leadership time where it multiplies — deliberate calendar design, high-leverage intervention choice, and systematic abandonment of low-value work.</t>
        </is>
      </c>
      <c r="F40" s="4" t="inlineStr">
        <is>
          <t>Grove, High Output Management (Random House, 1983) — a manager's output is the leveraged output of everyone they touch, and time is the one non-renewable resource</t>
        </is>
      </c>
      <c r="G40" s="4" t="inlineStr">
        <is>
          <t>Depth: Runs a deliberate calendar that matches stated priorities — protected one-on-ones, deep work, and team time; declines low-leverage meetings with alternatives offered. Evidenced by: Drops a low-leverage habit such as reviewing every change themselves once they see its cost. Scope: one platform team.</t>
        </is>
      </c>
      <c r="H40" s="4" t="inlineStr">
        <is>
          <t>Depth: Prunes their own involvement ruthlessly as complexity grows — automates, delegates, or kills recurring work every quarter — and models sustainable pace through crunch. Evidenced by: Restructures how they spend time so a critical platform team stops waiting on them. Scope: a complex / critical platform team.</t>
        </is>
      </c>
      <c r="I40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Publishes an operating cadence several leads adopt to reclaim their own high-leverage time. Scope: a platform domain (cross-team).</t>
        </is>
      </c>
      <c r="J40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Removes themselves as a bottleneck across the sub-org by installing the mechanisms that decide without them. Scope: a platform sub-org.</t>
        </is>
      </c>
      <c r="K40" s="4" t="inlineStr">
        <is>
          <t>Depth: Allocates attention like a portfolio at organizational scale — deep on the few places they are the unique unlock, delegated on the rest — and says which is which out loud. Evidenced by: Sets the focus and leverage norms leaders across the function organize their time around. Scope: the platform function.</t>
        </is>
      </c>
      <c r="L40" s="4" t="inlineStr">
        <is>
          <t>Depth: Spends presence deliberately as an organizational signal — where they show up moves priorities — and guards the organization's focus by limiting concurrent top priorities and abandoning stale initiatives by name. Evidenced by: Pioneers a leverage model peer functions adopt. Scope: org-wide platform.</t>
        </is>
      </c>
    </row>
    <row r="41">
      <c r="A41" s="4" t="inlineStr">
        <is>
          <t>Self &amp; Personal Effectiveness</t>
        </is>
      </c>
      <c r="B41" s="4" t="inlineStr">
        <is>
          <t>Leverage &amp; Delegation</t>
        </is>
      </c>
      <c r="C41" s="4" t="inlineStr">
        <is>
          <t>Delegation &amp; empowerment</t>
        </is>
      </c>
      <c r="D41" s="6" t="inlineStr">
        <is>
          <t>EM-14</t>
        </is>
      </c>
      <c r="E41" s="4" t="inlineStr">
        <is>
          <t>Hands over whole outcomes with context and calibrated support, pushes decision rights to where the information lives, and builds organizations that run on intent rather than presence.</t>
        </is>
      </c>
      <c r="F41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1" s="4" t="inlineStr">
        <is>
          <t>Depth: Delegates whole outcomes with context and check-in contracts matched to each person's readiness — and resists snatching work back when it wobbles. Evidenced by: Hands a platform workstream to an engineer with the decision rights to run it, then holds back. Scope: one platform team.</t>
        </is>
      </c>
      <c r="H41" s="4" t="inlineStr">
        <is>
          <t>Depth: Hands ownership of critical, visible work to someone not yet proven and scaffolds them to success, letting them keep the credit; the team runs a week without them and nothing stalls. Evidenced by: Grows a report into someone who runs a critical workstream end to end without checking in. Scope: a complex / critical platform team.</t>
        </is>
      </c>
      <c r="I41" s="4" t="inlineStr">
        <is>
          <t>Depth: Pushes decisions down across multiple teams — publishes decision rights so teams stop escalating what they can decide themselves; involvement is exception-based, and everyone knows which is which. Evidenced by: Gets outcomes across a domain by stating clear intent and letting other leaders decide how. Scope: a platform domain (cross-team).</t>
        </is>
      </c>
      <c r="J41" s="4" t="inlineStr">
        <is>
          <t>Depth: Pushes decisions down across multiple teams — publishes decision rights so teams stop escalating what they can decide themselves; involvement is exception-based, and everyone knows which is which. Evidenced by: Pushes a class of decisions down to team leaders across the sub-org and stops being consulted on them. Scope: a platform sub-org.</t>
        </is>
      </c>
      <c r="K41" s="4" t="inlineStr">
        <is>
          <t>Depth: Builds organizations that run on mechanisms rather than presence — delegated authorities with audit trails, pre-declared tripwires — and grants leaders consequential authority held to outcomes, not methods. Evidenced by: Sets the empowerment norms leaders across the function lead by. Scope: the platform function.</t>
        </is>
      </c>
      <c r="L41" s="4" t="inlineStr">
        <is>
          <t>Depth: Runs an organization on intent — direction and guardrails clear enough that leaders act correctly without asking — and treats every upward escalation as a design flaw to fix. Evidenced by: Pioneers a decision-rights model other functions adopt. Scope: org-wide platform.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Self-awareness &amp; learning agility</t>
        </is>
      </c>
      <c r="D42" s="6" t="inlineStr">
        <is>
          <t>LI-09</t>
        </is>
      </c>
      <c r="E42" s="4" t="inlineStr">
        <is>
          <t>Seeks external feedback on their own behavior, knows their failure patterns, and extracts lessons from first-time situations fast enough to lead credibly in them.</t>
        </is>
      </c>
      <c r="F42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2" s="4" t="inlineStr">
        <is>
          <t>Depth: Asks for feedback on their own practice and changes visibly in response — "you said X, I changed Y" — keeping a running list of their own failure patterns. Evidenced by: Changes a specific behavior after hearing it lands badly, rather than defending it. Scope: one platform team.</t>
        </is>
      </c>
      <c r="H42" s="4" t="inlineStr">
        <is>
          <t>Depth: Knows their failure modes under pressure and manages them in the moment; staffs deliberately against known weaknesses and seeks disconfirming input before hard calls. Evidenced by: Names a blind spot and adjusts before it costs the team, using an outside read to check their own. Scope: a complex / critical platform team.</t>
        </is>
      </c>
      <c r="I42" s="4" t="inlineStr">
        <is>
          <t>Depth: Runs structured input on themselves — 360s, skip-level themes — and closes the loop publicly on what changed; retools openly for first-time challenges so others copy the learning method. Evidenced by: Runs feedback mechanisms several leads adopt to see their own effect on others. Scope: a platform domain (cross-team).</t>
        </is>
      </c>
      <c r="J42" s="4" t="inlineStr">
        <is>
          <t>Depth: Runs structured input on themselves — 360s, skip-level themes — and closes the loop publicly on what changed; retools openly for first-time challenges so others copy the learning method. Evidenced by: Turns a leader's blind spot around across the sub-org by making honest upward feedback safe and routine. Scope: a platform sub-org.</t>
        </is>
      </c>
      <c r="K42" s="4" t="inlineStr">
        <is>
          <t>Depth: Compensates deliberately for the seniority feedback vacuum — cultivates truth-tellers, rewards bearers of unwelcome news about themselves, and retires their own outdated playbook when the organization outgrows it. Evidenced by: Sets the learning-agility expectations leaders across the function are developed against. Scope: the platform function.</t>
        </is>
      </c>
      <c r="L42" s="4" t="inlineStr">
        <is>
          <t>Depth: Institutionalizes challenge to their own judgment — red teams, protected dissent — and manages how their moods and offhand comments get amplified across an organization. Evidenced by: Pioneers a leadership-development model peer functions adopt. Scope: org-wide platform.</t>
        </is>
      </c>
    </row>
    <row r="43">
      <c r="A43" s="4" t="inlineStr">
        <is>
          <t>Self &amp; Personal Effectiveness</t>
        </is>
      </c>
      <c r="B43" s="4" t="inlineStr">
        <is>
          <t>Growth &amp; Resilience</t>
        </is>
      </c>
      <c r="C43" s="4" t="inlineStr">
        <is>
          <t>Resilience &amp; sustainable pace</t>
        </is>
      </c>
      <c r="D43" s="6" t="inlineStr">
        <is>
          <t>LI-10</t>
        </is>
      </c>
      <c r="E43" s="4" t="inlineStr">
        <is>
          <t>Sustains effectiveness under prolonged pressure, recovers from setbacks, and designs sustainable pace into how teams operate rather than modeling heroics.</t>
        </is>
      </c>
      <c r="F43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3" s="4" t="inlineStr">
        <is>
          <t>Depth: Stays effective and steady under pressure — recovers from setbacks, manages their own energy, and models a sustainable pace others learn from watching. Evidenced by: Protects the team's sustainable pace during an on-call-heavy stretch instead of normalizing heroics. Scope: one platform team.</t>
        </is>
      </c>
      <c r="H43" s="4" t="inlineStr">
        <is>
          <t>Depth: Holds up through prolonged pressure — incident sieges, crunch, organizational turbulence — helping the team stay resilient and refusing burnout-driven decisions. Evidenced by: Absorbs the stress of a severe outage period and keeps the team functioning rather than fraying. Scope: a complex / critical platform team.</t>
        </is>
      </c>
      <c r="I43" s="4" t="inlineStr">
        <is>
          <t>Depth: Builds resilience into how multiple teams operate — on-call health, recovery after pushes, load balancing — and repairs burnout risk at scale. Evidenced by: Acts on a burnout signal across the domain before it becomes attrition, changing the load rather than the people. Scope: a platform domain (cross-team).</t>
        </is>
      </c>
      <c r="J43" s="4" t="inlineStr">
        <is>
          <t>Depth: Builds resilience into how multiple teams operate — on-call health, recovery after pushes, load balancing — and repairs burnout risk at scale. Evidenced by: Reshapes on-call and workload across the sub-org so resilience does not depend on individual heroics. Scope: a platform sub-org.</t>
        </is>
      </c>
      <c r="K43" s="4" t="inlineStr">
        <is>
          <t>Depth: Stewards organizational resilience — capacity buffers, crisis rotation, energy management for senior leaders — and holds the line when business pressure argues for permanent crunch. Evidenced by: Sets the sustainable-pace expectations leaders across the function are held to. Scope: the platform function.</t>
        </is>
      </c>
      <c r="L43" s="4" t="inlineStr">
        <is>
          <t>Depth: Shapes a resilient, sustainable culture across an organization; the organization absorbs shocks without breaking people, and the practice is referenced beyond it. Evidenced by: Pioneers a sustainable-operations model peer functions adopt. Scope: org-wide platform.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Decision-making under uncertainty</t>
        </is>
      </c>
      <c r="D44" s="6" t="inlineStr">
        <is>
          <t>LI-04</t>
        </is>
      </c>
      <c r="E44" s="4" t="inlineStr">
        <is>
          <t>Makes sound calls with incomplete information.</t>
        </is>
      </c>
      <c r="F44" s="4" t="inlineStr">
        <is>
          <t>Kahneman, Thinking, Fast and Slow (Farrar, Straus and Giroux, 2011) — sound decisions require guarding against bias and calibrating confidence to the evidence</t>
        </is>
      </c>
      <c r="G44" s="4" t="inlineStr">
        <is>
          <t>Depth: Decides independently within their components; evaluates alternatives honestly. Evidenced by: Makes a reversible platform decision quickly rather than stalling for certainty that will not come. Scope: one platform team.</t>
        </is>
      </c>
      <c r="H44" s="4" t="inlineStr">
        <is>
          <t>Depth: Makes architectural choices for a domain that hold up over months. Evidenced by: Frames a one-way-door platform decision explicitly and gathers the evidence its weight warrants. Scope: a complex / critical platform team.</t>
        </is>
      </c>
      <c r="I44" s="4" t="inlineStr">
        <is>
          <t>Depth: Foresees second-order consequences; sets decision frameworks for teams. Evidenced by: Installs a decision framework several teams now use to make calls under ambiguity. Scope: a platform domain (cross-team).</t>
        </is>
      </c>
      <c r="J44" s="4" t="inlineStr">
        <is>
          <t>Depth: Foresees second-order consequences; sets decision frameworks for teams. Evidenced by: Raises the quality of consequential decisions across the sub-org by making the reasoning and the owner explicit. Scope: a platform sub-org.</t>
        </is>
      </c>
      <c r="K44" s="4" t="inlineStr">
        <is>
          <t>Depth: Sets decision-making frameworks for the org. Evidenced by: Sets the decision standard leaders across the function are calibrated to. Scope: the platform function.</t>
        </is>
      </c>
      <c r="L44" s="4" t="inlineStr">
        <is>
          <t>Depth: Visionary judgment; sees structural causes others miss. Evidenced by: Pioneers a decision model peer functions adopt. Scope: org-wide platform.</t>
        </is>
      </c>
    </row>
    <row r="45">
      <c r="A45" s="4" t="inlineStr">
        <is>
          <t>Self &amp; Personal Effectiveness</t>
        </is>
      </c>
      <c r="B45" s="4" t="inlineStr">
        <is>
          <t>Judgment &amp; Integrity</t>
        </is>
      </c>
      <c r="C45" s="4" t="inlineStr">
        <is>
          <t>Ethics, integrity &amp; trust</t>
        </is>
      </c>
      <c r="D45" s="6" t="inlineStr">
        <is>
          <t>LI-11</t>
        </is>
      </c>
      <c r="E45" s="4" t="inlineStr">
        <is>
          <t>Earns and keeps trust through consistency and courage — keeping commitments, telling unwelcome truths, and holding the ethical line when it is costly.</t>
        </is>
      </c>
      <c r="F45" s="4" t="inlineStr">
        <is>
          <t>Mayer, Davis &amp; Schoorman, An Integrative Model of Organizational Trust, Academy of Management Review 20(3), 709-734 (1995) — trust is built on ability, benevolence, and integrity, and platform leaders hold outsized access and impact</t>
        </is>
      </c>
      <c r="G45" s="4" t="inlineStr">
        <is>
          <t>Depth: Makes the unpopular-but-right call under pressure and absorbs the cost personally; protects the person who raised the flag and handles sensitive information impeccably. Evidenced by: Makes the honest call on a platform reliability or security risk even when it is inconvenient to admit. Scope: one platform team.</t>
        </is>
      </c>
      <c r="H45" s="4" t="inlineStr">
        <is>
          <t>Depth: Makes the unpopular-but-right call under pressure and absorbs the cost personally; protects the person who raised the flag and handles sensitive information impeccably. Evidenced by: Refuses a shortcut that would trade user trust or safety for speed, and says why. Scope: a complex / critical platform team.</t>
        </is>
      </c>
      <c r="I45" s="4" t="inlineStr">
        <is>
          <t>Depth: Serves as the honest broker across teams — disputing parties accept their account of the facts — and carries uncomfortable systemic truths to the room that can fix them. Evidenced by: Establishes the do-the-right-thing expectations several teams now hold each other to. Scope: a platform domain (cross-team).</t>
        </is>
      </c>
      <c r="J45" s="4" t="inlineStr">
        <is>
          <t>Depth: Serves as the honest broker across teams — disputing parties accept their account of the facts — and carries uncomfortable systemic truths to the room that can fix them. Evidenced by: Makes candid, blameless honesty the norm across the sub-org even when the news is bad. Scope: a platform sub-org.</t>
        </is>
      </c>
      <c r="K45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 Evidenced by: Sets the integrity standard leaders across the function are trusted to uphold. Scope: the platform function.</t>
        </is>
      </c>
      <c r="L45" s="4" t="inlineStr">
        <is>
          <t>Depth: Holds an organization's line when the profitable path and the right path diverge — the hard disclosure, the walked-away revenue — and those moments become the story the culture tells about itself. Evidenced by: Pioneers an ethics model peer functions and the wider field reference. Scope: org-wide platform.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People Leadership &amp; Team Health</t>
        </is>
      </c>
      <c r="B4" s="2" t="inlineStr">
        <is>
          <t>Hiring &amp; selection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3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People Leadership &amp; Team Health</t>
        </is>
      </c>
      <c r="B5" s="2" t="inlineStr">
        <is>
          <t>Onboarding &amp; team formation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People Leadership &amp; Team Health</t>
        </is>
      </c>
      <c r="B6" s="2" t="inlineStr">
        <is>
          <t>Coaching &amp; development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3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People Leadership &amp; Team Health</t>
        </is>
      </c>
      <c r="B7" s="2" t="inlineStr">
        <is>
          <t>Career development &amp; sponsorship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People Leadership &amp; Team Health</t>
        </is>
      </c>
      <c r="B8" s="2" t="inlineStr">
        <is>
          <t>Performance management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3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People Leadership &amp; Team Health</t>
        </is>
      </c>
      <c r="B9" s="2" t="inlineStr">
        <is>
          <t>Psychological safety &amp; team health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3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People Leadership &amp; Team Health</t>
        </is>
      </c>
      <c r="B10" s="2" t="inlineStr">
        <is>
          <t>Motivation, engagement &amp; retention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3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as a Product</t>
        </is>
      </c>
      <c r="B11" s="2" t="inlineStr">
        <is>
          <t>Platform vision &amp; roadmap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as a Product</t>
        </is>
      </c>
      <c r="B12" s="2" t="inlineStr">
        <is>
          <t>Internal user research &amp; discovery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as a Product</t>
        </is>
      </c>
      <c r="B13" s="2" t="inlineStr">
        <is>
          <t>Platform value &amp; business case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as a Product</t>
        </is>
      </c>
      <c r="B14" s="2" t="inlineStr">
        <is>
          <t>Golden paths &amp; paved roads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as a Product</t>
        </is>
      </c>
      <c r="B15" s="2" t="inlineStr">
        <is>
          <t>Self-service &amp; platform interfaces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as a Product</t>
        </is>
      </c>
      <c r="B16" s="2" t="inlineStr">
        <is>
          <t>Adoption &amp; migration strategy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Platform as a Product</t>
        </is>
      </c>
      <c r="B17" s="2" t="inlineStr">
        <is>
          <t>Platform advocacy &amp; enablement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Reliability &amp; Operations</t>
        </is>
      </c>
      <c r="B18" s="2" t="inlineStr">
        <is>
          <t>Reliability, SLOs &amp; error budgets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Reliability &amp; Operations</t>
        </is>
      </c>
      <c r="B19" s="2" t="inlineStr">
        <is>
          <t>Incident &amp; operational-risk leadership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Reliability &amp; Operations</t>
        </is>
      </c>
      <c r="B20" s="2" t="inlineStr">
        <is>
          <t>Observability &amp; health signals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2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Reliability &amp; Operations</t>
        </is>
      </c>
      <c r="B21" s="2" t="inlineStr">
        <is>
          <t>Toil reduction &amp; automation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Capacity, performance &amp; cost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2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Technical Direction &amp; Architecture</t>
        </is>
      </c>
      <c r="B23" s="2" t="inlineStr">
        <is>
          <t>Platform architecture stewardship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2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Technical Direction &amp; Architecture</t>
        </is>
      </c>
      <c r="B24" s="2" t="inlineStr">
        <is>
          <t>Engineering standards &amp; quality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2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Technical Direction &amp; Architecture</t>
        </is>
      </c>
      <c r="B25" s="2" t="inlineStr">
        <is>
          <t>Technical debt &amp; modernization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Technical Direction &amp; Architecture</t>
        </is>
      </c>
      <c r="B26" s="2" t="inlineStr">
        <is>
          <t>Technical strategy &amp; investment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Technical Direction &amp; Architecture</t>
        </is>
      </c>
      <c r="B27" s="2" t="inlineStr">
        <is>
          <t>Vendor &amp; build/buy/adopt strategy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2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Technical Direction &amp; Architecture</t>
        </is>
      </c>
      <c r="B28" s="2" t="inlineStr">
        <is>
          <t>Secure-by-default platform &amp; guardrails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2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Delivery &amp; Execution</t>
        </is>
      </c>
      <c r="B29" s="2" t="inlineStr">
        <is>
          <t>Planning &amp; estimation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Delivery &amp; Execution</t>
        </is>
      </c>
      <c r="B30" s="2" t="inlineStr">
        <is>
          <t>Prioritization &amp; trade-offs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2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Delivery &amp; Execution</t>
        </is>
      </c>
      <c r="B31" s="2" t="inlineStr">
        <is>
          <t>Capacity &amp; resource allocation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Delivery &amp; Execution</t>
        </is>
      </c>
      <c r="B32" s="2" t="inlineStr">
        <is>
          <t>Predictable delivery &amp; flow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Delivery &amp; Execution</t>
        </is>
      </c>
      <c r="B33" s="2" t="inlineStr">
        <is>
          <t>Engineering metrics &amp; delivery health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Delivery &amp; Execution</t>
        </is>
      </c>
      <c r="B34" s="2" t="inlineStr">
        <is>
          <t>Process &amp; continuous improvement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Delivery &amp; Execution</t>
        </is>
      </c>
      <c r="B35" s="2" t="inlineStr">
        <is>
          <t>Dependency &amp; risk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Strategy, Communication &amp; Influence</t>
        </is>
      </c>
      <c r="B36" s="2" t="inlineStr">
        <is>
          <t>Strategy formulation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5</v>
      </c>
      <c r="N36" s="2" t="n">
        <v>5</v>
      </c>
      <c r="O36" s="2" t="n">
        <v>6</v>
      </c>
    </row>
    <row r="37">
      <c r="A37" s="2" t="inlineStr">
        <is>
          <t>Strategy, Communication &amp; Influence</t>
        </is>
      </c>
      <c r="B37" s="2" t="inlineStr">
        <is>
          <t>Leading change &amp; transformation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Strategy, Communication &amp; Influence</t>
        </is>
      </c>
      <c r="B38" s="2" t="inlineStr">
        <is>
          <t>Organizational &amp; team design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Strategy, Communication &amp; Influence</t>
        </is>
      </c>
      <c r="B39" s="2" t="inlineStr">
        <is>
          <t>Executive &amp; stakeholder communication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5</v>
      </c>
      <c r="N39" s="2" t="n">
        <v>5</v>
      </c>
      <c r="O39" s="2" t="n">
        <v>6</v>
      </c>
    </row>
    <row r="40">
      <c r="A40" s="2" t="inlineStr">
        <is>
          <t>Strategy, Communication &amp; Influence</t>
        </is>
      </c>
      <c r="B40" s="2" t="inlineStr">
        <is>
          <t>Stakeholder management &amp; partnership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Strategy, Communication &amp; Influence</t>
        </is>
      </c>
      <c r="B41" s="2" t="inlineStr">
        <is>
          <t>Cross-org influence &amp; alignment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Managerial leverage &amp; focus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Delegation &amp; empowerment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Self-awareness &amp; learning agility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Resilience &amp; sustainable pace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Decision-making under uncertainty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2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  <row r="47">
      <c r="A47" s="2" t="inlineStr">
        <is>
          <t>Self &amp; Personal Effectiveness</t>
        </is>
      </c>
      <c r="B47" s="2" t="inlineStr">
        <is>
          <t>Ethics, integrity &amp; trust</t>
        </is>
      </c>
      <c r="C47" s="2">
        <f>IFERROR(INDEX(J47:O47,MATCH($B$1,$J$3:$O$3,0)),"")</f>
        <v/>
      </c>
      <c r="D47" s="7" t="n"/>
      <c r="E47" s="7" t="n"/>
      <c r="F47" s="7" t="n"/>
      <c r="G47" s="2">
        <f>IFERROR(AVERAGE(D47:F47),"")</f>
        <v/>
      </c>
      <c r="H47" s="2">
        <f>IFERROR(G47-C47,"")</f>
        <v/>
      </c>
      <c r="J47" s="2" t="n">
        <v>3</v>
      </c>
      <c r="K47" s="2" t="n">
        <v>3</v>
      </c>
      <c r="L47" s="2" t="n">
        <v>4</v>
      </c>
      <c r="M47" s="2" t="n">
        <v>4</v>
      </c>
      <c r="N47" s="2" t="n">
        <v>5</v>
      </c>
      <c r="O47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Meta-analysis of 85 years of selection-method validity; grounds structured, evidence-based hiring judgment</t>
        </is>
      </c>
      <c r="B2" s="4" t="inlineStr">
        <is>
          <t>Schmidt &amp; Hunter, The Validity and Utility of Selection Methods in Personnel Psychology, Psychological Bulletin 124(2), 262-274 (1998)</t>
        </is>
      </c>
      <c r="C2" s="4" t="inlineStr">
        <is>
          <t>Hiring &amp; selection</t>
        </is>
      </c>
      <c r="D2" s="4" t="inlineStr"/>
    </row>
    <row r="3">
      <c r="A3" s="4" t="inlineStr">
        <is>
          <t>Forming-storming-norming-performing team stages</t>
        </is>
      </c>
      <c r="B3" s="4" t="inlineStr">
        <is>
          <t>Tuckman, Developmental Sequence in Small Groups, Psychological Bulletin 63(6), 384-399 (1965)</t>
        </is>
      </c>
      <c r="C3" s="4" t="inlineStr">
        <is>
          <t>Onboarding &amp; team formation</t>
        </is>
      </c>
      <c r="D3" s="4" t="inlineStr">
        <is>
          <t>https://doi.org/10.1037/h0022100</t>
        </is>
      </c>
    </row>
    <row r="4">
      <c r="A4" s="4" t="inlineStr">
        <is>
          <t>GROW model; origin of the coach-not-tell manager stance</t>
        </is>
      </c>
      <c r="B4" s="4" t="inlineStr">
        <is>
          <t>Whitmore, Coaching for Performance: GROWing Human Potential and Purpose, 4th ed. (Nicholas Brealey, 2009; orig. 1992)</t>
        </is>
      </c>
      <c r="C4" s="4" t="inlineStr">
        <is>
          <t>Coaching &amp; development</t>
        </is>
      </c>
      <c r="D4" s="4" t="inlineStr">
        <is>
          <t>https://www.nicholasbrealey.com/coaching-for-performance/</t>
        </is>
      </c>
    </row>
    <row r="5">
      <c r="A5" s="4" t="inlineStr">
        <is>
          <t>Distinguishes sponsorship (advocacy, reputational risk) from mentorship (advice)</t>
        </is>
      </c>
      <c r="B5" s="4" t="inlineStr">
        <is>
          <t>Hewlett, Forget a Mentor, Find a Sponsor: The New Way to Fast-Track Your Career (Harvard Business Review Press, 2013)</t>
        </is>
      </c>
      <c r="C5" s="4" t="inlineStr">
        <is>
          <t>Career development &amp; sponsorship</t>
        </is>
      </c>
      <c r="D5" s="4" t="inlineStr">
        <is>
          <t>https://www.barnesandnoble.com/w/forget-a-mentor-find-a-sponsor-sylvia-ann-hewlett/1114264520</t>
        </is>
      </c>
    </row>
    <row r="6">
      <c r="A6" s="4" t="inlineStr">
        <is>
          <t>Origin of management-by-objectives cascading goal-setting that OKRs formalize</t>
        </is>
      </c>
      <c r="B6" s="4" t="inlineStr">
        <is>
          <t>Grove, High Output Management (Random House, 1983)</t>
        </is>
      </c>
      <c r="C6" s="4" t="inlineStr">
        <is>
          <t>Performance management</t>
        </is>
      </c>
      <c r="D6" s="4" t="inlineStr">
        <is>
          <t>https://www.penguinrandomhouse.com/books/163289/high-output-management-by-andrew-s-grove/</t>
        </is>
      </c>
    </row>
    <row r="7">
      <c r="A7" s="4" t="inlineStr">
        <is>
          <t>Practitioner-facing extension of Edmondson's 1999 psychological-safety research to team leadership practice</t>
        </is>
      </c>
      <c r="B7" s="4" t="inlineStr">
        <is>
          <t>Edmondson, The Fearless Organization: Creating Psychological Safety in the Workplace for Learning, Innovation, and Growth (Wiley, 2018)</t>
        </is>
      </c>
      <c r="C7" s="4" t="inlineStr">
        <is>
          <t>Psychological safety &amp; team health</t>
        </is>
      </c>
      <c r="D7" s="4" t="inlineStr">
        <is>
          <t>https://www.wiley.com/en-us/The+Fearless+Organization%3A+Creating+Psychological+Safety+in+the+Workplace+for+Learning%2C+Innovation%2C+and+Growth-p-9781119477242</t>
        </is>
      </c>
    </row>
    <row r="8">
      <c r="A8" s="4" t="inlineStr">
        <is>
          <t>Autonomy, competence, relatedness drive durable engagement over extrinsic reward</t>
        </is>
      </c>
      <c r="B8" s="4" t="inlineStr">
        <is>
          <t>Deci &amp; Ryan, The "What" and "Why" of Goal Pursuits: Human Needs and the Self-Determination of Behavior, Psychological Inquiry 11(4), 227-268 (2000)</t>
        </is>
      </c>
      <c r="C8" s="4" t="inlineStr">
        <is>
          <t>Motivation, engagement &amp; retention</t>
        </is>
      </c>
      <c r="D8" s="4" t="inlineStr">
        <is>
          <t>https://doi.org/10.1207/S15327965PLI1104_01</t>
        </is>
      </c>
    </row>
    <row r="9">
      <c r="A9" s="4" t="inlineStr">
        <is>
          <t>Org-level product strategy vs. output-shipping; grounds strategic/commercial leveling</t>
        </is>
      </c>
      <c r="B9" s="4" t="inlineStr">
        <is>
          <t>Perri, Escaping the Build Trap: How Effective Product Management Creates Real Value (O'Reilly, 2018)</t>
        </is>
      </c>
      <c r="C9" s="4" t="inlineStr">
        <is>
          <t>Platform vision &amp; roadmap</t>
        </is>
      </c>
      <c r="D9" s="4" t="inlineStr">
        <is>
          <t>https://www.oreilly.com/library/view/escaping-the-build/9781491973783/</t>
        </is>
      </c>
    </row>
    <row r="10">
      <c r="A10" s="4" t="inlineStr">
        <is>
          <t>Feedback loops, cognitive load, flow state as the measurable drivers of developer productivity</t>
        </is>
      </c>
      <c r="B10" s="4" t="inlineStr">
        <is>
          <t>Noda, Storey, Forsgren &amp; Greiler, DevEx: What Actually Drives Productivity, ACM Queue 21(2) (2023)</t>
        </is>
      </c>
      <c r="C10" s="4" t="inlineStr">
        <is>
          <t>Internal user research &amp; discovery</t>
        </is>
      </c>
      <c r="D10" s="4" t="inlineStr">
        <is>
          <t>https://queue.acm.org/detail.cfm?id=3595878</t>
        </is>
      </c>
    </row>
    <row r="11">
      <c r="A11" s="4" t="inlineStr">
        <is>
          <t>SVPG discovery-risk framework (value/usability/feasibility/viability); PM domain-expertise and discovery-judgment anchor</t>
        </is>
      </c>
      <c r="B11" s="4" t="inlineStr">
        <is>
          <t>Cagan, INSPIRED: How to Create Tech Products Customers Love, 2nd Edition (Wiley, 2018)</t>
        </is>
      </c>
      <c r="C11" s="4" t="inlineStr">
        <is>
          <t>Platform value &amp; business case</t>
        </is>
      </c>
      <c r="D11" s="4" t="inlineStr">
        <is>
          <t>https://www.svpg.com/inspired-2nd-edition/</t>
        </is>
      </c>
    </row>
    <row r="12">
      <c r="A12" s="4" t="inlineStr">
        <is>
          <t>Origin of the golden-path/paved-road pattern for internal platforms</t>
        </is>
      </c>
      <c r="B12" s="4" t="inlineStr">
        <is>
          <t>Spotify Engineering, How We Use Golden Paths to Solve Fragmentation in Our Software Ecosystem (Spotify Engineering Blog, 2020)</t>
        </is>
      </c>
      <c r="C12" s="4" t="inlineStr">
        <is>
          <t>Golden paths &amp; paved roads</t>
        </is>
      </c>
      <c r="D12" s="4" t="inlineStr">
        <is>
          <t>https://engineering.atspotify.com/2020/08/how-we-use-golden-paths-to-solve-fragmentation-in-our-software-ecosystem/</t>
        </is>
      </c>
    </row>
    <row r="13">
      <c r="A13" s="4" t="inlineStr">
        <is>
          <t>Thinnest-viable-platform framing; a platform's job is to cut cognitive load through self-service interfaces</t>
        </is>
      </c>
      <c r="B13" s="4" t="inlineStr">
        <is>
          <t>Bottcher, What I Talk About When I Talk About Platforms (martinfowler.com, 2018)</t>
        </is>
      </c>
      <c r="C13" s="4" t="inlineStr">
        <is>
          <t>Self-service &amp; platform interfaces</t>
        </is>
      </c>
      <c r="D13" s="4" t="inlineStr">
        <is>
          <t>https://martinfowler.com/articles/talk-about-platforms.html</t>
        </is>
      </c>
    </row>
    <row r="14">
      <c r="A14" s="4" t="inlineStr">
        <is>
          <t>Distinguishes programming from org-scale software engineering; anchors org-wide standard-setting levels</t>
        </is>
      </c>
      <c r="B14" s="4" t="inlineStr">
        <is>
          <t>Winters, Manshreck &amp; Wright, Software Engineering at Google: Lessons Learned from Programming Over Time (O'Reilly, 2020)</t>
        </is>
      </c>
      <c r="C14" s="4" t="inlineStr">
        <is>
          <t>Adoption &amp; migration strategy</t>
        </is>
      </c>
      <c r="D14" s="4" t="inlineStr">
        <is>
          <t>https://abseil.io/resources/swe-book</t>
        </is>
      </c>
    </row>
    <row r="15">
      <c r="A15" s="4" t="inlineStr">
        <is>
          <t>Maturity tiers for platform-as-a-product investment across people/process/policy/technology; link verified 200</t>
        </is>
      </c>
      <c r="B15" s="4" t="inlineStr">
        <is>
          <t>CNCF TAG App Delivery, Platform Engineering Maturity Model (2023)</t>
        </is>
      </c>
      <c r="C15" s="4" t="inlineStr">
        <is>
          <t>Platform advocacy &amp; enablement</t>
        </is>
      </c>
      <c r="D15" s="4" t="inlineStr">
        <is>
          <t>https://tag-app-delivery.cncf.io/whitepapers/platform-eng-maturity-model/</t>
        </is>
      </c>
    </row>
    <row r="16">
      <c r="A16" s="4" t="inlineStr">
        <is>
          <t>Google's published postmortem/root-cause and diagnostic-tooling practice; anchors debugging leveling</t>
        </is>
      </c>
      <c r="B16" s="4" t="inlineStr">
        <is>
          <t>Beyer, Jones, Petoff &amp; Murphy (eds.), Site Reliability Engineering: How Google Runs Production Systems (O'Reilly/Google, 2016)</t>
        </is>
      </c>
      <c r="C16" s="4" t="inlineStr">
        <is>
          <t>Reliability, SLOs &amp; error budgets</t>
        </is>
      </c>
      <c r="D16" s="4" t="inlineStr">
        <is>
          <t>https://sre.google/sre-book/table-of-contents/</t>
        </is>
      </c>
    </row>
    <row r="17">
      <c r="A17" s="4" t="inlineStr">
        <is>
          <t>Named incident-command roles severity classification and on-call rotation design practice guide</t>
        </is>
      </c>
      <c r="B17" s="4" t="inlineStr">
        <is>
          <t>PagerDuty, Incident Response Documentation (accessed 2026-07)</t>
        </is>
      </c>
      <c r="C17" s="4" t="inlineStr">
        <is>
          <t>Incident &amp; operational-risk leadership</t>
        </is>
      </c>
      <c r="D17" s="4" t="inlineStr">
        <is>
          <t>https://response.pagerduty.com/</t>
        </is>
      </c>
    </row>
    <row r="18">
      <c r="A18" s="4" t="inlineStr">
        <is>
          <t>High-cardinality, high-dimensionality telemetry vs. traditional monitoring</t>
        </is>
      </c>
      <c r="B18" s="4" t="inlineStr">
        <is>
          <t>Majors, Fong-Jones &amp; Miranda, Observability Engineering: Achieving Production Excellence (O'Reilly, 2022)</t>
        </is>
      </c>
      <c r="C18" s="4" t="inlineStr">
        <is>
          <t>Observability &amp; health signals</t>
        </is>
      </c>
      <c r="D18" s="4" t="inlineStr">
        <is>
          <t>https://www.oreilly.com/library/view/observability-engineering/9781492076438/</t>
        </is>
      </c>
    </row>
    <row r="19">
      <c r="A19" s="4" t="inlineStr">
        <is>
          <t>USE method and capacity/performance methodology coupling cost, capacity and performance</t>
        </is>
      </c>
      <c r="B19" s="4" t="inlineStr">
        <is>
          <t>Gregg, Systems Performance: Enterprise and the Cloud, 2nd ed. (Addison-Wesley, 2020)</t>
        </is>
      </c>
      <c r="C19" s="4" t="inlineStr">
        <is>
          <t>Capacity, performance &amp; cost</t>
        </is>
      </c>
      <c r="D19" s="4" t="inlineStr">
        <is>
          <t>https://www.brendangregg.com/systems-performance-2nd-edition-book.html</t>
        </is>
      </c>
    </row>
    <row r="20">
      <c r="A20" s="4" t="inlineStr">
        <is>
          <t>Conway's Law: system design mirrors the communication structure of the organization that builds it</t>
        </is>
      </c>
      <c r="B20" s="4" t="inlineStr">
        <is>
          <t>Conway, How Do Committees Invent?, Datamation 14(4), 28-31 (1968)</t>
        </is>
      </c>
      <c r="C20" s="4" t="inlineStr">
        <is>
          <t>Platform architecture stewardship</t>
        </is>
      </c>
      <c r="D20" s="4" t="inlineStr">
        <is>
          <t>https://www.melconway.com/Home/Committees_Paper.html</t>
        </is>
      </c>
    </row>
    <row r="21">
      <c r="A21" s="4" t="inlineStr">
        <is>
          <t>Deployment pipeline environment-parity and release-automation discipline</t>
        </is>
      </c>
      <c r="B21" s="4" t="inlineStr">
        <is>
          <t>Humble &amp; Farley, Continuous Delivery: Reliable Software Releases through Build Test and Deployment Automation (Addison-Wesley, 2010)</t>
        </is>
      </c>
      <c r="C21" s="4" t="inlineStr">
        <is>
          <t>Engineering standards &amp; quality</t>
        </is>
      </c>
      <c r="D21" s="4" t="inlineStr">
        <is>
          <t>https://continuousdelivery.com/</t>
        </is>
      </c>
    </row>
    <row r="22">
      <c r="A22" s="4" t="inlineStr">
        <is>
          <t>Origin of the technical-debt metaphor (principal and accruing interest)</t>
        </is>
      </c>
      <c r="B22" s="4" t="inlineStr">
        <is>
          <t>Cunningham, The WyCash Portfolio Management System, OOPSLA 1992 Experience Report</t>
        </is>
      </c>
      <c r="C22" s="4" t="inlineStr">
        <is>
          <t>Technical debt &amp; modernization</t>
        </is>
      </c>
      <c r="D22" s="4" t="inlineStr">
        <is>
          <t>https://c2.com/doc/oopsla92.html</t>
        </is>
      </c>
    </row>
    <row r="23">
      <c r="A23" s="4" t="inlineStr">
        <is>
          <t>Sizing teams, technical strategy, and org design for engineering leadership</t>
        </is>
      </c>
      <c r="B23" s="4" t="inlineStr">
        <is>
          <t>Larson, An Elegant Puzzle: Systems of Engineering Management (Stripe Press, 2019)</t>
        </is>
      </c>
      <c r="C23" s="4" t="inlineStr">
        <is>
          <t>Technical strategy &amp; investment</t>
        </is>
      </c>
      <c r="D23" s="4" t="inlineStr">
        <is>
          <t>https://press.stripe.com/an-elegant-puzzle</t>
        </is>
      </c>
    </row>
    <row r="24">
      <c r="A24" s="4" t="inlineStr">
        <is>
          <t>38-competency leadership model incl. Financial Acumen; industry-standard leveling reference</t>
        </is>
      </c>
      <c r="B24" s="4" t="inlineStr">
        <is>
          <t>Korn Ferry, Korn Ferry Leadership Architect Global Competency Framework (2014)</t>
        </is>
      </c>
      <c r="C24" s="4" t="inlineStr">
        <is>
          <t>Vendor &amp; build/buy/adopt strategy</t>
        </is>
      </c>
      <c r="D24" s="4" t="inlineStr">
        <is>
          <t>https://www.kornferry.com/capabilities/talent-suite/korn-ferry-assess/leadership-architect</t>
        </is>
      </c>
    </row>
    <row r="25">
      <c r="A25" s="4" t="inlineStr">
        <is>
          <t>Tiered verification levels (L1 baseline through L3 advanced) for defense-in-depth security controls</t>
        </is>
      </c>
      <c r="B25" s="4" t="inlineStr">
        <is>
          <t>OWASP Foundation, OWASP Application Security Verification Standard (accessed 2026-07)</t>
        </is>
      </c>
      <c r="C25" s="4" t="inlineStr">
        <is>
          <t>Secure-by-default platform &amp; guardrails</t>
        </is>
      </c>
      <c r="D25" s="4" t="inlineStr">
        <is>
          <t>https://owasp.org/www-project-application-security-verification-standard/</t>
        </is>
      </c>
    </row>
    <row r="26">
      <c r="A26" s="4" t="inlineStr">
        <is>
          <t>Estimation as a probabilistic forecast to calibrate, distinct from Code Complete</t>
        </is>
      </c>
      <c r="B26" s="4" t="inlineStr">
        <is>
          <t>McConnell, Software Estimation: Demystifying the Black Art (Microsoft Press, 2006)</t>
        </is>
      </c>
      <c r="C26" s="4" t="inlineStr">
        <is>
          <t>Planning &amp; estimation</t>
        </is>
      </c>
      <c r="D26" s="4" t="inlineStr">
        <is>
          <t>https://www.construx.com/store/software-estimation-demystifying-the-black-art/</t>
        </is>
      </c>
    </row>
    <row r="27">
      <c r="A27" s="4" t="inlineStr">
        <is>
          <t>Cost-of-delay and queueing-theory economics for prioritization decisions; verified via web search</t>
        </is>
      </c>
      <c r="B27" s="4" t="inlineStr">
        <is>
          <t>Reinertsen, The Principles of Product Development Flow: Second Generation Lean Product Development (Celeritas, 2009)</t>
        </is>
      </c>
      <c r="C27" s="4" t="inlineStr">
        <is>
          <t>Prioritization &amp; trade-offs</t>
        </is>
      </c>
      <c r="D27" s="4" t="inlineStr"/>
    </row>
    <row r="28">
      <c r="A28" s="4" t="inlineStr">
        <is>
          <t>Adding manpower to a late project makes it later; coordination cost scales with headcount</t>
        </is>
      </c>
      <c r="B28" s="4" t="inlineStr">
        <is>
          <t>Brooks, The Mythical Man-Month: Essays on Software Engineering, Anniversary ed. (Addison-Wesley, 1995; orig. 1975)</t>
        </is>
      </c>
      <c r="C28" s="4" t="inlineStr">
        <is>
          <t>Capacity &amp; resource allocation</t>
        </is>
      </c>
      <c r="D28" s="4" t="inlineStr">
        <is>
          <t>https://en.wikipedia.org/wiki/The_Mythical_Man-Month</t>
        </is>
      </c>
    </row>
    <row r="29">
      <c r="A29" s="4" t="inlineStr">
        <is>
          <t>Empirical linkage between deployment/release engineering maturity and organizational performance</t>
        </is>
      </c>
      <c r="B29" s="4" t="inlineStr">
        <is>
          <t>Forsgren, Humble &amp; Kim, Accelerate: The Science of Lean Software and DevOps (IT Revolution Press, 2018)</t>
        </is>
      </c>
      <c r="C29" s="4" t="inlineStr">
        <is>
          <t>Predictable delivery &amp; flow</t>
        </is>
      </c>
      <c r="D29" s="4" t="inlineStr">
        <is>
          <t>https://itrevolution.com/product/accelerate/</t>
        </is>
      </c>
    </row>
    <row r="30">
      <c r="A30" s="4" t="inlineStr">
        <is>
          <t>14 points for management; continuous, systemic process improvement over inspection</t>
        </is>
      </c>
      <c r="B30" s="4" t="inlineStr">
        <is>
          <t>Deming, Out of the Crisis (MIT Center for Advanced Engineering Study, 1986)</t>
        </is>
      </c>
      <c r="C30" s="4" t="inlineStr">
        <is>
          <t>Process &amp; continuous improvement</t>
        </is>
      </c>
      <c r="D30" s="4" t="inlineStr"/>
    </row>
    <row r="31">
      <c r="A31" s="4" t="inlineStr">
        <is>
          <t>Six-function (incl. Govern) taxonomy for organizing enterprise cybersecurity risk strategy</t>
        </is>
      </c>
      <c r="B31" s="4" t="inlineStr">
        <is>
          <t>NIST, The NIST Cybersecurity Framework (CSF) 2.0, NIST CSWP 29 (2024)</t>
        </is>
      </c>
      <c r="C31" s="4" t="inlineStr">
        <is>
          <t>Dependency &amp; risk management</t>
        </is>
      </c>
      <c r="D31" s="4" t="inlineStr">
        <is>
          <t>https://csrc.nist.gov/pubs/cswp/29/the-nist-cybersecurity-framework-csf-20/final</t>
        </is>
      </c>
    </row>
    <row r="32">
      <c r="A32" s="4" t="inlineStr">
        <is>
          <t>Strategy kernel (diagnosis, guiding policy, coherent action) as the test for real vs. bad strategy</t>
        </is>
      </c>
      <c r="B32" s="4" t="inlineStr">
        <is>
          <t>Rumelt, Good Strategy Bad Strategy: The Difference and Why It Matters (Crown Business, 2011)</t>
        </is>
      </c>
      <c r="C32" s="4" t="inlineStr">
        <is>
          <t>Strategy formulation</t>
        </is>
      </c>
      <c r="D32" s="4" t="inlineStr">
        <is>
          <t>https://www.penguinrandomhouse.com/books/198888/good-strategy-bad-strategy-by-richard-p-rumelt/</t>
        </is>
      </c>
    </row>
    <row r="33">
      <c r="A33" s="4" t="inlineStr">
        <is>
          <t>Eight-step model for leading organizational change through to durable adoption</t>
        </is>
      </c>
      <c r="B33" s="4" t="inlineStr">
        <is>
          <t>Kotter, Leading Change (Harvard Business School Press, 1996)</t>
        </is>
      </c>
      <c r="C33" s="4" t="inlineStr">
        <is>
          <t>Leading change &amp; transformation</t>
        </is>
      </c>
      <c r="D33" s="4" t="inlineStr">
        <is>
          <t>https://openlibrary.org/books/OL982607M/Leading_Change</t>
        </is>
      </c>
    </row>
    <row r="34">
      <c r="A34" s="4" t="inlineStr">
        <is>
          <t>Team boundaries; org-level team formation patterns</t>
        </is>
      </c>
      <c r="B34" s="4" t="inlineStr">
        <is>
          <t>Skelton &amp; Pais, Team Topologies (IT Revolution, 2019)</t>
        </is>
      </c>
      <c r="C34" s="4" t="inlineStr">
        <is>
          <t>Organizational &amp; team design</t>
        </is>
      </c>
      <c r="D34" s="4" t="inlineStr"/>
    </row>
    <row r="35">
      <c r="A35" s="4" t="inlineStr">
        <is>
          <t>Structuring executive communication around audience needs, not speaker content</t>
        </is>
      </c>
      <c r="B35" s="4" t="inlineStr">
        <is>
          <t>Duarte, HBR Guide to Persuasive Presentations (Harvard Business Review Press, 2012)</t>
        </is>
      </c>
      <c r="C35" s="4" t="inlineStr">
        <is>
          <t>Executive &amp; stakeholder communication</t>
        </is>
      </c>
      <c r="D35" s="4" t="inlineStr">
        <is>
          <t>https://store.hbr.org/product/hbr-guide-to-persuasive-presentations/10058</t>
        </is>
      </c>
    </row>
    <row r="36">
      <c r="A36" s="4" t="inlineStr">
        <is>
          <t>Origin of stakeholder theory: managing for groups who affect or are affected by the organization</t>
        </is>
      </c>
      <c r="B36" s="4" t="inlineStr">
        <is>
          <t>Freeman, Strategic Management: A Stakeholder Approach (Pitman, 1984)</t>
        </is>
      </c>
      <c r="C36" s="4" t="inlineStr">
        <is>
          <t>Stakeholder management &amp; partnership</t>
        </is>
      </c>
      <c r="D36" s="4" t="inlineStr"/>
    </row>
    <row r="37">
      <c r="A37" s="4" t="inlineStr">
        <is>
          <t>Exchange Model of influence: trading in others' currencies absent formal authority</t>
        </is>
      </c>
      <c r="B37" s="4" t="inlineStr">
        <is>
          <t>Cohen &amp; Bradford, Influence Without Authority, 3rd ed. (Wiley, 2017)</t>
        </is>
      </c>
      <c r="C37" s="4" t="inlineStr">
        <is>
          <t>Cross-org influence &amp; alignment</t>
        </is>
      </c>
      <c r="D37" s="4" t="inlineStr">
        <is>
          <t>https://www.wiley.com/en-us/Influence+Without+Authority,+3rd+Edition-p-9781119347712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Schmidt &amp; Hunter, The Validity and Utility of Selection Methods in Personnel Psychology, Psychological Bulletin 124(2), 262-274 (1998)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Tuckman, Developmental Sequence in Small Groups, Psychological Bulletin 63(6), 384-399 (1965) — https://doi.org/10.1037/h0022100</t>
        </is>
      </c>
      <c r="C45" s="4" t="inlineStr"/>
      <c r="D45" s="4" t="inlineStr"/>
    </row>
    <row r="46">
      <c r="A46" s="4" t="inlineStr"/>
      <c r="B46" s="4" t="inlineStr">
        <is>
          <t>Whitmore, Coaching for Performance: GROWing Human Potential and Purpose, 4th ed. (Nicholas Brealey, 2009; orig. 1992) — https://www.nicholasbrealey.com/coaching-for-performance/</t>
        </is>
      </c>
      <c r="C46" s="4" t="inlineStr"/>
      <c r="D46" s="4" t="inlineStr"/>
    </row>
    <row r="47">
      <c r="A47" s="4" t="inlineStr"/>
      <c r="B47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47" s="4" t="inlineStr"/>
      <c r="D47" s="4" t="inlineStr"/>
    </row>
    <row r="48">
      <c r="A48" s="4" t="inlineStr"/>
      <c r="B48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48" s="4" t="inlineStr"/>
      <c r="D48" s="4" t="inlineStr"/>
    </row>
    <row r="49">
      <c r="A49" s="4" t="inlineStr"/>
      <c r="B49" s="4" t="inlineStr">
        <is>
          <t>Grove, High Output Management (Random House, 1983) — https://www.penguinrandomhouse.com/books/163289/high-output-management-by-andrew-s-grove/</t>
        </is>
      </c>
      <c r="C49" s="4" t="inlineStr"/>
      <c r="D49" s="4" t="inlineStr"/>
    </row>
    <row r="50">
      <c r="A50" s="4" t="inlineStr"/>
      <c r="B50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50" s="4" t="inlineStr"/>
      <c r="D50" s="4" t="inlineStr"/>
    </row>
    <row r="51">
      <c r="A51" s="4" t="inlineStr"/>
      <c r="B51" s="4" t="inlineStr">
        <is>
          <t>Google re:Work, Guide: Understand Team Effectiveness (Project Aristotle research, accessed 2026-07) — https://rework.withgoogle.com/intl/en/guides/understand-team-effectiveness</t>
        </is>
      </c>
      <c r="C51" s="4" t="inlineStr"/>
      <c r="D51" s="4" t="inlineStr"/>
    </row>
    <row r="52">
      <c r="A52" s="4" t="inlineStr"/>
      <c r="B52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52" s="4" t="inlineStr"/>
      <c r="D52" s="4" t="inlineStr"/>
    </row>
    <row r="53">
      <c r="A53" s="4" t="inlineStr"/>
      <c r="B53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53" s="4" t="inlineStr"/>
      <c r="D53" s="4" t="inlineStr"/>
    </row>
    <row r="54">
      <c r="A54" s="4" t="inlineStr"/>
      <c r="B54" s="4" t="inlineStr">
        <is>
          <t>Perri, Escaping the Build Trap: How Effective Product Management Creates Real Value (O'Reilly, 2018) — https://www.oreilly.com/library/view/escaping-the-build/9781491973783/</t>
        </is>
      </c>
      <c r="C54" s="4" t="inlineStr"/>
      <c r="D54" s="4" t="inlineStr"/>
    </row>
    <row r="55">
      <c r="A55" s="4" t="inlineStr"/>
      <c r="B55" s="4" t="inlineStr">
        <is>
          <t>Skelton &amp; Pais, Team Topologies (IT Revolution, 2019)</t>
        </is>
      </c>
      <c r="C55" s="4" t="inlineStr"/>
      <c r="D55" s="4" t="inlineStr"/>
    </row>
    <row r="56">
      <c r="A56" s="4" t="inlineStr"/>
      <c r="B56" s="4" t="inlineStr">
        <is>
          <t>Noda, Storey, Forsgren &amp; Greiler, DevEx: What Actually Drives Productivity, ACM Queue 21(2) (2023) — https://queue.acm.org/detail.cfm?id=3595878</t>
        </is>
      </c>
      <c r="C56" s="4" t="inlineStr"/>
      <c r="D56" s="4" t="inlineStr"/>
    </row>
    <row r="57">
      <c r="A57" s="4" t="inlineStr"/>
      <c r="B57" s="4" t="inlineStr">
        <is>
          <t>Cagan, INSPIRED: How to Create Tech Products Customers Love, 2nd Edition (Wiley, 2018) — https://www.svpg.com/inspired-2nd-edition/</t>
        </is>
      </c>
      <c r="C57" s="4" t="inlineStr"/>
      <c r="D57" s="4" t="inlineStr"/>
    </row>
    <row r="58">
      <c r="A58" s="4" t="inlineStr"/>
      <c r="B58" s="4" t="inlineStr">
        <is>
          <t>Spotify Engineering, How We Use Golden Paths to Solve Fragmentation in Our Software Ecosystem (Spotify Engineering Blog, 2020) — https://engineering.atspotify.com/2020/08/how-we-use-golden-paths-to-solve-fragmentation-in-our-software-ecosystem/</t>
        </is>
      </c>
      <c r="C58" s="4" t="inlineStr"/>
      <c r="D58" s="4" t="inlineStr"/>
    </row>
    <row r="59">
      <c r="A59" s="4" t="inlineStr"/>
      <c r="B59" s="4" t="inlineStr">
        <is>
          <t>SFIA Foundation, Skills Framework for the Information Age, version 9 (2024) — https://sfia-online.org/en/sfia-9</t>
        </is>
      </c>
      <c r="C59" s="4" t="inlineStr"/>
      <c r="D59" s="4" t="inlineStr"/>
    </row>
    <row r="60">
      <c r="A60" s="4" t="inlineStr"/>
      <c r="B60" s="4" t="inlineStr">
        <is>
          <t>Bottcher, What I Talk About When I Talk About Platforms (martinfowler.com, 2018) — https://martinfowler.com/articles/talk-about-platforms.html</t>
        </is>
      </c>
      <c r="C60" s="4" t="inlineStr"/>
      <c r="D60" s="4" t="inlineStr"/>
    </row>
    <row r="61">
      <c r="A61" s="4" t="inlineStr"/>
      <c r="B61" s="4" t="inlineStr">
        <is>
          <t>Winters, Manshreck &amp; Wright, Software Engineering at Google: Lessons Learned from Programming Over Time (O'Reilly, 2020) — https://abseil.io/resources/swe-book</t>
        </is>
      </c>
      <c r="C61" s="4" t="inlineStr"/>
      <c r="D61" s="4" t="inlineStr"/>
    </row>
    <row r="62">
      <c r="A62" s="4" t="inlineStr"/>
      <c r="B62" s="4" t="inlineStr">
        <is>
          <t>CNCF TAG App Delivery, Platform Engineering Maturity Model (2023) — https://tag-app-delivery.cncf.io/whitepapers/platform-eng-maturity-model/</t>
        </is>
      </c>
      <c r="C62" s="4" t="inlineStr"/>
      <c r="D62" s="4" t="inlineStr"/>
    </row>
    <row r="63">
      <c r="A63" s="4" t="inlineStr"/>
      <c r="B63" s="4" t="inlineStr">
        <is>
          <t>Beyer, Jones, Petoff &amp; Murphy (eds.), Site Reliability Engineering: How Google Runs Production Systems (O'Reilly/Google, 2016) — https://sre.google/sre-book/table-of-contents/</t>
        </is>
      </c>
      <c r="C63" s="4" t="inlineStr"/>
      <c r="D63" s="4" t="inlineStr"/>
    </row>
    <row r="64">
      <c r="A64" s="4" t="inlineStr"/>
      <c r="B64" s="4" t="inlineStr">
        <is>
          <t>PagerDuty, Incident Response Documentation (accessed 2026-07) — https://response.pagerduty.com/</t>
        </is>
      </c>
      <c r="C64" s="4" t="inlineStr"/>
      <c r="D64" s="4" t="inlineStr"/>
    </row>
    <row r="65">
      <c r="A65" s="4" t="inlineStr"/>
      <c r="B65" s="4" t="inlineStr">
        <is>
          <t>Allspaw, Blameless PostMortems and a Just Culture, Code as Craft (Etsy Engineering Blog, 2012) — https://www.etsy.com/codeascraft/blameless-postmortems</t>
        </is>
      </c>
      <c r="C65" s="4" t="inlineStr"/>
      <c r="D65" s="4" t="inlineStr"/>
    </row>
    <row r="66">
      <c r="A66" s="4" t="inlineStr"/>
      <c r="B66" s="4" t="inlineStr">
        <is>
          <t>Majors, Fong-Jones &amp; Miranda, Observability Engineering: Achieving Production Excellence (O'Reilly, 2022) — https://www.oreilly.com/library/view/observability-engineering/9781492076438/</t>
        </is>
      </c>
      <c r="C66" s="4" t="inlineStr"/>
      <c r="D66" s="4" t="inlineStr"/>
    </row>
    <row r="67">
      <c r="A67" s="4" t="inlineStr"/>
      <c r="B67" s="4" t="inlineStr">
        <is>
          <t>Gregg, Systems Performance: Enterprise and the Cloud, 2nd ed. (Addison-Wesley, 2020) — https://www.brendangregg.com/systems-performance-2nd-edition-book.html</t>
        </is>
      </c>
      <c r="C67" s="4" t="inlineStr"/>
      <c r="D67" s="4" t="inlineStr"/>
    </row>
    <row r="68">
      <c r="A68" s="4" t="inlineStr"/>
      <c r="B68" s="4" t="inlineStr">
        <is>
          <t>Conway, How Do Committees Invent?, Datamation 14(4), 28-31 (1968) — https://www.melconway.com/Home/Committees_Paper.html</t>
        </is>
      </c>
      <c r="C68" s="4" t="inlineStr"/>
      <c r="D68" s="4" t="inlineStr"/>
    </row>
    <row r="69">
      <c r="A69" s="4" t="inlineStr"/>
      <c r="B69" s="4" t="inlineStr">
        <is>
          <t>Nygard, Documenting Architecture Decisions (Cognitect blog, 2011) — https://cognitect.com/blog/2011/11/15/documenting-architecture-decisions</t>
        </is>
      </c>
      <c r="C69" s="4" t="inlineStr"/>
      <c r="D69" s="4" t="inlineStr"/>
    </row>
    <row r="70">
      <c r="A70" s="4" t="inlineStr"/>
      <c r="B70" s="4" t="inlineStr">
        <is>
          <t>Humble &amp; Farley, Continuous Delivery: Reliable Software Releases through Build Test and Deployment Automation (Addison-Wesley, 2010) — https://continuousdelivery.com/</t>
        </is>
      </c>
      <c r="C70" s="4" t="inlineStr"/>
      <c r="D70" s="4" t="inlineStr"/>
    </row>
    <row r="71">
      <c r="A71" s="4" t="inlineStr"/>
      <c r="B71" s="4" t="inlineStr">
        <is>
          <t>Cunningham, The WyCash Portfolio Management System, OOPSLA 1992 Experience Report — https://c2.com/doc/oopsla92.html</t>
        </is>
      </c>
      <c r="C71" s="4" t="inlineStr"/>
      <c r="D71" s="4" t="inlineStr"/>
    </row>
    <row r="72">
      <c r="A72" s="4" t="inlineStr"/>
      <c r="B72" s="4" t="inlineStr">
        <is>
          <t>Larson, An Elegant Puzzle: Systems of Engineering Management (Stripe Press, 2019) — https://press.stripe.com/an-elegant-puzzle</t>
        </is>
      </c>
      <c r="C72" s="4" t="inlineStr"/>
      <c r="D72" s="4" t="inlineStr"/>
    </row>
    <row r="73">
      <c r="A73" s="4" t="inlineStr"/>
      <c r="B73" s="4" t="inlineStr">
        <is>
          <t>Wardley, Wardley Maps: Topographical Intelligence in Business (2016, online book) — https://wardleymaps.com/</t>
        </is>
      </c>
      <c r="C73" s="4" t="inlineStr"/>
      <c r="D73" s="4" t="inlineStr"/>
    </row>
    <row r="74">
      <c r="A74" s="4" t="inlineStr"/>
      <c r="B74" s="4" t="inlineStr">
        <is>
          <t>Korn Ferry, Korn Ferry Leadership Architect Global Competency Framework (2014) — https://www.kornferry.com/capabilities/talent-suite/korn-ferry-assess/leadership-architect</t>
        </is>
      </c>
      <c r="C74" s="4" t="inlineStr"/>
      <c r="D74" s="4" t="inlineStr"/>
    </row>
    <row r="75">
      <c r="A75" s="4" t="inlineStr"/>
      <c r="B75" s="4" t="inlineStr">
        <is>
          <t>OWASP Foundation, OWASP Application Security Verification Standard (accessed 2026-07) — https://owasp.org/www-project-application-security-verification-standard/</t>
        </is>
      </c>
      <c r="C75" s="4" t="inlineStr"/>
      <c r="D75" s="4" t="inlineStr"/>
    </row>
    <row r="76">
      <c r="A76" s="4" t="inlineStr"/>
      <c r="B76" s="4" t="inlineStr">
        <is>
          <t>McConnell, Software Estimation: Demystifying the Black Art (Microsoft Press, 2006) — https://www.construx.com/store/software-estimation-demystifying-the-black-art/</t>
        </is>
      </c>
      <c r="C76" s="4" t="inlineStr"/>
      <c r="D76" s="4" t="inlineStr"/>
    </row>
    <row r="77">
      <c r="A77" s="4" t="inlineStr"/>
      <c r="B77" s="4" t="inlineStr">
        <is>
          <t>Reinertsen, The Principles of Product Development Flow: Second Generation Lean Product Development (Celeritas, 2009)</t>
        </is>
      </c>
      <c r="C77" s="4" t="inlineStr"/>
      <c r="D77" s="4" t="inlineStr"/>
    </row>
    <row r="78">
      <c r="A78" s="4" t="inlineStr"/>
      <c r="B78" s="4" t="inlineStr">
        <is>
          <t>Brooks, The Mythical Man-Month: Essays on Software Engineering, Anniversary ed. (Addison-Wesley, 1995; orig. 1975) — https://en.wikipedia.org/wiki/The_Mythical_Man-Month</t>
        </is>
      </c>
      <c r="C78" s="4" t="inlineStr"/>
      <c r="D78" s="4" t="inlineStr"/>
    </row>
    <row r="79">
      <c r="A79" s="4" t="inlineStr"/>
      <c r="B79" s="4" t="inlineStr">
        <is>
          <t>Forsgren, Humble &amp; Kim, Accelerate: The Science of Lean Software and DevOps (IT Revolution Press, 2018) — https://itrevolution.com/product/accelerate/</t>
        </is>
      </c>
      <c r="C79" s="4" t="inlineStr"/>
      <c r="D79" s="4" t="inlineStr"/>
    </row>
    <row r="80">
      <c r="A80" s="4" t="inlineStr"/>
      <c r="B80" s="4" t="inlineStr">
        <is>
          <t>Forsgren, Storey, Maddila, Zimmermann, Houck &amp; Butler, The SPACE of Developer Productivity, ACM Queue 19(1) (2021) — https://queue.acm.org/detail.cfm?id=3454124</t>
        </is>
      </c>
      <c r="C80" s="4" t="inlineStr"/>
      <c r="D80" s="4" t="inlineStr"/>
    </row>
    <row r="81">
      <c r="A81" s="4" t="inlineStr"/>
      <c r="B81" s="4" t="inlineStr">
        <is>
          <t>Deming, Out of the Crisis (MIT Center for Advanced Engineering Study, 1986)</t>
        </is>
      </c>
      <c r="C81" s="4" t="inlineStr"/>
      <c r="D81" s="4" t="inlineStr"/>
    </row>
    <row r="82">
      <c r="A82" s="4" t="inlineStr"/>
      <c r="B82" s="4" t="inlineStr">
        <is>
          <t>NIST, The NIST Cybersecurity Framework (CSF) 2.0, NIST CSWP 29 (2024) — https://csrc.nist.gov/pubs/cswp/29/the-nist-cybersecurity-framework-csf-20/final</t>
        </is>
      </c>
      <c r="C82" s="4" t="inlineStr"/>
      <c r="D82" s="4" t="inlineStr"/>
    </row>
    <row r="83">
      <c r="A83" s="4" t="inlineStr"/>
      <c r="B83" s="4" t="inlineStr">
        <is>
          <t>Project Management Institute, A Guide to the Project Management Body of Knowledge (PMBOK Guide), 7th ed. (PMI, 2021) — https://www.pmi.org/standards/pmbok</t>
        </is>
      </c>
      <c r="C83" s="4" t="inlineStr"/>
      <c r="D83" s="4" t="inlineStr"/>
    </row>
    <row r="84">
      <c r="A84" s="4" t="inlineStr"/>
      <c r="B84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84" s="4" t="inlineStr"/>
      <c r="D84" s="4" t="inlineStr"/>
    </row>
    <row r="85">
      <c r="A85" s="4" t="inlineStr"/>
      <c r="B85" s="4" t="inlineStr">
        <is>
          <t>Kotter, Leading Change (Harvard Business School Press, 1996) — https://openlibrary.org/books/OL982607M/Leading_Change</t>
        </is>
      </c>
      <c r="C85" s="4" t="inlineStr"/>
      <c r="D85" s="4" t="inlineStr"/>
    </row>
    <row r="86">
      <c r="A86" s="4" t="inlineStr"/>
      <c r="B86" s="4" t="inlineStr">
        <is>
          <t>Duarte, HBR Guide to Persuasive Presentations (Harvard Business Review Press, 2012) — https://store.hbr.org/product/hbr-guide-to-persuasive-presentations/10058</t>
        </is>
      </c>
      <c r="C86" s="4" t="inlineStr"/>
      <c r="D86" s="4" t="inlineStr"/>
    </row>
    <row r="87">
      <c r="A87" s="4" t="inlineStr"/>
      <c r="B87" s="4" t="inlineStr">
        <is>
          <t>Freeman, Strategic Management: A Stakeholder Approach (Pitman, 1984)</t>
        </is>
      </c>
      <c r="C87" s="4" t="inlineStr"/>
      <c r="D87" s="4" t="inlineStr"/>
    </row>
    <row r="88">
      <c r="A88" s="4" t="inlineStr"/>
      <c r="B88" s="4" t="inlineStr">
        <is>
          <t>Cohen &amp; Bradford, Influence Without Authority, 3rd ed. (Wiley, 2017) — https://www.wiley.com/en-us/Influence+Without+Authority,+3rd+Edition-p-9781119347712</t>
        </is>
      </c>
      <c r="C88" s="4" t="inlineStr"/>
      <c r="D88" s="4" t="inlineStr"/>
    </row>
    <row r="89">
      <c r="A89" s="4" t="inlineStr"/>
      <c r="B89" s="4" t="inlineStr">
        <is>
          <t>Bungay, The Art of Action: How Leaders Close the Gaps between Plans, Actions and Results (Nicholas Brealey, 2011)</t>
        </is>
      </c>
      <c r="C89" s="4" t="inlineStr"/>
      <c r="D89" s="4" t="inlineStr"/>
    </row>
    <row r="90">
      <c r="A90" s="4" t="inlineStr"/>
      <c r="B90" s="4" t="inlineStr">
        <is>
          <t>Drucker, The Effective Executive (Harper &amp; Row, 1967)</t>
        </is>
      </c>
      <c r="C90" s="4" t="inlineStr"/>
      <c r="D90" s="4" t="inlineStr"/>
    </row>
    <row r="91">
      <c r="A91" s="4" t="inlineStr"/>
      <c r="B91" s="4" t="inlineStr">
        <is>
          <t>Marquet, Turn the Ship Around!: A True Story of Turning Followers into Leaders (Portfolio/Penguin, 2013; orig. 2012)</t>
        </is>
      </c>
      <c r="C91" s="4" t="inlineStr"/>
      <c r="D91" s="4" t="inlineStr"/>
    </row>
    <row r="92">
      <c r="A92" s="4" t="inlineStr"/>
      <c r="B92" s="4" t="inlineStr">
        <is>
          <t>Eurich, What Self-Awareness Really Is (and How to Cultivate It), Harvard Business Review (2018) — https://hbr.org/2018/01/what-self-awareness-really-is-and-how-to-cultivate-it</t>
        </is>
      </c>
      <c r="C92" s="4" t="inlineStr"/>
      <c r="D92" s="4" t="inlineStr"/>
    </row>
    <row r="93">
      <c r="A93" s="4" t="inlineStr"/>
      <c r="B93" s="4" t="inlineStr">
        <is>
          <t>Lombardo &amp; Eichinger, The Career Architect Development Planner, 3rd ed. (Lominger, 2000)</t>
        </is>
      </c>
      <c r="C93" s="4" t="inlineStr"/>
      <c r="D93" s="4" t="inlineStr"/>
    </row>
    <row r="94">
      <c r="A94" s="4" t="inlineStr"/>
      <c r="B94" s="4" t="inlineStr">
        <is>
          <t>Loehr &amp; Schwartz, The Power of Full Engagement: Managing Energy, Not Time, Is the Key to High Performance and Personal Renewal (Free Press, 2003)</t>
        </is>
      </c>
      <c r="C94" s="4" t="inlineStr"/>
      <c r="D94" s="4" t="inlineStr"/>
    </row>
    <row r="95">
      <c r="A95" s="4" t="inlineStr"/>
      <c r="B95" s="4" t="inlineStr">
        <is>
          <t>Kahneman, Thinking, Fast and Slow (Farrar, Straus and Giroux, 2011) — https://en.wikipedia.org/wiki/Thinking,_Fast_and_Slow</t>
        </is>
      </c>
      <c r="C95" s="4" t="inlineStr"/>
      <c r="D95" s="4" t="inlineStr"/>
    </row>
    <row r="96">
      <c r="A96" s="4" t="inlineStr"/>
      <c r="B96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6" s="4" t="inlineStr"/>
      <c r="D96" s="4" t="inlineStr"/>
    </row>
    <row r="97">
      <c r="A97" s="4" t="inlineStr"/>
      <c r="B97" s="4" t="inlineStr">
        <is>
          <t>ACM, ACM Code of Ethics and Professional Conduct (2018) — https://www.acm.org/code-of-ethics</t>
        </is>
      </c>
      <c r="C97" s="4" t="inlineStr"/>
      <c r="D97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2026-07-09T13:44:17Z</dcterms:created>
  <dcterms:modified xsi:type="dcterms:W3CDTF">2026-07-09T13:44:17Z</dcterms:modified>
</cp:coreProperties>
</file>