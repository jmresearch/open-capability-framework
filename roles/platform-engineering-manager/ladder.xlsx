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mpetency Matrix" sheetId="2" state="visible" r:id="rId2"/>
    <sheet name="Rating Template" sheetId="3" state="visible" r:id="rId3"/>
    <sheet name="Sourc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color rgb="FF0563C1"/>
      <sz val="10"/>
      <u val="single"/>
    </font>
    <font>
      <name val="Arial"/>
      <color rgb="FF0000CC"/>
      <sz val="10"/>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jmresearch/open-capability-framework" TargetMode="External" Id="rId1" /></Relationships>
</file>

<file path=xl/worksheets/_rels/sheet2.xml.rels><Relationships xmlns="http://schemas.openxmlformats.org/package/2006/relationships"><Relationship Type="http://schemas.openxmlformats.org/officeDocument/2006/relationships/hyperlink" Target="https://github.com/jmresearch/open-capability-framework/blob/main/data/capabilities.md#li-02" TargetMode="External" Id="rId1" /><Relationship Type="http://schemas.openxmlformats.org/officeDocument/2006/relationships/hyperlink" Target="https://github.com/jmresearch/open-capability-framework/blob/main/data/capabilities.md#em-13" TargetMode="External" Id="rId2" /><Relationship Type="http://schemas.openxmlformats.org/officeDocument/2006/relationships/hyperlink" Target="https://github.com/jmresearch/open-capability-framework/blob/main/data/capabilities.md#li-01" TargetMode="External" Id="rId3" /><Relationship Type="http://schemas.openxmlformats.org/officeDocument/2006/relationships/hyperlink" Target="https://github.com/jmresearch/open-capability-framework/blob/main/data/capabilities.md#em-02" TargetMode="External" Id="rId4" /><Relationship Type="http://schemas.openxmlformats.org/officeDocument/2006/relationships/hyperlink" Target="https://github.com/jmresearch/open-capability-framework/blob/main/data/capabilities.md#em-01" TargetMode="External" Id="rId5" /><Relationship Type="http://schemas.openxmlformats.org/officeDocument/2006/relationships/hyperlink" Target="https://github.com/jmresearch/open-capability-framework/blob/main/data/capabilities.md#em-03" TargetMode="External" Id="rId6" /><Relationship Type="http://schemas.openxmlformats.org/officeDocument/2006/relationships/hyperlink" Target="https://github.com/jmresearch/open-capability-framework/blob/main/data/capabilities.md#em-17" TargetMode="External" Id="rId7" /><Relationship Type="http://schemas.openxmlformats.org/officeDocument/2006/relationships/hyperlink" Target="https://github.com/jmresearch/open-capability-framework/blob/main/data/capabilities.md#pm-05" TargetMode="External" Id="rId8" /><Relationship Type="http://schemas.openxmlformats.org/officeDocument/2006/relationships/hyperlink" Target="https://github.com/jmresearch/open-capability-framework/blob/main/data/capabilities.md#pm-01" TargetMode="External" Id="rId9" /><Relationship Type="http://schemas.openxmlformats.org/officeDocument/2006/relationships/hyperlink" Target="https://github.com/jmresearch/open-capability-framework/blob/main/data/capabilities.md#pd-06" TargetMode="External" Id="rId10" /><Relationship Type="http://schemas.openxmlformats.org/officeDocument/2006/relationships/hyperlink" Target="https://github.com/jmresearch/open-capability-framework/blob/main/data/capabilities.md#ops-27" TargetMode="External" Id="rId11" /><Relationship Type="http://schemas.openxmlformats.org/officeDocument/2006/relationships/hyperlink" Target="https://github.com/jmresearch/open-capability-framework/blob/main/data/capabilities.md#ops-27" TargetMode="External" Id="rId12" /><Relationship Type="http://schemas.openxmlformats.org/officeDocument/2006/relationships/hyperlink" Target="https://github.com/jmresearch/open-capability-framework/blob/main/contrib/2026-07-platform-adoption-and-deprecation-management.md" TargetMode="External" Id="rId13" /><Relationship Type="http://schemas.openxmlformats.org/officeDocument/2006/relationships/hyperlink" Target="https://github.com/jmresearch/open-capability-framework/blob/main/data/capabilities.md#dr-01" TargetMode="External" Id="rId14" /><Relationship Type="http://schemas.openxmlformats.org/officeDocument/2006/relationships/hyperlink" Target="https://github.com/jmresearch/open-capability-framework/blob/main/data/capabilities.md#ops-04" TargetMode="External" Id="rId15" /><Relationship Type="http://schemas.openxmlformats.org/officeDocument/2006/relationships/hyperlink" Target="https://github.com/jmresearch/open-capability-framework/blob/main/data/capabilities.md#em-10" TargetMode="External" Id="rId16" /><Relationship Type="http://schemas.openxmlformats.org/officeDocument/2006/relationships/hyperlink" Target="https://github.com/jmresearch/open-capability-framework/blob/main/data/capabilities.md#ops-05" TargetMode="External" Id="rId17" /><Relationship Type="http://schemas.openxmlformats.org/officeDocument/2006/relationships/hyperlink" Target="https://github.com/jmresearch/open-capability-framework/blob/main/data/capabilities.md#ops-28" TargetMode="External" Id="rId18" /><Relationship Type="http://schemas.openxmlformats.org/officeDocument/2006/relationships/hyperlink" Target="https://github.com/jmresearch/open-capability-framework/blob/main/data/capabilities.md#ops-07" TargetMode="External" Id="rId19" /><Relationship Type="http://schemas.openxmlformats.org/officeDocument/2006/relationships/hyperlink" Target="https://github.com/jmresearch/open-capability-framework/blob/main/data/capabilities.md#arc-10" TargetMode="External" Id="rId20" /><Relationship Type="http://schemas.openxmlformats.org/officeDocument/2006/relationships/hyperlink" Target="https://github.com/jmresearch/open-capability-framework/blob/main/data/capabilities.md#swe-02" TargetMode="External" Id="rId21" /><Relationship Type="http://schemas.openxmlformats.org/officeDocument/2006/relationships/hyperlink" Target="https://github.com/jmresearch/open-capability-framework/blob/main/data/capabilities.md#em-15" TargetMode="External" Id="rId22" /><Relationship Type="http://schemas.openxmlformats.org/officeDocument/2006/relationships/hyperlink" Target="https://github.com/jmresearch/open-capability-framework/blob/main/data/capabilities.md#li-03" TargetMode="External" Id="rId23" /><Relationship Type="http://schemas.openxmlformats.org/officeDocument/2006/relationships/hyperlink" Target="https://github.com/jmresearch/open-capability-framework/blob/main/data/capabilities.md#em-06" TargetMode="External" Id="rId24" /><Relationship Type="http://schemas.openxmlformats.org/officeDocument/2006/relationships/hyperlink" Target="https://github.com/jmresearch/open-capability-framework/blob/main/data/capabilities.md#sec-18" TargetMode="External" Id="rId25" /><Relationship Type="http://schemas.openxmlformats.org/officeDocument/2006/relationships/hyperlink" Target="https://github.com/jmresearch/open-capability-framework/blob/main/data/capabilities.md#pd-04" TargetMode="External" Id="rId26" /><Relationship Type="http://schemas.openxmlformats.org/officeDocument/2006/relationships/hyperlink" Target="https://github.com/jmresearch/open-capability-framework/blob/main/data/capabilities.md#pd-02" TargetMode="External" Id="rId27" /><Relationship Type="http://schemas.openxmlformats.org/officeDocument/2006/relationships/hyperlink" Target="https://github.com/jmresearch/open-capability-framework/blob/main/data/capabilities.md#em-05" TargetMode="External" Id="rId28" /><Relationship Type="http://schemas.openxmlformats.org/officeDocument/2006/relationships/hyperlink" Target="https://github.com/jmresearch/open-capability-framework/blob/main/data/capabilities.md#em-07" TargetMode="External" Id="rId29" /><Relationship Type="http://schemas.openxmlformats.org/officeDocument/2006/relationships/hyperlink" Target="https://github.com/jmresearch/open-capability-framework/blob/main/data/capabilities.md#em-09" TargetMode="External" Id="rId30" /><Relationship Type="http://schemas.openxmlformats.org/officeDocument/2006/relationships/hyperlink" Target="https://github.com/jmresearch/open-capability-framework/blob/main/data/capabilities.md#em-08" TargetMode="External" Id="rId31" /><Relationship Type="http://schemas.openxmlformats.org/officeDocument/2006/relationships/hyperlink" Target="https://github.com/jmresearch/open-capability-framework/blob/main/data/capabilities.md#risk-01" TargetMode="External" Id="rId32" /><Relationship Type="http://schemas.openxmlformats.org/officeDocument/2006/relationships/hyperlink" Target="https://github.com/jmresearch/open-capability-framework/blob/main/data/capabilities.md#strat-01" TargetMode="External" Id="rId33" /><Relationship Type="http://schemas.openxmlformats.org/officeDocument/2006/relationships/hyperlink" Target="https://github.com/jmresearch/open-capability-framework/blob/main/data/capabilities.md#em-12" TargetMode="External" Id="rId34" /><Relationship Type="http://schemas.openxmlformats.org/officeDocument/2006/relationships/hyperlink" Target="https://github.com/jmresearch/open-capability-framework/blob/main/data/capabilities.md#em-04" TargetMode="External" Id="rId35" /><Relationship Type="http://schemas.openxmlformats.org/officeDocument/2006/relationships/hyperlink" Target="https://github.com/jmresearch/open-capability-framework/blob/main/data/capabilities.md#cc-06" TargetMode="External" Id="rId36" /><Relationship Type="http://schemas.openxmlformats.org/officeDocument/2006/relationships/hyperlink" Target="https://github.com/jmresearch/open-capability-framework/blob/main/data/capabilities.md#pm-13" TargetMode="External" Id="rId37" /><Relationship Type="http://schemas.openxmlformats.org/officeDocument/2006/relationships/hyperlink" Target="https://github.com/jmresearch/open-capability-framework/blob/main/data/capabilities.md#li-07" TargetMode="External" Id="rId38" /><Relationship Type="http://schemas.openxmlformats.org/officeDocument/2006/relationships/hyperlink" Target="https://github.com/jmresearch/open-capability-framework/blob/main/data/capabilities.md#em-16" TargetMode="External" Id="rId39" /><Relationship Type="http://schemas.openxmlformats.org/officeDocument/2006/relationships/hyperlink" Target="https://github.com/jmresearch/open-capability-framework/blob/main/data/capabilities.md#em-14" TargetMode="External" Id="rId40" /><Relationship Type="http://schemas.openxmlformats.org/officeDocument/2006/relationships/hyperlink" Target="https://github.com/jmresearch/open-capability-framework/blob/main/data/capabilities.md#li-09" TargetMode="External" Id="rId41" /><Relationship Type="http://schemas.openxmlformats.org/officeDocument/2006/relationships/hyperlink" Target="https://github.com/jmresearch/open-capability-framework/blob/main/data/capabilities.md#li-10" TargetMode="External" Id="rId42" /><Relationship Type="http://schemas.openxmlformats.org/officeDocument/2006/relationships/hyperlink" Target="https://github.com/jmresearch/open-capability-framework/blob/main/data/capabilities.md#li-04" TargetMode="External" Id="rId43" /><Relationship Type="http://schemas.openxmlformats.org/officeDocument/2006/relationships/hyperlink" Target="https://github.com/jmresearch/open-capability-framework/blob/main/data/capabilities.md#li-11" TargetMode="External" Id="rId44" /></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2" customWidth="1" min="1" max="1"/>
    <col width="36" customWidth="1" min="2" max="2"/>
    <col width="34" customWidth="1" min="3" max="3"/>
    <col width="60" customWidth="1" min="4" max="4"/>
  </cols>
  <sheetData>
    <row r="1">
      <c r="A1" s="1" t="inlineStr">
        <is>
          <t>Role</t>
        </is>
      </c>
      <c r="B1" s="2" t="inlineStr">
        <is>
          <t>Platform Engineering Management</t>
        </is>
      </c>
    </row>
    <row r="2">
      <c r="A2" s="1" t="inlineStr">
        <is>
          <t>Slug</t>
        </is>
      </c>
      <c r="B2" s="2" t="inlineStr">
        <is>
          <t>platform-engineering-manager</t>
        </is>
      </c>
    </row>
    <row r="3">
      <c r="A3" s="1" t="inlineStr">
        <is>
          <t>Variant</t>
        </is>
      </c>
      <c r="B3" s="2" t="inlineStr">
        <is>
          <t>manager</t>
        </is>
      </c>
    </row>
    <row r="4">
      <c r="A4" s="1" t="inlineStr">
        <is>
          <t>Minted</t>
        </is>
      </c>
      <c r="B4" s="2" t="inlineStr">
        <is>
          <t>2026-07-07</t>
        </is>
      </c>
    </row>
    <row r="6">
      <c r="A6" s="1" t="inlineStr">
        <is>
          <t>Level</t>
        </is>
      </c>
      <c r="B6" s="1" t="inlineStr">
        <is>
          <t>Title</t>
        </is>
      </c>
      <c r="C6" s="1" t="inlineStr">
        <is>
          <t>Scope</t>
        </is>
      </c>
      <c r="D6" s="1" t="inlineStr">
        <is>
          <t>Focus</t>
        </is>
      </c>
    </row>
    <row r="7">
      <c r="A7" s="3" t="inlineStr">
        <is>
          <t>M1</t>
        </is>
      </c>
      <c r="B7" s="3" t="inlineStr">
        <is>
          <t>Platform Engineering Manager</t>
        </is>
      </c>
      <c r="C7" s="4" t="inlineStr">
        <is>
          <t>one platform team</t>
        </is>
      </c>
      <c r="D7" s="4" t="inlineStr">
        <is>
          <t>builds one healthy platform team and the platform-as-a-product fundamentals</t>
        </is>
      </c>
    </row>
    <row r="8">
      <c r="A8" s="3" t="inlineStr">
        <is>
          <t>M2</t>
        </is>
      </c>
      <c r="B8" s="3" t="inlineStr">
        <is>
          <t>Senior Platform Engineering Manager</t>
        </is>
      </c>
      <c r="C8" s="4" t="inlineStr">
        <is>
          <t>a complex / critical platform team</t>
        </is>
      </c>
      <c r="D8" s="4" t="inlineStr">
        <is>
          <t>runs a high-stakes platform team and its reliability and DevEx outcomes</t>
        </is>
      </c>
    </row>
    <row r="9">
      <c r="A9" s="3" t="inlineStr">
        <is>
          <t>M3</t>
        </is>
      </c>
      <c r="B9" s="3" t="inlineStr">
        <is>
          <t>Director of Platform Engineering</t>
        </is>
      </c>
      <c r="C9" s="4" t="inlineStr">
        <is>
          <t>a platform domain (cross-team)</t>
        </is>
      </c>
      <c r="D9" s="4" t="inlineStr">
        <is>
          <t>sets strategy and paved-road standards for a cross-team platform domain</t>
        </is>
      </c>
    </row>
    <row r="10">
      <c r="A10" s="3" t="inlineStr">
        <is>
          <t>M4</t>
        </is>
      </c>
      <c r="B10" s="3" t="inlineStr">
        <is>
          <t>Senior Director of Platform Engineering</t>
        </is>
      </c>
      <c r="C10" s="4" t="inlineStr">
        <is>
          <t>a platform sub-org</t>
        </is>
      </c>
      <c r="D10" s="4" t="inlineStr">
        <is>
          <t>builds the operating system and architecture a platform sub-org runs on</t>
        </is>
      </c>
    </row>
    <row r="11">
      <c r="A11" s="3" t="inlineStr">
        <is>
          <t>M5</t>
        </is>
      </c>
      <c r="B11" s="3" t="inlineStr">
        <is>
          <t>VP of Platform Engineering</t>
        </is>
      </c>
      <c r="C11" s="4" t="inlineStr">
        <is>
          <t>the platform function</t>
        </is>
      </c>
      <c r="D11" s="4" t="inlineStr">
        <is>
          <t>sets platform-function direction and represents developer productivity to the business</t>
        </is>
      </c>
    </row>
    <row r="12">
      <c r="A12" s="3" t="inlineStr">
        <is>
          <t>M6</t>
        </is>
      </c>
      <c r="B12" s="3" t="inlineStr">
        <is>
          <t>SVP / Head of Platform</t>
        </is>
      </c>
      <c r="C12" s="4" t="inlineStr">
        <is>
          <t>org-wide platform</t>
        </is>
      </c>
      <c r="D12" s="4" t="inlineStr">
        <is>
          <t>sets org-wide platform vision, operating model, and the company-level infrastructure bets</t>
        </is>
      </c>
    </row>
    <row r="14" ht="60" customHeight="1">
      <c r="A14" s="4" t="inlineStr">
        <is>
          <t>How to read: each row of the Competency Matrix is one competency, mapped to an Open Capability Framework capability (OCF ID column — click through for the catalog entry and its P1-P6 profile). Level columns describe observable behavior at each level; use the Rating Template for self/peer/manager scoring.</t>
        </is>
      </c>
    </row>
    <row r="16">
      <c r="A16" s="1" t="inlineStr">
        <is>
          <t>Framework repository</t>
        </is>
      </c>
      <c r="B16" s="5" t="inlineStr">
        <is>
          <t>https://github.com/jmresearch/open-capability-framework</t>
        </is>
      </c>
    </row>
  </sheetData>
  <mergeCells count="1">
    <mergeCell ref="A14:D14"/>
  </mergeCells>
  <hyperlinks>
    <hyperlink xmlns:r="http://schemas.openxmlformats.org/officeDocument/2006/relationships" ref="B16"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12" customWidth="1" min="4" max="4"/>
    <col width="40" customWidth="1" min="5" max="5"/>
    <col width="55" customWidth="1" min="6" max="6"/>
    <col width="55" customWidth="1" min="7" max="7"/>
    <col width="55" customWidth="1" min="8" max="8"/>
    <col width="55" customWidth="1" min="9" max="9"/>
    <col width="55" customWidth="1" min="10" max="10"/>
    <col width="55" customWidth="1" min="11" max="11"/>
  </cols>
  <sheetData>
    <row r="1">
      <c r="A1" s="1" t="inlineStr">
        <is>
          <t>Key Area</t>
        </is>
      </c>
      <c r="B1" s="1" t="inlineStr">
        <is>
          <t>Focus Area</t>
        </is>
      </c>
      <c r="C1" s="1" t="inlineStr">
        <is>
          <t>Competency</t>
        </is>
      </c>
      <c r="D1" s="1" t="inlineStr">
        <is>
          <t>OCF ID</t>
        </is>
      </c>
      <c r="E1" s="1" t="inlineStr">
        <is>
          <t>Theory Anchor</t>
        </is>
      </c>
      <c r="F1" s="1" t="inlineStr">
        <is>
          <t>M1</t>
        </is>
      </c>
      <c r="G1" s="1" t="inlineStr">
        <is>
          <t>M2</t>
        </is>
      </c>
      <c r="H1" s="1" t="inlineStr">
        <is>
          <t>M3</t>
        </is>
      </c>
      <c r="I1" s="1" t="inlineStr">
        <is>
          <t>M4</t>
        </is>
      </c>
      <c r="J1" s="1" t="inlineStr">
        <is>
          <t>M5</t>
        </is>
      </c>
      <c r="K1" s="1" t="inlineStr">
        <is>
          <t>M6</t>
        </is>
      </c>
    </row>
    <row r="2">
      <c r="A2" s="4" t="inlineStr">
        <is>
          <t>People Leadership &amp; Team Health</t>
        </is>
      </c>
      <c r="B2" s="4" t="inlineStr">
        <is>
          <t>Hiring &amp; Team Formation</t>
        </is>
      </c>
      <c r="C2" s="4" t="inlineStr">
        <is>
          <t>Hiring &amp; selection</t>
        </is>
      </c>
      <c r="D2" s="6" t="inlineStr">
        <is>
          <t>LI-02</t>
        </is>
      </c>
      <c r="E2" s="4" t="inlineStr">
        <is>
          <t>Schmidt &amp; Hunter, selection-methods meta-analysis (1998)</t>
        </is>
      </c>
      <c r="F2" s="4" t="inlineStr">
        <is>
          <t>Depth: Runs structured platform-role interview loops against a pre-agreed rubric and work-sample exercise. Defends every hire/no-hire in debrief with recorded signal evidence rather than gut feel. Scope: fills open roles on one platform team.</t>
        </is>
      </c>
      <c r="G2" s="4" t="inlineStr">
        <is>
          <t>Depth: Designs the loop and rubric for hard-to-fill platform and SRE roles and calibrates interviewers. Rebuilds a loop that is letting weak candidates through by tightening the signals it actually tests. Scope: staffs a critical platform team, senior and specialist hires included.</t>
        </is>
      </c>
      <c r="H2" s="4" t="inlineStr">
        <is>
          <t>Depth: Sets the hiring bar and interview-design pattern that other platform hiring managers pick up. Publishes the rubric and calibration cadence several teams' loops now run on. Scope: hiring quality across a cross-team platform domain.</t>
        </is>
      </c>
      <c r="I2" s="4" t="inlineStr">
        <is>
          <t>Depth: Builds the selection system a platform sub-org hires through. Certifies interviewers and installs a bar-raiser mechanism that measurably lifts quality-of-hire. Scope: the hiring pipeline for a platform sub-org.</t>
        </is>
      </c>
      <c r="J2" s="4" t="inlineStr">
        <is>
          <t>Depth: Drives the function's talent strategy, weighing grow-vs-buy for scarce reliability and DevEx skills. Shapes leveling and headcount decisions across the function from pipeline and labor-market data. Scope: the platform function's talent supply.</t>
        </is>
      </c>
      <c r="K2" s="4" t="inlineStr">
        <is>
          <t>Depth: Sets the org-wide philosophy for hiring platform and infrastructure talent that peer functions benchmark against. Pioneers selection practice, like work-sample design for platform work, that other organizations copy. Scope: company-wide platform talent bar and brand.</t>
        </is>
      </c>
    </row>
    <row r="3">
      <c r="A3" s="4" t="inlineStr">
        <is>
          <t>People Leadership &amp; Team Health</t>
        </is>
      </c>
      <c r="B3" s="4" t="inlineStr">
        <is>
          <t>Hiring &amp; Team Formation</t>
        </is>
      </c>
      <c r="C3" s="4" t="inlineStr">
        <is>
          <t>Onboarding &amp; team formation</t>
        </is>
      </c>
      <c r="D3" s="6" t="inlineStr">
        <is>
          <t>EM-13</t>
        </is>
      </c>
      <c r="E3" s="4" t="inlineStr">
        <is>
          <t>Tuckman, Developmental Sequence in Small Groups (1965)</t>
        </is>
      </c>
      <c r="F3" s="4" t="inlineStr">
        <is>
          <t>Depth: Runs a structured onboarding with a buddy, a ramp checklist, and a first paved-road change in week one. Gets a new platform hire shipping a real change within their first sprint. Scope: onboarding into one platform team.</t>
        </is>
      </c>
      <c r="G3" s="4" t="inlineStr">
        <is>
          <t>Depth: Designs onboarding for a high-stakes team where on-call and blast radius are real, sequencing access, shadowing, and first incident exposure. Reads where a forming team is stuck in storming and intervenes to move it to performing. Scope: team formation on a critical platform team.</t>
        </is>
      </c>
      <c r="H3" s="4" t="inlineStr">
        <is>
          <t>Depth: Sets the onboarding and team-formation standard other platform leads adopt. Ships a reusable ramp template and 30/60/90 model that cuts time-to-first-contribution across the domain. Scope: onboarding quality across a cross-team platform domain.</t>
        </is>
      </c>
      <c r="I3" s="4" t="inlineStr">
        <is>
          <t>Depth: Builds the operating rhythm that forms and re-forms teams cleanly through platform re-splits across a sub-org. Stands up a new platform team from scratch to productive without a delivery trough. Scope: team formation across a platform sub-org.</t>
        </is>
      </c>
      <c r="J3" s="4" t="inlineStr">
        <is>
          <t>Depth: Drives how the function grows, splits, and merges teams as demand shifts while keeping Team-Topologies boundaries clean. Sets the norms that keep newly formed platform teams productive through function-wide scaling. Scope: team formation across the platform function.</t>
        </is>
      </c>
      <c r="K3" s="4" t="inlineStr">
        <is>
          <t>Depth: Sets the org-wide model for how platform capability is stood up and dissolved as bets change. Pioneers the team-formation playbook other engineering functions reuse. Scope: org-wide platform team topology.</t>
        </is>
      </c>
    </row>
    <row r="4">
      <c r="A4" s="4" t="inlineStr">
        <is>
          <t>People Leadership &amp; Team Health</t>
        </is>
      </c>
      <c r="B4" s="4" t="inlineStr">
        <is>
          <t>Coaching &amp; Performance</t>
        </is>
      </c>
      <c r="C4" s="4" t="inlineStr">
        <is>
          <t>Coaching &amp; development</t>
        </is>
      </c>
      <c r="D4" s="6" t="inlineStr">
        <is>
          <t>LI-01</t>
        </is>
      </c>
      <c r="E4" s="4" t="inlineStr">
        <is>
          <t>Whitmore, Coaching for Performance (1992); Google Project Oxygen</t>
        </is>
      </c>
      <c r="F4" s="4" t="inlineStr">
        <is>
          <t>Depth: Holds regular 1:1s that coach rather than status-check, favoring questions over answers. Turns a specific platform-engineer weakness into a visible skill gain within a quarter. Scope: coaches the engineers on one platform team.</t>
        </is>
      </c>
      <c r="G4" s="4" t="inlineStr">
        <is>
          <t>Depth: Coaches senior engineers and tech leads through ambiguous, high-judgment work such as reliability trade-offs and on-call leadership. Develops a report into a tech lead who now runs a workstream unaided. Scope: develops the talent bench of a critical platform team.</t>
        </is>
      </c>
      <c r="H4" s="4" t="inlineStr">
        <is>
          <t>Depth: Grows other people-leaders' coaching skill, not just individuals'. Runs coaching-the-coach sessions that lift how platform leads across the domain develop their own people. Scope: coaching capability across a cross-team platform domain.</t>
        </is>
      </c>
      <c r="I4" s="4" t="inlineStr">
        <is>
          <t>Depth: Builds the leadership-development pipeline a platform sub-org relies on, growing future platform leaders before seats open. Produces leaders others actively recruit onto their teams. Scope: the leadership bench of a platform sub-org.</t>
        </is>
      </c>
      <c r="J4" s="4" t="inlineStr">
        <is>
          <t>Depth: Drives the function's approach to growing engineering and management talent, tied to the reliability and DevEx skills it will need. Sets development standards leaders across the function coach against. Scope: talent development across the platform function.</t>
        </is>
      </c>
      <c r="K4" s="4" t="inlineStr">
        <is>
          <t>Depth: Sets the org-wide expectation for how platform leaders are grown. Pioneers a development model peer functions adopt. Scope: company-wide platform leadership development.</t>
        </is>
      </c>
    </row>
    <row r="5">
      <c r="A5" s="4" t="inlineStr">
        <is>
          <t>People Leadership &amp; Team Health</t>
        </is>
      </c>
      <c r="B5" s="4" t="inlineStr">
        <is>
          <t>Coaching &amp; Performance</t>
        </is>
      </c>
      <c r="C5" s="4" t="inlineStr">
        <is>
          <t>Career development &amp; sponsorship</t>
        </is>
      </c>
      <c r="D5" s="6" t="inlineStr">
        <is>
          <t>EM-02</t>
        </is>
      </c>
      <c r="E5" s="4" t="inlineStr">
        <is>
          <t>Hewlett, Forget a Mentor, Find a Sponsor (2013)</t>
        </is>
      </c>
      <c r="F5" s="4" t="inlineStr">
        <is>
          <t>Depth: Holds career conversations and writes growth plans tied to the ladder. Puts a report's name forward for a visible platform project that stretches them. Scope: career growth for one platform team.</t>
        </is>
      </c>
      <c r="G5" s="4" t="inlineStr">
        <is>
          <t>Depth: Sponsors senior engineers into stretch scope and promotion, building the evidence case ahead of calibration. Gets a deserving platform engineer promoted through a defensible packet. Scope: advancement on a critical platform team.</t>
        </is>
      </c>
      <c r="H5" s="4" t="inlineStr">
        <is>
          <t>Depth: Sets sponsorship norms other platform leads adopt. Advocates for talent in cross-team calibration rooms they do not own, moving outcomes for people who are not theirs. Scope: advancement across a cross-team platform domain.</t>
        </is>
      </c>
      <c r="I5" s="4" t="inlineStr">
        <is>
          <t>Depth: Builds the succession and sponsorship system for a platform sub-org so key roles have ready successors. Spends visible capital to place emerging platform leaders into scope. Scope: succession across a platform sub-org.</t>
        </is>
      </c>
      <c r="J5" s="4" t="inlineStr">
        <is>
          <t>Depth: Drives the function's approach to advancing and retaining top talent, including the scarce staff-plus platform-architect and reliability track. Sets the sponsorship expectations leaders across the function are held to. Scope: advancement across the platform function.</t>
        </is>
      </c>
      <c r="K5" s="4" t="inlineStr">
        <is>
          <t>Depth: Sets the org-wide standard for how platform careers ladder. Pioneers a sponsorship model that measurably widens the platform leadership pipeline. Scope: company-wide platform career paths.</t>
        </is>
      </c>
    </row>
    <row r="6">
      <c r="A6" s="4" t="inlineStr">
        <is>
          <t>People Leadership &amp; Team Health</t>
        </is>
      </c>
      <c r="B6" s="4" t="inlineStr">
        <is>
          <t>Coaching &amp; Performance</t>
        </is>
      </c>
      <c r="C6" s="4" t="inlineStr">
        <is>
          <t>Performance management</t>
        </is>
      </c>
      <c r="D6" s="6" t="inlineStr">
        <is>
          <t>EM-01</t>
        </is>
      </c>
      <c r="E6" s="4" t="inlineStr">
        <is>
          <t>Grove, High Output Management (1983)</t>
        </is>
      </c>
      <c r="F6" s="4" t="inlineStr">
        <is>
          <t>Depth: Sets clear expectations and gives specific, timely feedback. Addresses an underperforming platform engineer directly with a documented plan rather than letting it drift. Scope: performance on one platform team.</t>
        </is>
      </c>
      <c r="G6" s="4" t="inlineStr">
        <is>
          <t>Depth: Manages the full performance range on a high-stakes team, rewarding top reliability contributors and fairly turning around or exiting persistent underperformance. Runs a difficult exit cleanly and defensibly. Scope: performance on a critical platform team.</t>
        </is>
      </c>
      <c r="H6" s="4" t="inlineStr">
        <is>
          <t>Depth: Sets the performance and calibration standard other platform leads apply consistently. Runs cross-team calibration that holds a fair, comparable bar across the domain. Scope: performance consistency across a cross-team platform domain.</t>
        </is>
      </c>
      <c r="I6" s="4" t="inlineStr">
        <is>
          <t>Depth: Builds the performance system a platform sub-org runs on, from level expectations to calibration mechanics. Corrects rating drift between teams so the bar means the same everywhere. Scope: performance management across a platform sub-org.</t>
        </is>
      </c>
      <c r="J6" s="4" t="inlineStr">
        <is>
          <t>Depth: Drives the function's performance philosophy and its link to reliability and delivery outcomes. Sets the standard leaders across the function calibrate to. Scope: performance across the platform function.</t>
        </is>
      </c>
      <c r="K6" s="4" t="inlineStr">
        <is>
          <t>Depth: Sets the org-wide performance expectations for platform leadership. Pioneers a performance model peer functions adopt. Scope: company-wide platform performance standard.</t>
        </is>
      </c>
    </row>
    <row r="7">
      <c r="A7" s="4" t="inlineStr">
        <is>
          <t>People Leadership &amp; Team Health</t>
        </is>
      </c>
      <c r="B7" s="4" t="inlineStr">
        <is>
          <t>Team Health &amp; Culture</t>
        </is>
      </c>
      <c r="C7" s="4" t="inlineStr">
        <is>
          <t>Psychological safety &amp; team health</t>
        </is>
      </c>
      <c r="D7" s="6" t="inlineStr">
        <is>
          <t>EM-03</t>
        </is>
      </c>
      <c r="E7" s="4" t="inlineStr">
        <is>
          <t>Edmondson, The Fearless Organization (2018); Project Aristotle</t>
        </is>
      </c>
      <c r="F7" s="4" t="inlineStr">
        <is>
          <t>Depth: Runs blameless retros and incident reviews and invites dissent. Models admitting their own mistakes so engineers surface problems early instead of hiding them. Scope: team health on one platform team.</t>
        </is>
      </c>
      <c r="G7" s="4" t="inlineStr">
        <is>
          <t>Depth: Sustains safety on a high-pressure on-call team where incidents are public and stressful. Keeps a severe-outage review blameless so the real contributing causes come out. Scope: team health on a critical platform team.</t>
        </is>
      </c>
      <c r="H7" s="4" t="inlineStr">
        <is>
          <t>Depth: Sets the team-health and blameless-culture standard other platform leads adopt. Instruments team-health signals across the domain and acts on a declining one before it becomes attrition. Scope: team health across a cross-team platform domain.</t>
        </is>
      </c>
      <c r="I7" s="4" t="inlineStr">
        <is>
          <t>Depth: Builds the culture mechanisms a platform sub-org relies on, from survey cadence to blameless-review norms and safety expectations for leaders. Turns around an unhealthy team's culture through the leader running it. Scope: culture across a platform sub-org.</t>
        </is>
      </c>
      <c r="J7" s="4" t="inlineStr">
        <is>
          <t>Depth: Drives the function's culture, tying psychological safety explicitly to reliability outcomes. Sets the health norms leaders across the function are measured against. Scope: culture across the platform function.</t>
        </is>
      </c>
      <c r="K7" s="4" t="inlineStr">
        <is>
          <t>Depth: Sets the org-wide expectation that platform operates blamelessly and safely. Pioneers a culture model other engineering functions copy. Scope: company-wide platform culture.</t>
        </is>
      </c>
    </row>
    <row r="8">
      <c r="A8" s="4" t="inlineStr">
        <is>
          <t>People Leadership &amp; Team Health</t>
        </is>
      </c>
      <c r="B8" s="4" t="inlineStr">
        <is>
          <t>Team Health &amp; Culture</t>
        </is>
      </c>
      <c r="C8" s="4" t="inlineStr">
        <is>
          <t>Motivation, engagement &amp; retention</t>
        </is>
      </c>
      <c r="D8" s="6" t="inlineStr">
        <is>
          <t>EM-17</t>
        </is>
      </c>
      <c r="E8" s="4" t="inlineStr">
        <is>
          <t>Deci &amp; Ryan, Self-Determination Theory (2000); Herzberg (1968)</t>
        </is>
      </c>
      <c r="F8" s="4" t="inlineStr">
        <is>
          <t>Depth: Reads what motivates each engineer and connects platform work to purpose. Spots a disengaging report early and re-engages them before they start looking. Scope: engagement on one platform team.</t>
        </is>
      </c>
      <c r="G8" s="4" t="inlineStr">
        <is>
          <t>Depth: Sustains engagement on a team doing high-toil, sometimes thankless reliability work by framing impact and rotating growth. Keeps regrettable attrition low on a critical platform team through a demanding period. Scope: retention on a critical platform team.</t>
        </is>
      </c>
      <c r="H8" s="4" t="inlineStr">
        <is>
          <t>Depth: Sets engagement and retention practices other platform leads adopt. Reads engagement signals across the domain and fixes a systemic driver of attrition, not just symptoms. Scope: engagement across a cross-team platform domain.</t>
        </is>
      </c>
      <c r="I8" s="4" t="inlineStr">
        <is>
          <t>Depth: Builds the retention strategy a platform sub-org runs on, targeting the drivers specific to platform work such as toil, on-call load, and low visibility. Shifts a sub-org's engagement trend through the leaders who own each team. Scope: retention across a platform sub-org.</t>
        </is>
      </c>
      <c r="J8" s="4" t="inlineStr">
        <is>
          <t>Depth: Drives the function's engagement and retention strategy, protecting scarce reliability and DevEx talent. Sets the expectations leaders across the function own for engagement. Scope: retention across the platform function.</t>
        </is>
      </c>
      <c r="K8" s="4" t="inlineStr">
        <is>
          <t>Depth: Sets the org-wide narrative that makes platform a destination rather than a cost center. Pioneers retention practice for infrastructure talent that peers adopt. Scope: company-wide platform engagement.</t>
        </is>
      </c>
    </row>
    <row r="9">
      <c r="A9" s="4" t="inlineStr">
        <is>
          <t>Platform as a Product</t>
        </is>
      </c>
      <c r="B9" s="4" t="inlineStr">
        <is>
          <t>Product Strategy &amp; Discovery</t>
        </is>
      </c>
      <c r="C9" s="4" t="inlineStr">
        <is>
          <t>Platform vision &amp; roadmap</t>
        </is>
      </c>
      <c r="D9" s="6" t="inlineStr">
        <is>
          <t>PM-05</t>
        </is>
      </c>
      <c r="E9" s="4" t="inlineStr">
        <is>
          <t>Perri, Escaping the Build Trap (2018); Skelton &amp; Pais, Team Topologies (2019)</t>
        </is>
      </c>
      <c r="F9" s="4" t="inlineStr">
        <is>
          <t>Depth: Maintains a platform roadmap tied to developer outcomes, not just a feature list. States the problem each platform capability solves and for whom. Scope: the roadmap for one platform team's surface.</t>
        </is>
      </c>
      <c r="G9" s="4" t="inlineStr">
        <is>
          <t>Depth: Owns the vision and roadmap for a critical platform area, sequencing by developer value and thinnest-viable-platform thinking. Kills or defers a low-value platform build others wanted, with the outcome argument to back it. Scope: roadmap for a high-stakes platform team.</t>
        </is>
      </c>
      <c r="H9" s="4" t="inlineStr">
        <is>
          <t>Depth: Sets a cross-team platform vision that other teams' roadmaps align to. Publishes a domain platform strategy that redirects several teams' build priorities. Scope: platform direction across a cross-team domain.</t>
        </is>
      </c>
      <c r="I9" s="4" t="inlineStr">
        <is>
          <t>Depth: Builds the multi-year platform roadmap a sub-org executes against, balancing capability bets, migrations, and retirement. Frames the platform-as-a-product operating model the sub-org plans within. Scope: platform strategy for a sub-org.</t>
        </is>
      </c>
      <c r="J9" s="4" t="inlineStr">
        <is>
          <t>Depth: Drives the function's vision and its link to business outcomes and developer productivity. Sets the platform bets the function organizes around and defends them at the exec table. Scope: vision for the platform function.</t>
        </is>
      </c>
      <c r="K9" s="4" t="inlineStr">
        <is>
          <t>Depth: Sets the org-wide platform vision and the make-vs-consume posture for the whole company. Pioneers a platform strategy the industry recognizes. Scope: org-wide platform direction.</t>
        </is>
      </c>
    </row>
    <row r="10">
      <c r="A10" s="4" t="inlineStr">
        <is>
          <t>Platform as a Product</t>
        </is>
      </c>
      <c r="B10" s="4" t="inlineStr">
        <is>
          <t>Product Strategy &amp; Discovery</t>
        </is>
      </c>
      <c r="C10" s="4" t="inlineStr">
        <is>
          <t>Internal user research &amp; discovery</t>
        </is>
      </c>
      <c r="D10" s="6" t="inlineStr">
        <is>
          <t>PM-01</t>
        </is>
      </c>
      <c r="E10" s="4" t="inlineStr">
        <is>
          <t>Noda, Storey, Forsgren &amp; Greiler, DevEx: What Actually Drives Productivity (ACM Queue, 2023)</t>
        </is>
      </c>
      <c r="F10" s="4" t="inlineStr">
        <is>
          <t>Depth: Talks to platform users regularly and watches them use the tools. Turns an observed developer pain point into a prioritized platform fix. Scope: discovery for one platform team's users.</t>
        </is>
      </c>
      <c r="G10" s="4" t="inlineStr">
        <is>
          <t>Depth: Runs structured DevEx discovery for a critical platform area through interviews, journey mapping, and friction logs. Quantifies a cognitive-load or feedback-loop problem the team then designs against. Scope: discovery for a high-stakes platform team's users.</t>
        </is>
      </c>
      <c r="H10" s="4" t="inlineStr">
        <is>
          <t>Depth: Sets the DevEx-research practice other platform teams adopt. Stands up a developer-experience measurement combining surveys and system signals that several teams now steer by. Scope: DevEx discovery across a cross-team domain.</t>
        </is>
      </c>
      <c r="I10" s="4" t="inlineStr">
        <is>
          <t>Depth: Builds the continuous developer-listening system a platform sub-org runs on, linking perceptual and system metrics. Makes DevEx evidence the default input to roadmap decisions across the sub-org. Scope: developer research across a platform sub-org.</t>
        </is>
      </c>
      <c r="J10" s="4" t="inlineStr">
        <is>
          <t>Depth: Drives how the function understands and represents developer productivity to the business. Sets the DevEx metrics the function commits to and reports upward. Scope: developer insight across the platform function.</t>
        </is>
      </c>
      <c r="K10" s="4" t="inlineStr">
        <is>
          <t>Depth: Sets the org-wide definition of developer experience and how it is measured. Pioneers a DevEx research program other companies reference. Scope: org-wide developer-experience insight.</t>
        </is>
      </c>
    </row>
    <row r="11">
      <c r="A11" s="4" t="inlineStr">
        <is>
          <t>Platform as a Product</t>
        </is>
      </c>
      <c r="B11" s="4" t="inlineStr">
        <is>
          <t>Product Strategy &amp; Discovery</t>
        </is>
      </c>
      <c r="C11" s="4" t="inlineStr">
        <is>
          <t>Platform value &amp; business case</t>
        </is>
      </c>
      <c r="D11" s="6" t="inlineStr">
        <is>
          <t>PD-06</t>
        </is>
      </c>
      <c r="E11" s="4" t="inlineStr">
        <is>
          <t>Cagan, Inspired (2008)</t>
        </is>
      </c>
      <c r="F11" s="4" t="inlineStr">
        <is>
          <t>Depth: Articulates the value of the team's platform work in developer-time and reliability terms. Ties a platform initiative to a concrete productivity or cost outcome. Scope: value case for one platform team.</t>
        </is>
      </c>
      <c r="G11" s="4" t="inlineStr">
        <is>
          <t>Depth: Builds the business case for a significant platform investment, quantifying time saved, incidents avoided, or spend reduced. Wins funding for a platform bet with a defensible value model. Scope: value case for a critical platform team's investments.</t>
        </is>
      </c>
      <c r="H11" s="4" t="inlineStr">
        <is>
          <t>Depth: Sets the value-articulation standard other platform leads use. Publishes a value and ROI framework several teams justify platform work with. Scope: platform value cases across a cross-team domain.</t>
        </is>
      </c>
      <c r="I11" s="4" t="inlineStr">
        <is>
          <t>Depth: Builds the investment model a platform sub-org allocates by, ranking bets on value and leverage. Reframes platform from cost center to leverage multiplier for the sub-org's stakeholders. Scope: investment cases across a platform sub-org.</t>
        </is>
      </c>
      <c r="J11" s="4" t="inlineStr">
        <is>
          <t>Depth: Drives how the function proves and communicates its business value. Sets the value narrative and metrics the function is funded against. Scope: value case for the platform function.</t>
        </is>
      </c>
      <c r="K11" s="4" t="inlineStr">
        <is>
          <t>Depth: Sets the org-wide economic case for platform investment. Pioneers a platform-value model the business plans capital around. Scope: org-wide platform economics.</t>
        </is>
      </c>
    </row>
    <row r="12">
      <c r="A12" s="4" t="inlineStr">
        <is>
          <t>Platform as a Product</t>
        </is>
      </c>
      <c r="B12" s="4" t="inlineStr">
        <is>
          <t>Developer Experience &amp; Adoption</t>
        </is>
      </c>
      <c r="C12" s="4" t="inlineStr">
        <is>
          <t>Golden paths &amp; paved roads</t>
        </is>
      </c>
      <c r="D12" s="6" t="inlineStr">
        <is>
          <t>OPS-27</t>
        </is>
      </c>
      <c r="E12" s="4" t="inlineStr">
        <is>
          <t>Spotify Engineering, How We Use Golden Paths (2020)</t>
        </is>
      </c>
      <c r="F12" s="4" t="inlineStr">
        <is>
          <t>Depth: Maintains a golden path for a common workflow that is templated, documented, and supported. Gets the team's users onto the paved road for one high-frequency task. Scope: golden paths on one platform team's surface.</t>
        </is>
      </c>
      <c r="G12" s="4" t="inlineStr">
        <is>
          <t>Depth: Designs paved roads for a critical platform area, balancing opinion with escape hatches. Retires a fragmented set of bespoke setups onto a single supported golden path. Scope: paved roads for a high-stakes platform team.</t>
        </is>
      </c>
      <c r="H12" s="4" t="inlineStr">
        <is>
          <t>Depth: Sets the golden-path design standard other platform teams adopt. Defines what paved means across the domain, from support SLA to versioning and deprecation, and gets teams to build to it. Scope: paved-road strategy across a cross-team domain.</t>
        </is>
      </c>
      <c r="I12" s="4" t="inlineStr">
        <is>
          <t>Depth: Builds the paved-road portfolio a platform sub-org offers and the governance that keeps it coherent. Makes the golden path the default choice across the sub-org, not the exception. Scope: paved roads across a platform sub-org.</t>
        </is>
      </c>
      <c r="J12" s="4" t="inlineStr">
        <is>
          <t>Depth: Drives the function's golden-path strategy and the trade-off between standardization and team autonomy. Sets the paved-road principles the whole function designs to. Scope: paved-road direction across the platform function.</t>
        </is>
      </c>
      <c r="K12" s="4" t="inlineStr">
        <is>
          <t>Depth: Sets the org-wide philosophy of paved roads versus freedom. Pioneers a golden-path model other engineering orgs adopt. Scope: org-wide paved-road strategy.</t>
        </is>
      </c>
    </row>
    <row r="13">
      <c r="A13" s="4" t="inlineStr">
        <is>
          <t>Platform as a Product</t>
        </is>
      </c>
      <c r="B13" s="4" t="inlineStr">
        <is>
          <t>Developer Experience &amp; Adoption</t>
        </is>
      </c>
      <c r="C13" s="4" t="inlineStr">
        <is>
          <t>Self-service &amp; platform interfaces</t>
        </is>
      </c>
      <c r="D13" s="6" t="inlineStr">
        <is>
          <t>OPS-27</t>
        </is>
      </c>
      <c r="E13" s="4" t="inlineStr">
        <is>
          <t>Bottcher, What I Talk About When I Talk About Platforms (martinfowler.com, 2018)</t>
        </is>
      </c>
      <c r="F13" s="4" t="inlineStr">
        <is>
          <t>Depth: Keeps a self-service interface such as a portal, CLI, API, or template working for a common request so users do not file tickets. Eliminates a manual request path by making it self-serve. Scope: self-service on one platform team's surface.</t>
        </is>
      </c>
      <c r="G13" s="4" t="inlineStr">
        <is>
          <t>Depth: Designs self-service for a critical platform capability with the right abstraction level and guardrails. Removes the team as a human bottleneck from a high-volume workflow. Scope: self-service for a high-stakes platform team.</t>
        </is>
      </c>
      <c r="H13" s="4" t="inlineStr">
        <is>
          <t>Depth: Sets the self-service and interface standard other teams adopt. Defines the interface-contract pattern, whether API, portal, or paved road, that several platform teams now expose. Scope: self-service design across a cross-team domain.</t>
        </is>
      </c>
      <c r="I13" s="4" t="inlineStr">
        <is>
          <t>Depth: Builds the self-service platform model a sub-org runs on, a coherent developer surface rather than scattered tools. Shifts the sub-org's platforms from ticket-driven to self-service by default. Scope: platform interfaces across a platform sub-org.</t>
        </is>
      </c>
      <c r="J13" s="4" t="inlineStr">
        <is>
          <t>Depth: Drives the function's self-service strategy and its internal-developer-platform vision. Sets the target that platform work is consumed without human intervention across the function. Scope: self-service direction across the platform function.</t>
        </is>
      </c>
      <c r="K13" s="4" t="inlineStr">
        <is>
          <t>Depth: Sets the org-wide bar for developer self-service. Pioneers an internal-platform interface model the industry references. Scope: org-wide self-service platform.</t>
        </is>
      </c>
    </row>
    <row r="14">
      <c r="A14" s="4" t="inlineStr">
        <is>
          <t>Platform as a Product</t>
        </is>
      </c>
      <c r="B14" s="4" t="inlineStr">
        <is>
          <t>Developer Experience &amp; Adoption</t>
        </is>
      </c>
      <c r="C14" s="4" t="inlineStr">
        <is>
          <t>Adoption &amp; migration strategy</t>
        </is>
      </c>
      <c r="D14" s="6" t="inlineStr">
        <is>
          <t>proposed</t>
        </is>
      </c>
      <c r="E14" s="4" t="inlineStr">
        <is>
          <t>Winters, Manshreck &amp; Wright, Software Engineering at Google (2020) - deprecation chapter</t>
        </is>
      </c>
      <c r="F14" s="4" t="inlineStr">
        <is>
          <t>Depth: Drives adoption of a platform capability by making migration easy with codemods, docs, and hands-on help. Moves the first cohort of teams onto a new platform version. Scope: adoption on one platform team's surface.</t>
        </is>
      </c>
      <c r="G14" s="4" t="inlineStr">
        <is>
          <t>Depth: Runs a migration for a critical platform area, tracking adoption and burning down the long tail. Completes a migration including the last stubborn holdouts rather than stalling at eighty percent. Scope: migration for a high-stakes platform capability.</t>
        </is>
      </c>
      <c r="H14" s="4" t="inlineStr">
        <is>
          <t>Depth: Sets the adoption and deprecation strategy other platform teams follow. Defines the deprecation policy and migration-support standard several teams' rollouts now run on. Scope: adoption strategy across a cross-team domain.</t>
        </is>
      </c>
      <c r="I14" s="4" t="inlineStr">
        <is>
          <t>Depth: Builds the migration operating model a sub-org uses, with incentives, tracking, and deprecation guarantees so platform change lands without stranding teams. Drives a sub-org-wide migration to completion through the teams that own each service. Scope: migration across a platform sub-org.</t>
        </is>
      </c>
      <c r="J14" s="4" t="inlineStr">
        <is>
          <t>Depth: Drives the function's adoption strategy and its balance of carrots versus mandates. Sets the adoption and sunsetting principles the function commits to. Scope: adoption direction across the platform function.</t>
        </is>
      </c>
      <c r="K14" s="4" t="inlineStr">
        <is>
          <t>Depth: Sets the org-wide expectation for how platforms are adopted and legacy is retired. Pioneers a migration model that keeps the org off long-lived forks. Scope: org-wide adoption and deprecation.</t>
        </is>
      </c>
    </row>
    <row r="15">
      <c r="A15" s="4" t="inlineStr">
        <is>
          <t>Platform as a Product</t>
        </is>
      </c>
      <c r="B15" s="4" t="inlineStr">
        <is>
          <t>Developer Experience &amp; Adoption</t>
        </is>
      </c>
      <c r="C15" s="4" t="inlineStr">
        <is>
          <t>Platform advocacy &amp; enablement</t>
        </is>
      </c>
      <c r="D15" s="6" t="inlineStr">
        <is>
          <t>DR-01</t>
        </is>
      </c>
      <c r="E15" s="4" t="inlineStr">
        <is>
          <t>CNCF TAG App Delivery, Platform Engineering Maturity Model (2023)</t>
        </is>
      </c>
      <c r="F15" s="4" t="inlineStr">
        <is>
          <t>Depth: Runs enablement for the platform through docs, office hours, and demos. Turns a confused user base into a competent one for one capability through documentation and support. Scope: advocacy for one platform team's users.</t>
        </is>
      </c>
      <c r="G15" s="4" t="inlineStr">
        <is>
          <t>Depth: Builds the enablement program for a critical platform area, from onboarding guides to champions and feedback channels. Grows an internal champion network that advocates the platform without the team present. Scope: enablement for a high-stakes platform team.</t>
        </is>
      </c>
      <c r="H15" s="4" t="inlineStr">
        <is>
          <t>Depth: Sets the advocacy and enablement standard other platform teams adopt. Stands up a platform-community and docs practice several teams run their enablement through. Scope: enablement across a cross-team domain.</t>
        </is>
      </c>
      <c r="I15" s="4" t="inlineStr">
        <is>
          <t>Depth: Builds the developer-relations model a platform sub-org uses to drive internal awareness and adoption. Makes platform enablement a repeatable function rather than heroics across the sub-org. Scope: advocacy across a platform sub-org.</t>
        </is>
      </c>
      <c r="J15" s="4" t="inlineStr">
        <is>
          <t>Depth: Drives how the function positions and evangelizes itself to engineering and the business. Sets the enablement and advocacy strategy the function invests in. Scope: advocacy across the platform function.</t>
        </is>
      </c>
      <c r="K15" s="4" t="inlineStr">
        <is>
          <t>Depth: Sets the org-wide platform-advocacy posture. Pioneers an internal developer-relations model peer functions and other orgs copy. Scope: org-wide platform advocacy.</t>
        </is>
      </c>
    </row>
    <row r="16">
      <c r="A16" s="4" t="inlineStr">
        <is>
          <t>Reliability &amp; Operations</t>
        </is>
      </c>
      <c r="B16" s="4" t="inlineStr">
        <is>
          <t>Reliability Engineering</t>
        </is>
      </c>
      <c r="C16" s="4" t="inlineStr">
        <is>
          <t>Reliability, SLOs &amp; error budgets</t>
        </is>
      </c>
      <c r="D16" s="6" t="inlineStr">
        <is>
          <t>OPS-04</t>
        </is>
      </c>
      <c r="E16" s="4" t="inlineStr">
        <is>
          <t>Beyer, Jones, Petoff &amp; Murphy, Site Reliability Engineering (2016)</t>
        </is>
      </c>
      <c r="F16" s="4" t="inlineStr">
        <is>
          <t>Depth: Runs the team's services on defined SLOs and error budgets and reviews budget burn. Uses an error-budget breach to hold a release-versus-reliability trade-off honestly. Scope: SLOs for one platform team's services.</t>
        </is>
      </c>
      <c r="G16" s="4" t="inlineStr">
        <is>
          <t>Depth: Designs the SLO and error-budget model for a critical platform area with meaningful SLIs. Negotiates and enforces an error-budget policy that pauses feature work when reliability slips. Scope: reliability targets for a high-stakes platform team.</t>
        </is>
      </c>
      <c r="H16" s="4" t="inlineStr">
        <is>
          <t>Depth: Sets the SLO and error-budget standard other platform teams adopt. Defines the reliability-target framework several teams now run their services against. Scope: reliability targets across a cross-team domain.</t>
        </is>
      </c>
      <c r="I16" s="4" t="inlineStr">
        <is>
          <t>Depth: Builds the reliability operating model a sub-org runs on, from SLO taxonomy to budget governance and reliability reviews. Makes error-budget policy the mechanism the sub-org's prioritization respects. Scope: reliability across a platform sub-org.</t>
        </is>
      </c>
      <c r="J16" s="4" t="inlineStr">
        <is>
          <t>Depth: Drives the function's reliability strategy and its explicit trade-off with velocity. Sets the reliability commitments the function makes to the business. Scope: reliability across the platform function.</t>
        </is>
      </c>
      <c r="K16" s="4" t="inlineStr">
        <is>
          <t>Depth: Sets the org-wide reliability philosophy and the availability posture the company commits to customers. Pioneers a reliability model other orgs adopt. Scope: org-wide reliability.</t>
        </is>
      </c>
    </row>
    <row r="17">
      <c r="A17" s="4" t="inlineStr">
        <is>
          <t>Reliability &amp; Operations</t>
        </is>
      </c>
      <c r="B17" s="4" t="inlineStr">
        <is>
          <t>Reliability Engineering</t>
        </is>
      </c>
      <c r="C17" s="4" t="inlineStr">
        <is>
          <t>Incident &amp; operational-risk leadership</t>
        </is>
      </c>
      <c r="D17" s="6" t="inlineStr">
        <is>
          <t>EM-10</t>
        </is>
      </c>
      <c r="E17" s="4" t="inlineStr">
        <is>
          <t>PagerDuty, Incident Response Guide (2017); Allspaw, Blameless PostMortems (2012)</t>
        </is>
      </c>
      <c r="F17" s="4" t="inlineStr">
        <is>
          <t>Depth: Runs the team's on-call and incident process and acts as commander when needed. Turns a postmortem's action items into shipped fixes rather than a filed document. Scope: incident response on one platform team.</t>
        </is>
      </c>
      <c r="G17" s="4" t="inlineStr">
        <is>
          <t>Depth: Leads response for severe, cross-team incidents on a critical platform, coordinating comms and command under pressure. Runs a major-incident review whose systemic fixes prevent the class of failure from recurring. Scope: incident leadership for a high-stakes platform.</t>
        </is>
      </c>
      <c r="H17" s="4" t="inlineStr">
        <is>
          <t>Depth: Sets the incident-management standard other platform teams adopt. Defines the incident-command and postmortem practice several teams now run. Scope: incident leadership across a cross-team domain.</t>
        </is>
      </c>
      <c r="I17" s="4" t="inlineStr">
        <is>
          <t>Depth: Builds the incident-response operating model a sub-org relies on, from severity taxonomy to comms protocol and learning loop. Drives a measurable drop in MTTR or repeat incidents across the sub-org through the leaders who own each service. Scope: incident leadership across a platform sub-org.</t>
        </is>
      </c>
      <c r="J17" s="4" t="inlineStr">
        <is>
          <t>Depth: Drives the function's operational-excellence and reliability-leadership strategy. Sets the incident and reliability standard the function is accountable to. Scope: reliability leadership across the platform function.</t>
        </is>
      </c>
      <c r="K17" s="4" t="inlineStr">
        <is>
          <t>Depth: Sets the org-wide incident-management and reliability-leadership model. Pioneers an operational-excellence practice other orgs reference. Scope: org-wide incident and reliability leadership.</t>
        </is>
      </c>
    </row>
    <row r="18">
      <c r="A18" s="4" t="inlineStr">
        <is>
          <t>Reliability &amp; Operations</t>
        </is>
      </c>
      <c r="B18" s="4" t="inlineStr">
        <is>
          <t>Reliability Engineering</t>
        </is>
      </c>
      <c r="C18" s="4" t="inlineStr">
        <is>
          <t>Observability &amp; health signals</t>
        </is>
      </c>
      <c r="D18" s="6" t="inlineStr">
        <is>
          <t>OPS-05</t>
        </is>
      </c>
      <c r="E18" s="4" t="inlineStr">
        <is>
          <t>Majors, Fong-Jones &amp; Miranda, Observability Engineering (2022)</t>
        </is>
      </c>
      <c r="F18" s="4" t="inlineStr">
        <is>
          <t>Depth: Ensures the team's services are observable across metrics, logs, traces, and actionable alerts. Replaces a noisy or blind alert with a signal that maps to real user pain. Scope: observability for one platform team's services.</t>
        </is>
      </c>
      <c r="G18" s="4" t="inlineStr">
        <is>
          <t>Depth: Designs the observability strategy for a critical platform area, including SLI instrumentation and high-cardinality debugging. Makes a previously opaque failure mode diagnosable in minutes. Scope: observability for a high-stakes platform team.</t>
        </is>
      </c>
      <c r="H18" s="4" t="inlineStr">
        <is>
          <t>Depth: Sets the observability standard other platform teams adopt. Defines the instrumentation and alerting baseline several teams now build to. Scope: observability across a cross-team domain.</t>
        </is>
      </c>
      <c r="I18" s="4" t="inlineStr">
        <is>
          <t>Depth: Builds the observability platform and practice a sub-org runs on, controlling cost and cardinality. Makes health signals consistent and comparable across the sub-org's services. Scope: observability across a platform sub-org.</t>
        </is>
      </c>
      <c r="J18" s="4" t="inlineStr">
        <is>
          <t>Depth: Drives the function's observability strategy and its economics. Sets the observability standard the function commits to. Scope: observability across the platform function.</t>
        </is>
      </c>
      <c r="K18" s="4" t="inlineStr">
        <is>
          <t>Depth: Sets the org-wide observability model. Pioneers an approach to health signals other orgs adopt. Scope: org-wide observability.</t>
        </is>
      </c>
    </row>
    <row r="19">
      <c r="A19" s="4" t="inlineStr">
        <is>
          <t>Reliability &amp; Operations</t>
        </is>
      </c>
      <c r="B19" s="4" t="inlineStr">
        <is>
          <t>Operational Leverage</t>
        </is>
      </c>
      <c r="C19" s="4" t="inlineStr">
        <is>
          <t>Toil reduction &amp; automation</t>
        </is>
      </c>
      <c r="D19" s="6" t="inlineStr">
        <is>
          <t>OPS-28</t>
        </is>
      </c>
      <c r="E19" s="4" t="inlineStr">
        <is>
          <t>Beyer, Jones, Petoff &amp; Murphy, Site Reliability Engineering (2016) - toil chapter</t>
        </is>
      </c>
      <c r="F19" s="4" t="inlineStr">
        <is>
          <t>Depth: Tracks the team's toil and automates the worst of it to protect engineering time. Converts a recurring manual operational task into an automated one. Scope: toil on one platform team.</t>
        </is>
      </c>
      <c r="G19" s="4" t="inlineStr">
        <is>
          <t>Depth: Sets a toil budget for a critical platform team and drives it down structurally. Cuts on-call and operational load enough to visibly change the team's toil ratio. Scope: toil for a high-stakes platform team.</t>
        </is>
      </c>
      <c r="H19" s="4" t="inlineStr">
        <is>
          <t>Depth: Sets the toil-measurement and automation standard other platform teams adopt. Defines the toil-budget practice several teams now manage their operational load with. Scope: toil reduction across a cross-team domain.</t>
        </is>
      </c>
      <c r="I19" s="4" t="inlineStr">
        <is>
          <t>Depth: Builds the automation strategy a sub-org uses to keep operational cost sublinear as it scales. Drives a sub-org-wide reduction in toil through the platforms that eliminate it. Scope: automation leverage across a platform sub-org.</t>
        </is>
      </c>
      <c r="J19" s="4" t="inlineStr">
        <is>
          <t>Depth: Drives the function's operational-leverage strategy, targeting where automation investment buys the most headroom. Sets the toil and automation targets the function commits to. Scope: operational leverage across the platform function.</t>
        </is>
      </c>
      <c r="K19" s="4" t="inlineStr">
        <is>
          <t>Depth: Sets the org-wide expectation that operations scale through automation, not headcount. Pioneers an operational-leverage model other orgs adopt. Scope: org-wide operational leverage.</t>
        </is>
      </c>
    </row>
    <row r="20">
      <c r="A20" s="4" t="inlineStr">
        <is>
          <t>Reliability &amp; Operations</t>
        </is>
      </c>
      <c r="B20" s="4" t="inlineStr">
        <is>
          <t>Operational Leverage</t>
        </is>
      </c>
      <c r="C20" s="4" t="inlineStr">
        <is>
          <t>Capacity, performance &amp; cost</t>
        </is>
      </c>
      <c r="D20" s="6" t="inlineStr">
        <is>
          <t>OPS-07</t>
        </is>
      </c>
      <c r="E20" s="4" t="inlineStr">
        <is>
          <t>Gregg, Systems Performance (2nd ed., 2020)</t>
        </is>
      </c>
      <c r="F20" s="4" t="inlineStr">
        <is>
          <t>Depth: Watches the team's capacity, performance, and spend. Right-sizes a resource or fixes a performance regression to cut cost without hurting reliability. Scope: capacity and cost for one platform team's services.</t>
        </is>
      </c>
      <c r="G20" s="4" t="inlineStr">
        <is>
          <t>Depth: Owns capacity and cost planning for a critical platform area, forecasting demand and managing efficiency. Lands a material infrastructure-cost reduction while holding SLOs. Scope: capacity and FinOps for a high-stakes platform team.</t>
        </is>
      </c>
      <c r="H20" s="4" t="inlineStr">
        <is>
          <t>Depth: Sets the capacity-planning and cost-efficiency standard other platform teams adopt. Defines the FinOps and performance practice several teams now manage spend with. Scope: capacity and cost across a cross-team domain.</t>
        </is>
      </c>
      <c r="I20" s="4" t="inlineStr">
        <is>
          <t>Depth: Builds the capacity and FinOps operating model a sub-org runs on, from forecasting to unit economics and efficiency governance. Makes infrastructure unit cost a managed, trending metric across the sub-org. Scope: capacity and cost across a platform sub-org.</t>
        </is>
      </c>
      <c r="J20" s="4" t="inlineStr">
        <is>
          <t>Depth: Drives the function's infrastructure-efficiency and cost strategy and its business framing. Sets the unit-economics and capacity commitments the function owns. Scope: capacity and FinOps across the platform function.</t>
        </is>
      </c>
      <c r="K20" s="4" t="inlineStr">
        <is>
          <t>Depth: Sets the org-wide infrastructure-efficiency posture and the company's cloud and capital strategy for platform. Pioneers a FinOps model the business plans spend around. Scope: org-wide capacity, performance, and cost.</t>
        </is>
      </c>
    </row>
    <row r="21">
      <c r="A21" s="4" t="inlineStr">
        <is>
          <t>Technical Direction &amp; Architecture</t>
        </is>
      </c>
      <c r="B21" s="4" t="inlineStr">
        <is>
          <t>Architecture &amp; Standards</t>
        </is>
      </c>
      <c r="C21" s="4" t="inlineStr">
        <is>
          <t>Platform architecture stewardship</t>
        </is>
      </c>
      <c r="D21" s="6" t="inlineStr">
        <is>
          <t>ARC-10</t>
        </is>
      </c>
      <c r="E21" s="4" t="inlineStr">
        <is>
          <t>Conway (1968); Nygard, Documenting Architecture Decisions (2011)</t>
        </is>
      </c>
      <c r="F21" s="4" t="inlineStr">
        <is>
          <t>Depth: Stewards the team's platform architecture and keeps decisions recorded as ADRs. Catches an architectural drift or coupling problem in review before it ships. Scope: architecture for one platform team's surface.</t>
        </is>
      </c>
      <c r="G21" s="4" t="inlineStr">
        <is>
          <t>Depth: Owns architectural direction for a critical platform area, weighing evolvability and Conway-aligned boundaries. Redesigns a component boundary so team and system seams line up. Scope: architecture for a high-stakes platform team.</t>
        </is>
      </c>
      <c r="H21" s="4" t="inlineStr">
        <is>
          <t>Depth: Sets the architecture and ADR standard other platform teams adopt. Defines the reference architecture and decision-record practice several teams now build within. Scope: architecture stewardship across a cross-team domain.</t>
        </is>
      </c>
      <c r="I21" s="4" t="inlineStr">
        <is>
          <t>Depth: Builds the architecture-governance model a sub-org runs on, from review forums to principles and Conway-aware team-and-system design. Shapes a sub-org's team topology to fit the platform architecture it needs. Scope: architecture across a platform sub-org.</t>
        </is>
      </c>
      <c r="J21" s="4" t="inlineStr">
        <is>
          <t>Depth: Drives the function's architectural direction and its long-horizon coherence. Sets the architecture principles the function builds against. Scope: architecture across the platform function.</t>
        </is>
      </c>
      <c r="K21" s="4" t="inlineStr">
        <is>
          <t>Depth: Sets the org-wide platform-architecture vision and the socio-technical structure to realize it. Pioneers an architecture other orgs study. Scope: org-wide platform architecture.</t>
        </is>
      </c>
    </row>
    <row r="22">
      <c r="A22" s="4" t="inlineStr">
        <is>
          <t>Technical Direction &amp; Architecture</t>
        </is>
      </c>
      <c r="B22" s="4" t="inlineStr">
        <is>
          <t>Architecture &amp; Standards</t>
        </is>
      </c>
      <c r="C22" s="4" t="inlineStr">
        <is>
          <t>Engineering standards &amp; quality</t>
        </is>
      </c>
      <c r="D22" s="6" t="inlineStr">
        <is>
          <t>SWE-02</t>
        </is>
      </c>
      <c r="E22" s="4" t="inlineStr">
        <is>
          <t>Humble &amp; Farley, Continuous Delivery (2010)</t>
        </is>
      </c>
      <c r="F22" s="4" t="inlineStr">
        <is>
          <t>Depth: Holds the team to engineering standards across CI, testing, code review, and deployment safety. Raises a slipping quality practice such as test coverage or review rigor on the team. Scope: standards on one platform team.</t>
        </is>
      </c>
      <c r="G22" s="4" t="inlineStr">
        <is>
          <t>Depth: Sets the quality bar for a critical platform team, including continuous delivery, progressive delivery, and change safety. Installs a delivery-safety practice that measurably cuts change-failure rate. Scope: standards for a high-stakes platform team.</t>
        </is>
      </c>
      <c r="H22" s="4" t="inlineStr">
        <is>
          <t>Depth: Sets the engineering-standards baseline other platform teams adopt. Defines the CI/CD and quality standard several teams now build to. Scope: standards across a cross-team domain.</t>
        </is>
      </c>
      <c r="I22" s="4" t="inlineStr">
        <is>
          <t>Depth: Builds the engineering-excellence model a sub-org runs on, from golden paths for quality to paved CI/CD and standards governance. Makes high-quality delivery the default path across the sub-org. Scope: standards across a platform sub-org.</t>
        </is>
      </c>
      <c r="J22" s="4" t="inlineStr">
        <is>
          <t>Depth: Drives the function's engineering-quality strategy and its link to delivery performance. Sets the quality standard the function commits to. Scope: standards across the platform function.</t>
        </is>
      </c>
      <c r="K22" s="4" t="inlineStr">
        <is>
          <t>Depth: Sets the org-wide engineering-quality bar. Pioneers a standards model other functions adopt. Scope: org-wide engineering standards.</t>
        </is>
      </c>
    </row>
    <row r="23">
      <c r="A23" s="4" t="inlineStr">
        <is>
          <t>Technical Direction &amp; Architecture</t>
        </is>
      </c>
      <c r="B23" s="4" t="inlineStr">
        <is>
          <t>Architecture &amp; Standards</t>
        </is>
      </c>
      <c r="C23" s="4" t="inlineStr">
        <is>
          <t>Technical debt &amp; modernization</t>
        </is>
      </c>
      <c r="D23" s="6" t="inlineStr">
        <is>
          <t>EM-15</t>
        </is>
      </c>
      <c r="E23" s="4" t="inlineStr">
        <is>
          <t>Cunningham, The WyCash Portfolio Management System (1992)</t>
        </is>
      </c>
      <c r="F23" s="4" t="inlineStr">
        <is>
          <t>Depth: Tracks the team's tech debt and budgets time to pay it down deliberately. Makes a debt trade-off explicit in planning rather than letting it accrue silently. Scope: debt on one platform team.</t>
        </is>
      </c>
      <c r="G23" s="4" t="inlineStr">
        <is>
          <t>Depth: Manages debt and modernization for a critical platform area, sequencing paydown against risk. Funds and lands a modernization that removes a systemic drag on the team. Scope: debt for a high-stakes platform team.</t>
        </is>
      </c>
      <c r="H23" s="4" t="inlineStr">
        <is>
          <t>Depth: Sets the debt-management standard other platform teams adopt. Defines the debt-accounting and modernization practice several teams now prioritize with. Scope: debt strategy across a cross-team domain.</t>
        </is>
      </c>
      <c r="I23" s="4" t="inlineStr">
        <is>
          <t>Depth: Builds the modernization roadmap a sub-org runs on, balancing debt paydown against new capability. Wins sustained investment for a sub-org-wide modernization others deprioritized. Scope: modernization across a platform sub-org.</t>
        </is>
      </c>
      <c r="J23" s="4" t="inlineStr">
        <is>
          <t>Depth: Drives the function's technical-health and modernization strategy. Sets the debt and modernization commitments the function makes. Scope: technical health across the platform function.</t>
        </is>
      </c>
      <c r="K23" s="4" t="inlineStr">
        <is>
          <t>Depth: Sets the org-wide posture on technical debt and legacy modernization. Pioneers a debt-management model the business funds against. Scope: org-wide modernization.</t>
        </is>
      </c>
    </row>
    <row r="24">
      <c r="A24" s="4" t="inlineStr">
        <is>
          <t>Technical Direction &amp; Architecture</t>
        </is>
      </c>
      <c r="B24" s="4" t="inlineStr">
        <is>
          <t>Technical Strategy &amp; Risk</t>
        </is>
      </c>
      <c r="C24" s="4" t="inlineStr">
        <is>
          <t>Technical strategy &amp; investment</t>
        </is>
      </c>
      <c r="D24" s="6" t="inlineStr">
        <is>
          <t>LI-03</t>
        </is>
      </c>
      <c r="E24" s="4" t="inlineStr">
        <is>
          <t>Larson, An Elegant Puzzle (2019); Wardley Maps (2016)</t>
        </is>
      </c>
      <c r="F24" s="4" t="inlineStr">
        <is>
          <t>Depth: Connects the team's technical choices to a coherent direction. Frames a build decision as a bet with a stated rationale, not an ad-hoc pick. Scope: technical direction for one platform team.</t>
        </is>
      </c>
      <c r="G24" s="4" t="inlineStr">
        <is>
          <t>Depth: Sets multi-quarter technical strategy for a critical platform area, sequencing investment by leverage. Makes a hard technical-investment call such as rebuild versus extend and defends it with evidence. Scope: technical strategy for a high-stakes platform team.</t>
        </is>
      </c>
      <c r="H24" s="4" t="inlineStr">
        <is>
          <t>Depth: Sets a cross-team technical strategy other teams align to. Publishes a domain technical strategy or Wardley map that redirects where several teams invest. Scope: technical strategy across a cross-team domain.</t>
        </is>
      </c>
      <c r="I24" s="4" t="inlineStr">
        <is>
          <t>Depth: Builds the technical-investment thesis a sub-org executes, deciding where to concentrate platform bets over years. Frames the small set of bets the sub-org organizes its roadmap around. Scope: technical strategy across a platform sub-org.</t>
        </is>
      </c>
      <c r="J24" s="4" t="inlineStr">
        <is>
          <t>Depth: Drives the function's technical strategy and its alignment to business strategy. Sets the technology bets the function commits capital and headcount to. Scope: technical strategy across the platform function.</t>
        </is>
      </c>
      <c r="K24" s="4" t="inlineStr">
        <is>
          <t>Depth: Sets the org-wide platform-technology direction and the long-horizon infrastructure bets. Pioneers a technical strategy the company's product strategy depends on. Scope: org-wide technical strategy.</t>
        </is>
      </c>
    </row>
    <row r="25">
      <c r="A25" s="4" t="inlineStr">
        <is>
          <t>Technical Direction &amp; Architecture</t>
        </is>
      </c>
      <c r="B25" s="4" t="inlineStr">
        <is>
          <t>Technical Strategy &amp; Risk</t>
        </is>
      </c>
      <c r="C25" s="4" t="inlineStr">
        <is>
          <t>Vendor &amp; build/buy/adopt strategy</t>
        </is>
      </c>
      <c r="D25" s="6" t="inlineStr">
        <is>
          <t>EM-06</t>
        </is>
      </c>
      <c r="E25" s="4" t="inlineStr">
        <is>
          <t>Korn Ferry Leadership Architect (2014) - Financial Acumen</t>
        </is>
      </c>
      <c r="F25" s="4" t="inlineStr">
        <is>
          <t>Depth: Makes build/buy/adopt calls for the team's tooling with a stated cost and benefit. Avoids building something a supported off-the-shelf option already solves. Scope: build/buy for one platform team.</t>
        </is>
      </c>
      <c r="G25" s="4" t="inlineStr">
        <is>
          <t>Depth: Runs build/buy/adopt and vendor evaluations for a critical platform area, including total cost of ownership and lock-in risk. Negotiates or selects a platform vendor on a defensible total-cost basis. Scope: build/buy for a high-stakes platform team.</t>
        </is>
      </c>
      <c r="H25" s="4" t="inlineStr">
        <is>
          <t>Depth: Sets the build/buy/adopt decision standard other platform teams use. Defines the evaluation and vendor-selection framework several teams now decide with. Scope: sourcing strategy across a cross-team domain.</t>
        </is>
      </c>
      <c r="I25" s="4" t="inlineStr">
        <is>
          <t>Depth: Builds the vendor and sourcing strategy a sub-org runs on, managing the platform supplier portfolio and consolidation. Drives a sub-org-wide build-versus-buy decision with material budget impact. Scope: sourcing across a platform sub-org.</t>
        </is>
      </c>
      <c r="J25" s="4" t="inlineStr">
        <is>
          <t>Depth: Drives the function's build/buy and vendor strategy and its capital implications. Sets the sourcing principles and major vendor relationships the function commits to. Scope: sourcing across the platform function.</t>
        </is>
      </c>
      <c r="K25" s="4" t="inlineStr">
        <is>
          <t>Depth: Sets the org-wide platform build-versus-buy posture and negotiates strategic supplier relationships. Pioneers a sourcing strategy the business plans capital around. Scope: org-wide sourcing and vendor strategy.</t>
        </is>
      </c>
    </row>
    <row r="26">
      <c r="A26" s="4" t="inlineStr">
        <is>
          <t>Technical Direction &amp; Architecture</t>
        </is>
      </c>
      <c r="B26" s="4" t="inlineStr">
        <is>
          <t>Technical Strategy &amp; Risk</t>
        </is>
      </c>
      <c r="C26" s="4" t="inlineStr">
        <is>
          <t>Secure-by-default platform &amp; guardrails</t>
        </is>
      </c>
      <c r="D26" s="6" t="inlineStr">
        <is>
          <t>SEC-18</t>
        </is>
      </c>
      <c r="E26" s="4" t="inlineStr">
        <is>
          <t>OWASP, Application Security Verification Standard (v4, 2019)</t>
        </is>
      </c>
      <c r="F26" s="4" t="inlineStr">
        <is>
          <t>Depth: Holds the team to security and compliance baselines. Bakes a security control into the platform so users get it by default rather than bolting it on. Scope: security posture for one platform team's surface.</t>
        </is>
      </c>
      <c r="G26" s="4" t="inlineStr">
        <is>
          <t>Depth: Owns the security and compliance posture for a critical platform area, managing risk and remediation. Closes a systemic vulnerability class through a platform control rather than one-off fixes. Scope: security for a high-stakes platform team.</t>
        </is>
      </c>
      <c r="H26" s="4" t="inlineStr">
        <is>
          <t>Depth: Sets the security and compliance standard other platform teams adopt. Defines the paved-road security controls several teams now inherit by default. Scope: security posture across a cross-team domain.</t>
        </is>
      </c>
      <c r="I26" s="4" t="inlineStr">
        <is>
          <t>Depth: Builds the security and compliance operating model a sub-org runs on, from controls-as-code to audit readiness and risk governance. Makes secure-by-default the path of least resistance across the sub-org. Scope: security across a platform sub-org.</t>
        </is>
      </c>
      <c r="J26" s="4" t="inlineStr">
        <is>
          <t>Depth: Drives the function's security and risk strategy and its regulatory posture. Sets the risk commitments and compliance guarantees the function owns. Scope: security across the platform function.</t>
        </is>
      </c>
      <c r="K26" s="4" t="inlineStr">
        <is>
          <t>Depth: Sets the org-wide platform-security and risk posture. Pioneers a secure-platform model auditors and peers reference. Scope: org-wide security and risk.</t>
        </is>
      </c>
    </row>
    <row r="27">
      <c r="A27" s="4" t="inlineStr">
        <is>
          <t>Delivery &amp; Execution</t>
        </is>
      </c>
      <c r="B27" s="4" t="inlineStr">
        <is>
          <t>Planning &amp; Prioritization</t>
        </is>
      </c>
      <c r="C27" s="4" t="inlineStr">
        <is>
          <t>Planning &amp; estimation</t>
        </is>
      </c>
      <c r="D27" s="6" t="inlineStr">
        <is>
          <t>PD-04</t>
        </is>
      </c>
      <c r="E27" s="4" t="inlineStr">
        <is>
          <t>McConnell, Software Estimation (2006)</t>
        </is>
      </c>
      <c r="F27" s="4" t="inlineStr">
        <is>
          <t>Depth: Runs the team's planning with realistic, range-based estimates. Surfaces a schedule risk early instead of discovering the slip at the deadline. Scope: planning for one platform team.</t>
        </is>
      </c>
      <c r="G27" s="4" t="inlineStr">
        <is>
          <t>Depth: Plans complex, cross-dependent platform work with calibrated estimates and buffers. Replans a high-stakes platform delivery mid-flight without losing the commitment. Scope: planning for a critical platform team.</t>
        </is>
      </c>
      <c r="H27" s="4" t="inlineStr">
        <is>
          <t>Depth: Sets the planning and estimation standard other platform teams adopt. Defines the forecasting practice several teams now plan with. Scope: planning across a cross-team domain.</t>
        </is>
      </c>
      <c r="I27" s="4" t="inlineStr">
        <is>
          <t>Depth: Builds the planning operating model a sub-org runs on, from commitment framing to capacity-based forecasting and uncertainty comms. Makes sub-org delivery forecasts credible to stakeholders. Scope: planning across a platform sub-org.</t>
        </is>
      </c>
      <c r="J27" s="4" t="inlineStr">
        <is>
          <t>Depth: Drives the function's planning cadence and its integration with company planning. Sets the planning discipline the function commits to. Scope: planning across the platform function.</t>
        </is>
      </c>
      <c r="K27" s="4" t="inlineStr">
        <is>
          <t>Depth: Sets the org-wide planning model for platform investment. Pioneers a forecasting practice other functions adopt. Scope: org-wide platform planning.</t>
        </is>
      </c>
    </row>
    <row r="28">
      <c r="A28" s="4" t="inlineStr">
        <is>
          <t>Delivery &amp; Execution</t>
        </is>
      </c>
      <c r="B28" s="4" t="inlineStr">
        <is>
          <t>Planning &amp; Prioritization</t>
        </is>
      </c>
      <c r="C28" s="4" t="inlineStr">
        <is>
          <t>Prioritization &amp; trade-offs</t>
        </is>
      </c>
      <c r="D28" s="6" t="inlineStr">
        <is>
          <t>PD-02</t>
        </is>
      </c>
      <c r="E28" s="4" t="inlineStr">
        <is>
          <t>Reinertsen, The Principles of Product Development Flow (2009)</t>
        </is>
      </c>
      <c r="F28" s="4" t="inlineStr">
        <is>
          <t>Depth: Prioritizes the team's backlog against value and urgency. Says no to a low-value request with a clear rationale rather than absorbing everything. Scope: prioritization for one platform team.</t>
        </is>
      </c>
      <c r="G28" s="4" t="inlineStr">
        <is>
          <t>Depth: Makes hard prioritization calls for a critical platform area using cost-of-delay thinking. Defends a contested platform trade-off between competing stakeholder demands. Scope: prioritization for a high-stakes platform team.</t>
        </is>
      </c>
      <c r="H28" s="4" t="inlineStr">
        <is>
          <t>Depth: Sets the prioritization framework other platform teams adopt. Installs a cost-of-delay or WSJF practice several teams now sequence with. Scope: prioritization across a cross-team domain.</t>
        </is>
      </c>
      <c r="I28" s="4" t="inlineStr">
        <is>
          <t>Depth: Builds the portfolio-prioritization model a sub-org allocates by, balancing platform bets against keep-the-lights-on. Arbitrates a sub-org-wide trade-off that reallocates investment. Scope: prioritization across a platform sub-org.</t>
        </is>
      </c>
      <c r="J28" s="4" t="inlineStr">
        <is>
          <t>Depth: Drives how the function prioritizes across competing business demands. Sets the prioritization principles the function commits capacity against. Scope: prioritization across the platform function.</t>
        </is>
      </c>
      <c r="K28" s="4" t="inlineStr">
        <is>
          <t>Depth: Sets the org-wide framework for prioritizing platform investment. Pioneers a portfolio-prioritization model other functions adopt. Scope: org-wide prioritization.</t>
        </is>
      </c>
    </row>
    <row r="29">
      <c r="A29" s="4" t="inlineStr">
        <is>
          <t>Delivery &amp; Execution</t>
        </is>
      </c>
      <c r="B29" s="4" t="inlineStr">
        <is>
          <t>Planning &amp; Prioritization</t>
        </is>
      </c>
      <c r="C29" s="4" t="inlineStr">
        <is>
          <t>Capacity &amp; resource allocation</t>
        </is>
      </c>
      <c r="D29" s="6" t="inlineStr">
        <is>
          <t>EM-05</t>
        </is>
      </c>
      <c r="E29" s="4" t="inlineStr">
        <is>
          <t>Brooks, The Mythical Man-Month (1975)</t>
        </is>
      </c>
      <c r="F29" s="4" t="inlineStr">
        <is>
          <t>Depth: Allocates the team's capacity across roadmap, on-call, and interrupts. Protects focus time rather than fragmenting the team across too many fronts. Scope: capacity for one platform team.</t>
        </is>
      </c>
      <c r="G29" s="4" t="inlineStr">
        <is>
          <t>Depth: Balances capacity for a critical platform team across delivery, reliability, and toil. Rebalances staffing to unblock a priority without wrecking sustainability. Scope: capacity for a high-stakes platform team.</t>
        </is>
      </c>
      <c r="H29" s="4" t="inlineStr">
        <is>
          <t>Depth: Sets the capacity-allocation standard other platform leads use. Defines the staffing and load-balancing model several teams now allocate with. Scope: allocation across a cross-team domain.</t>
        </is>
      </c>
      <c r="I29" s="4" t="inlineStr">
        <is>
          <t>Depth: Builds the resource-allocation model a sub-org runs on, mapping headcount to bets with realistic ramp and no linear-scaling assumptions. Reallocates capacity across a sub-org to match investment shifts. Scope: allocation across a platform sub-org.</t>
        </is>
      </c>
      <c r="J29" s="4" t="inlineStr">
        <is>
          <t>Depth: Drives how the function allocates headcount against strategy. Sets the resourcing principles the function plans against. Scope: allocation across the platform function.</t>
        </is>
      </c>
      <c r="K29" s="4" t="inlineStr">
        <is>
          <t>Depth: Sets the org-wide model for allocating platform capacity. Pioneers a resourcing approach other functions adopt. Scope: org-wide capacity allocation.</t>
        </is>
      </c>
    </row>
    <row r="30">
      <c r="A30" s="4" t="inlineStr">
        <is>
          <t>Delivery &amp; Execution</t>
        </is>
      </c>
      <c r="B30" s="4" t="inlineStr">
        <is>
          <t>Delivery Management</t>
        </is>
      </c>
      <c r="C30" s="4" t="inlineStr">
        <is>
          <t>Predictable delivery &amp; flow</t>
        </is>
      </c>
      <c r="D30" s="6" t="inlineStr">
        <is>
          <t>EM-07</t>
        </is>
      </c>
      <c r="E30" s="4" t="inlineStr">
        <is>
          <t>Forsgren, Humble &amp; Kim, Accelerate (2018)</t>
        </is>
      </c>
      <c r="F30" s="4" t="inlineStr">
        <is>
          <t>Depth: Runs the team to a predictable delivery cadence with small batches. Removes a recurring flow blocker such as a handoff, review lag, or big-batch release that stalls delivery. Scope: delivery flow for one platform team.</t>
        </is>
      </c>
      <c r="G30" s="4" t="inlineStr">
        <is>
          <t>Depth: Engineers predictable delivery for a critical platform team under real operational load. Stabilizes a team's delivery so its commitments become trustworthy. Scope: flow for a high-stakes platform team.</t>
        </is>
      </c>
      <c r="H30" s="4" t="inlineStr">
        <is>
          <t>Depth: Sets the delivery-flow standard other platform teams adopt. Defines the flow and batch-size practice several teams now deliver with. Scope: delivery flow across a cross-team domain.</t>
        </is>
      </c>
      <c r="I30" s="4" t="inlineStr">
        <is>
          <t>Depth: Builds the delivery operating model a sub-org runs on, from flow metrics to dependency management and cadence. Makes a sub-org's delivery predictable through the leaders who run each team. Scope: flow across a platform sub-org.</t>
        </is>
      </c>
      <c r="J30" s="4" t="inlineStr">
        <is>
          <t>Depth: Drives the function's delivery performance and its link to business outcomes. Sets the flow and predictability standard the function commits to. Scope: delivery across the platform function.</t>
        </is>
      </c>
      <c r="K30" s="4" t="inlineStr">
        <is>
          <t>Depth: Sets the org-wide expectation for delivery performance. Pioneers a flow model other functions adopt. Scope: org-wide delivery flow.</t>
        </is>
      </c>
    </row>
    <row r="31">
      <c r="A31" s="4" t="inlineStr">
        <is>
          <t>Delivery &amp; Execution</t>
        </is>
      </c>
      <c r="B31" s="4" t="inlineStr">
        <is>
          <t>Delivery Management</t>
        </is>
      </c>
      <c r="C31" s="4" t="inlineStr">
        <is>
          <t>Engineering metrics &amp; delivery health</t>
        </is>
      </c>
      <c r="D31" s="6" t="inlineStr">
        <is>
          <t>EM-09</t>
        </is>
      </c>
      <c r="E31" s="4" t="inlineStr">
        <is>
          <t>Forsgren, Humble &amp; Kim, Accelerate (2018) - DORA four keys; SPACE (2021)</t>
        </is>
      </c>
      <c r="F31" s="4" t="inlineStr">
        <is>
          <t>Depth: Tracks the team's DORA and SPACE signals and uses them to improve, not to rank people. Acts on a delivery-metric trend to fix an actual bottleneck. Scope: metrics for one platform team.</t>
        </is>
      </c>
      <c r="G31" s="4" t="inlineStr">
        <is>
          <t>Depth: Runs a metrics practice for a critical platform team that resists gaming and connects to outcomes. Diagnoses a delivery-health problem from the four keys and fixes its root cause. Scope: metrics for a high-stakes platform team.</t>
        </is>
      </c>
      <c r="H31" s="4" t="inlineStr">
        <is>
          <t>Depth: Sets the delivery-metrics standard other platform teams adopt. Defines the DORA and SPACE measurement several teams now steer by. Scope: metrics across a cross-team domain.</t>
        </is>
      </c>
      <c r="I31" s="4" t="inlineStr">
        <is>
          <t>Depth: Builds the delivery-health measurement system a sub-org runs on, making metrics comparable and honest. Makes data-driven delivery improvement the norm across the sub-org. Scope: metrics across a platform sub-org.</t>
        </is>
      </c>
      <c r="J31" s="4" t="inlineStr">
        <is>
          <t>Depth: Drives how the function measures and reports delivery and developer productivity to the business. Sets the metrics the function commits to and defends against misuse. Scope: metrics across the platform function.</t>
        </is>
      </c>
      <c r="K31" s="4" t="inlineStr">
        <is>
          <t>Depth: Sets the org-wide definition of engineering delivery health. Pioneers a measurement model other functions adopt. Scope: org-wide delivery metrics.</t>
        </is>
      </c>
    </row>
    <row r="32">
      <c r="A32" s="4" t="inlineStr">
        <is>
          <t>Delivery &amp; Execution</t>
        </is>
      </c>
      <c r="B32" s="4" t="inlineStr">
        <is>
          <t>Delivery Management</t>
        </is>
      </c>
      <c r="C32" s="4" t="inlineStr">
        <is>
          <t>Process &amp; continuous improvement</t>
        </is>
      </c>
      <c r="D32" s="6" t="inlineStr">
        <is>
          <t>EM-08</t>
        </is>
      </c>
      <c r="E32" s="4" t="inlineStr">
        <is>
          <t>Deming, Out of the Crisis (1986)</t>
        </is>
      </c>
      <c r="F32" s="4" t="inlineStr">
        <is>
          <t>Depth: Runs retros that produce real changes. Removes a wasteful step from the team's process instead of adding ceremony. Scope: process for one platform team.</t>
        </is>
      </c>
      <c r="G32" s="4" t="inlineStr">
        <is>
          <t>Depth: Drives systemic process improvement on a critical platform team, attacking causes not symptoms. Lands a process change that measurably improves throughput or quality. Scope: process for a high-stakes platform team.</t>
        </is>
      </c>
      <c r="H32" s="4" t="inlineStr">
        <is>
          <t>Depth: Sets the continuous-improvement practice other platform teams adopt. Installs an improvement discipline several teams now run. Scope: improvement across a cross-team domain.</t>
        </is>
      </c>
      <c r="I32" s="4" t="inlineStr">
        <is>
          <t>Depth: Builds the operating rhythm and improvement system a sub-org runs on. Makes systematic improvement, not firefighting, the sub-org's default mode. Scope: process across a platform sub-org.</t>
        </is>
      </c>
      <c r="J32" s="4" t="inlineStr">
        <is>
          <t>Depth: Drives the function's operating model and its improvement discipline. Sets the process standards the function runs on. Scope: process across the platform function.</t>
        </is>
      </c>
      <c r="K32" s="4" t="inlineStr">
        <is>
          <t>Depth: Sets the org-wide operating model for platform. Pioneers a continuous-improvement practice other functions adopt. Scope: org-wide process.</t>
        </is>
      </c>
    </row>
    <row r="33">
      <c r="A33" s="4" t="inlineStr">
        <is>
          <t>Delivery &amp; Execution</t>
        </is>
      </c>
      <c r="B33" s="4" t="inlineStr">
        <is>
          <t>Delivery Management</t>
        </is>
      </c>
      <c r="C33" s="4" t="inlineStr">
        <is>
          <t>Dependency &amp; risk management</t>
        </is>
      </c>
      <c r="D33" s="6" t="inlineStr">
        <is>
          <t>RISK-01</t>
        </is>
      </c>
      <c r="E33" s="4" t="inlineStr">
        <is>
          <t>NIST Cybersecurity Framework (2014); PMI PMBOK (2021)</t>
        </is>
      </c>
      <c r="F33" s="4" t="inlineStr">
        <is>
          <t>Depth: Tracks the team's dependencies and risks. Flags and mitigates a cross-team dependency before it blocks delivery. Scope: dependencies for one platform team.</t>
        </is>
      </c>
      <c r="G33" s="4" t="inlineStr">
        <is>
          <t>Depth: Manages complex cross-team dependencies and risk for a critical platform. Unblocks a delivery stalled on another team's dependency through negotiation, not escalation alone. Scope: dependencies for a high-stakes platform team.</t>
        </is>
      </c>
      <c r="H33" s="4" t="inlineStr">
        <is>
          <t>Depth: Sets the dependency and risk-management standard other platform teams adopt. Defines the cross-team dependency and risk practice several teams now coordinate with. Scope: dependency management across a cross-team domain.</t>
        </is>
      </c>
      <c r="I33" s="4" t="inlineStr">
        <is>
          <t>Depth: Builds the risk and dependency-governance model a sub-org runs on, from risk registers to mitigation ownership and cross-team coordination. De-risks a sub-org-wide initiative with many moving dependencies. Scope: risk across a platform sub-org.</t>
        </is>
      </c>
      <c r="J33" s="4" t="inlineStr">
        <is>
          <t>Depth: Drives the function's approach to systemic and platform-wide risk. Sets the risk-management standard the function is accountable to. Scope: risk across the platform function.</t>
        </is>
      </c>
      <c r="K33" s="4" t="inlineStr">
        <is>
          <t>Depth: Sets the org-wide model for managing platform and infrastructure risk. Pioneers a risk practice other functions adopt. Scope: org-wide risk and dependencies.</t>
        </is>
      </c>
    </row>
    <row r="34">
      <c r="A34" s="4" t="inlineStr">
        <is>
          <t>Strategy, Communication &amp; Influence</t>
        </is>
      </c>
      <c r="B34" s="4" t="inlineStr">
        <is>
          <t>Strategy &amp; Change</t>
        </is>
      </c>
      <c r="C34" s="4" t="inlineStr">
        <is>
          <t>Strategy formulation</t>
        </is>
      </c>
      <c r="D34" s="6" t="inlineStr">
        <is>
          <t>STRAT-01</t>
        </is>
      </c>
      <c r="E34" s="4" t="inlineStr">
        <is>
          <t>Rumelt, Good Strategy Bad Strategy (2011)</t>
        </is>
      </c>
      <c r="F34" s="4" t="inlineStr">
        <is>
          <t>Depth: Frames the team's direction as a real strategy of diagnosis, guiding policy, and action. Names the core problem the team's strategy actually addresses rather than listing goals. Scope: strategy for one platform team.</t>
        </is>
      </c>
      <c r="G34" s="4" t="inlineStr">
        <is>
          <t>Depth: Formulates strategy for a critical platform area with a sharp diagnosis and honest trade-offs. Produces a platform strategy that says no to things, not just yes. Scope: strategy for a high-stakes platform team.</t>
        </is>
      </c>
      <c r="H34" s="4" t="inlineStr">
        <is>
          <t>Depth: Sets a cross-team platform strategy others align to. Publishes a domain strategy several teams reorient their plans around. Scope: strategy across a cross-team domain.</t>
        </is>
      </c>
      <c r="I34" s="4" t="inlineStr">
        <is>
          <t>Depth: Drives strategy for a platform sub-org, integrating multiple domains into one coherent guiding policy. Builds a sub-org strategy that survives exec scrutiny and reallocates real investment. Scope: strategy across a platform sub-org.</t>
        </is>
      </c>
      <c r="J34" s="4" t="inlineStr">
        <is>
          <t>Depth: Drives the function's strategy and its coupling to company strategy. Sets the strategic bets the function commits to and defends them at the top table. Scope: strategy across the platform function.</t>
        </is>
      </c>
      <c r="K34" s="4" t="inlineStr">
        <is>
          <t>Depth: Sets the org-wide platform strategy. Pioneers a strategic thesis the company's direction depends on. Scope: org-wide platform strategy.</t>
        </is>
      </c>
    </row>
    <row r="35">
      <c r="A35" s="4" t="inlineStr">
        <is>
          <t>Strategy, Communication &amp; Influence</t>
        </is>
      </c>
      <c r="B35" s="4" t="inlineStr">
        <is>
          <t>Strategy &amp; Change</t>
        </is>
      </c>
      <c r="C35" s="4" t="inlineStr">
        <is>
          <t>Leading change &amp; transformation</t>
        </is>
      </c>
      <c r="D35" s="6" t="inlineStr">
        <is>
          <t>EM-12</t>
        </is>
      </c>
      <c r="E35" s="4" t="inlineStr">
        <is>
          <t>Kotter, Leading Change (1996)</t>
        </is>
      </c>
      <c r="F35" s="4" t="inlineStr">
        <is>
          <t>Depth: Leads change on the team by building buy-in, not decree. Gets a team through a tooling or process change without losing people or momentum. Scope: change on one platform team.</t>
        </is>
      </c>
      <c r="G35" s="4" t="inlineStr">
        <is>
          <t>Depth: Drives a significant change on a critical platform team against resistance. Builds the coalition that makes a hard platform migration or reorg stick. Scope: change for a high-stakes platform team.</t>
        </is>
      </c>
      <c r="H35" s="4" t="inlineStr">
        <is>
          <t>Depth: Sets the change-leadership approach other platform leads adopt. Drives a cross-team transformation through the leaders who own each team. Scope: change across a cross-team domain.</t>
        </is>
      </c>
      <c r="I35" s="4" t="inlineStr">
        <is>
          <t>Depth: Leads sub-org-wide transformation, sequencing urgency, coalition, and consolidation. Lands a sub-org change that outlives the initial push. Scope: change across a platform sub-org.</t>
        </is>
      </c>
      <c r="J35" s="4" t="inlineStr">
        <is>
          <t>Depth: Drives change across the function and into its partner orgs. Sets the change the function leads and sustains. Scope: change across the platform function.</t>
        </is>
      </c>
      <c r="K35" s="4" t="inlineStr">
        <is>
          <t>Depth: Sets and leads org-wide platform transformation. Pioneers a change other functions model theirs on. Scope: org-wide transformation.</t>
        </is>
      </c>
    </row>
    <row r="36">
      <c r="A36" s="4" t="inlineStr">
        <is>
          <t>Strategy, Communication &amp; Influence</t>
        </is>
      </c>
      <c r="B36" s="4" t="inlineStr">
        <is>
          <t>Strategy &amp; Change</t>
        </is>
      </c>
      <c r="C36" s="4" t="inlineStr">
        <is>
          <t>Organizational &amp; team design</t>
        </is>
      </c>
      <c r="D36" s="6" t="inlineStr">
        <is>
          <t>EM-04</t>
        </is>
      </c>
      <c r="E36" s="4" t="inlineStr">
        <is>
          <t>Skelton &amp; Pais, Team Topologies (2019); Conway (1968)</t>
        </is>
      </c>
      <c r="F36" s="4" t="inlineStr">
        <is>
          <t>Depth: Shapes the team's roles, boundaries, and interaction modes deliberately. Clarifies a fuzzy team boundary that was causing thrash. Scope: team design for one platform team.</t>
        </is>
      </c>
      <c r="G36" s="4" t="inlineStr">
        <is>
          <t>Depth: Designs the structure of a critical platform team and its interaction modes, whether X-as-a-service or collaboration. Restructures a team so its boundary matches the platform it owns. Scope: team design for a high-stakes platform team.</t>
        </is>
      </c>
      <c r="H36" s="4" t="inlineStr">
        <is>
          <t>Depth: Sets the team-topology approach other platform leads adopt. Redesigns team boundaries across the domain to cut cross-team cognitive load. Scope: org design across a cross-team domain.</t>
        </is>
      </c>
      <c r="I36" s="4" t="inlineStr">
        <is>
          <t>Depth: Designs the org structure of a platform sub-org using stream-aligned, platform, and enabling patterns. Proposes and drives a sub-org reshape that improves flow. Scope: org design across a platform sub-org.</t>
        </is>
      </c>
      <c r="J36" s="4" t="inlineStr">
        <is>
          <t>Depth: Drives the function's org design and its Conway-aligned interfaces to product orgs. Sets the operating structure the function runs on. Scope: org design across the platform function.</t>
        </is>
      </c>
      <c r="K36" s="4" t="inlineStr">
        <is>
          <t>Depth: Sets the org-wide socio-technical structure for platform. Pioneers an operating model other functions adopt. Scope: org-wide org design.</t>
        </is>
      </c>
    </row>
    <row r="37">
      <c r="A37" s="4" t="inlineStr">
        <is>
          <t>Strategy, Communication &amp; Influence</t>
        </is>
      </c>
      <c r="B37" s="4" t="inlineStr">
        <is>
          <t>Communication &amp; Influence</t>
        </is>
      </c>
      <c r="C37" s="4" t="inlineStr">
        <is>
          <t>Executive &amp; stakeholder communication</t>
        </is>
      </c>
      <c r="D37" s="6" t="inlineStr">
        <is>
          <t>CC-06</t>
        </is>
      </c>
      <c r="E37" s="4" t="inlineStr">
        <is>
          <t>Duarte, HBR Guide to Persuasive Presentations (2012)</t>
        </is>
      </c>
      <c r="F37" s="4" t="inlineStr">
        <is>
          <t>Depth: Communicates the team's work clearly to stakeholders, tuned to the audience. Translates a technical platform issue into terms a non-engineer decision-maker acts on. Scope: communication for one platform team.</t>
        </is>
      </c>
      <c r="G37" s="4" t="inlineStr">
        <is>
          <t>Depth: Represents a critical platform area to senior stakeholders with a clear narrative under scrutiny. Gets a skeptical stakeholder to a decision through a well-framed case. Scope: communication for a high-stakes platform team.</t>
        </is>
      </c>
      <c r="H37" s="4" t="inlineStr">
        <is>
          <t>Depth: Sets the communication standard other platform leads adopt. Crafts the platform narrative several teams reuse to align stakeholders. Scope: communication across a cross-team domain.</t>
        </is>
      </c>
      <c r="I37" s="4" t="inlineStr">
        <is>
          <t>Depth: Drives the platform narrative to executive audiences and wins decisions and funding. Turns a complex platform investment into an exec-level story that lands the budget. Scope: exec communication for a platform sub-org.</t>
        </is>
      </c>
      <c r="J37" s="4" t="inlineStr">
        <is>
          <t>Depth: Represents developer productivity and platform value to the top of the company. Sets how the function tells its story to the board and business. Scope: communication across the platform function.</t>
        </is>
      </c>
      <c r="K37" s="4" t="inlineStr">
        <is>
          <t>Depth: Sets the org-wide platform narrative. Speaks for platform to the board and externally as a recognized voice. Scope: org-wide and external communication.</t>
        </is>
      </c>
    </row>
    <row r="38">
      <c r="A38" s="4" t="inlineStr">
        <is>
          <t>Strategy, Communication &amp; Influence</t>
        </is>
      </c>
      <c r="B38" s="4" t="inlineStr">
        <is>
          <t>Communication &amp; Influence</t>
        </is>
      </c>
      <c r="C38" s="4" t="inlineStr">
        <is>
          <t>Stakeholder management &amp; partnership</t>
        </is>
      </c>
      <c r="D38" s="6" t="inlineStr">
        <is>
          <t>PM-13</t>
        </is>
      </c>
      <c r="E38" s="4" t="inlineStr">
        <is>
          <t>Freeman, Strategic Management: A Stakeholder Approach (1984)</t>
        </is>
      </c>
      <c r="F38" s="4" t="inlineStr">
        <is>
          <t>Depth: Builds working relationships with the platform's stakeholder teams. Turns a frustrated internal customer into a collaborating partner. Scope: stakeholders for one platform team.</t>
        </is>
      </c>
      <c r="G38" s="4" t="inlineStr">
        <is>
          <t>Depth: Manages a complex, multi-stakeholder relationship for a critical platform, balancing conflicting needs. Brokers a durable agreement between platform and a demanding consumer team. Scope: stakeholders for a high-stakes platform team.</t>
        </is>
      </c>
      <c r="H38" s="4" t="inlineStr">
        <is>
          <t>Depth: Sets the stakeholder-partnership approach other platform leads adopt. Builds the cross-team partnership model several teams manage relationships through. Scope: stakeholder management across a cross-team domain.</t>
        </is>
      </c>
      <c r="I38" s="4" t="inlineStr">
        <is>
          <t>Depth: Builds the stakeholder-governance model a sub-org runs on, from partnership forums to expectation-setting and escalation paths. Realigns a strained sub-org-level partnership with a major consumer org. Scope: partnership across a platform sub-org.</t>
        </is>
      </c>
      <c r="J38" s="4" t="inlineStr">
        <is>
          <t>Depth: Drives the function's key executive and cross-functional partnerships. Sets the partnership approach the function relies on. Scope: partnership across the platform function.</t>
        </is>
      </c>
      <c r="K38" s="4" t="inlineStr">
        <is>
          <t>Depth: Sets the org-wide model for platform's partnerships. Pioneers a stakeholder approach other functions adopt. Scope: org-wide partnership.</t>
        </is>
      </c>
    </row>
    <row r="39">
      <c r="A39" s="4" t="inlineStr">
        <is>
          <t>Strategy, Communication &amp; Influence</t>
        </is>
      </c>
      <c r="B39" s="4" t="inlineStr">
        <is>
          <t>Communication &amp; Influence</t>
        </is>
      </c>
      <c r="C39" s="4" t="inlineStr">
        <is>
          <t>Cross-org influence &amp; alignment</t>
        </is>
      </c>
      <c r="D39" s="6" t="inlineStr">
        <is>
          <t>LI-07</t>
        </is>
      </c>
      <c r="E39" s="4" t="inlineStr">
        <is>
          <t>Cohen &amp; Bradford, Influence Without Authority (1989); Bungay, The Art of Action (2011)</t>
        </is>
      </c>
      <c r="F39" s="4" t="inlineStr">
        <is>
          <t>Depth: Gets outcomes from teams they do not manage through reciprocity and clarity. Aligns another team to a shared platform goal without authority over them. Scope: influence for one platform team.</t>
        </is>
      </c>
      <c r="G39" s="4" t="inlineStr">
        <is>
          <t>Depth: Aligns multiple teams around a critical platform direction under real disagreement. Builds cross-team agreement on a contested platform standard. Scope: influence for a high-stakes platform team.</t>
        </is>
      </c>
      <c r="H39" s="4" t="inlineStr">
        <is>
          <t>Depth: Sets the alignment approach other platform leads adopt. Drives alignment across a domain by clear intent, commander's-intent style, rather than escalation. Scope: influence across a cross-team domain.</t>
        </is>
      </c>
      <c r="I39" s="4" t="inlineStr">
        <is>
          <t>Depth: Builds cross-org alignment a sub-org depends on, aligning peer orgs to platform direction. Wins peer-org buy-in for a sub-org-wide platform initiative. Scope: influence across a platform sub-org.</t>
        </is>
      </c>
      <c r="J39" s="4" t="inlineStr">
        <is>
          <t>Depth: Drives alignment across the function's peer organizations at the leadership level. Sets the alignment mechanisms the function relies on to move the wider org. Scope: influence across the platform function.</t>
        </is>
      </c>
      <c r="K39" s="4" t="inlineStr">
        <is>
          <t>Depth: Sets org-wide alignment on platform direction. Pioneers an influence model that aligns the whole company behind platform bets. Scope: org-wide influence.</t>
        </is>
      </c>
    </row>
    <row r="40">
      <c r="A40" s="4" t="inlineStr">
        <is>
          <t>Self &amp; Personal Effectiveness</t>
        </is>
      </c>
      <c r="B40" s="4" t="inlineStr">
        <is>
          <t>Leverage &amp; Delegation</t>
        </is>
      </c>
      <c r="C40" s="4" t="inlineStr">
        <is>
          <t>Managerial leverage &amp; focus</t>
        </is>
      </c>
      <c r="D40" s="6" t="inlineStr">
        <is>
          <t>EM-16</t>
        </is>
      </c>
      <c r="E40" s="4" t="inlineStr">
        <is>
          <t>Grove, High Output Management (1983); Drucker (1967)</t>
        </is>
      </c>
      <c r="F40" s="4" t="inlineStr">
        <is>
          <t>Depth: Spends their own time on the few activities that most move the team, and audits where it actually goes. Drops a low-leverage habit such as reviewing every change themselves once they see its cost. Scope: personal leverage on one platform team.</t>
        </is>
      </c>
      <c r="G40" s="4" t="inlineStr">
        <is>
          <t>Depth: Redesigns their week around the highest-leverage work on a high-stakes team — the decisions, unblocks, and reviews only they can do — and hands off the rest. Restructures how they spend time so a critical platform team stops waiting on them. Scope: personal leverage on a critical platform team.</t>
        </is>
      </c>
      <c r="H40" s="4" t="inlineStr">
        <is>
          <t>Depth: Sets the leverage practice other platform leads pick up, favoring mechanisms that multiply reach over adding meetings. Publishes an operating cadence several leads adopt to reclaim their own high-leverage time. Scope: leverage practice across a cross-team domain.</t>
        </is>
      </c>
      <c r="I40" s="4" t="inlineStr">
        <is>
          <t>Depth: Builds the operating rhythm a platform sub-org runs on so decisions happen at the lowest capable level rather than on one desk. Removes themselves as a bottleneck across the sub-org by installing the mechanisms that decide without them. Scope: leverage across a platform sub-org.</t>
        </is>
      </c>
      <c r="J40" s="4" t="inlineStr">
        <is>
          <t>Depth: Drives how the function protects its leaders' focus and concentrates effort on the few bets that matter. Sets the focus and leverage norms leaders across the function organize their time around. Scope: leverage across the platform function.</t>
        </is>
      </c>
      <c r="K40" s="4" t="inlineStr">
        <is>
          <t>Depth: Sets the org-wide expectation for how platform leadership spends its scarce attention. Pioneers a leverage model peer functions adopt. Scope: org-wide leadership leverage.</t>
        </is>
      </c>
    </row>
    <row r="41">
      <c r="A41" s="4" t="inlineStr">
        <is>
          <t>Self &amp; Personal Effectiveness</t>
        </is>
      </c>
      <c r="B41" s="4" t="inlineStr">
        <is>
          <t>Leverage &amp; Delegation</t>
        </is>
      </c>
      <c r="C41" s="4" t="inlineStr">
        <is>
          <t>Delegation &amp; empowerment</t>
        </is>
      </c>
      <c r="D41" s="6" t="inlineStr">
        <is>
          <t>EM-14</t>
        </is>
      </c>
      <c r="E41" s="4" t="inlineStr">
        <is>
          <t>Marquet, Turn the Ship Around! (2012)</t>
        </is>
      </c>
      <c r="F41" s="4" t="inlineStr">
        <is>
          <t>Depth: Delegates real ownership, not just tasks, and matches each handoff to the engineer's readiness. Hands a platform workstream to an engineer with the decision rights to run it, then holds back. Scope: delegation on one platform team.</t>
        </is>
      </c>
      <c r="G41" s="4" t="inlineStr">
        <is>
          <t>Depth: Empowers senior engineers and leads to own hard, ambiguous platform work and make the calls themselves. Grows a report into someone who runs a critical workstream end to end without checking in. Scope: delegation on a critical platform team.</t>
        </is>
      </c>
      <c r="H41" s="4" t="inlineStr">
        <is>
          <t>Depth: Sets the delegation and empowerment standard other platform leads adopt, favoring intent and guardrails over instructions. Gets outcomes across a domain by stating clear intent and letting other leaders decide how. Scope: empowerment across a cross-team domain.</t>
        </is>
      </c>
      <c r="I41" s="4" t="inlineStr">
        <is>
          <t>Depth: Builds the decision-rights model a platform sub-org runs on so authority sits with the people closest to the work. Pushes a class of decisions down to team leaders across the sub-org and stops being consulted on them. Scope: empowerment across a platform sub-org.</t>
        </is>
      </c>
      <c r="J41" s="4" t="inlineStr">
        <is>
          <t>Depth: Drives how the function distributes authority, growing decision-makers rather than approvers. Sets the empowerment norms leaders across the function lead by. Scope: empowerment across the platform function.</t>
        </is>
      </c>
      <c r="K41" s="4" t="inlineStr">
        <is>
          <t>Depth: Sets the org-wide expectation that platform leadership creates leaders, not dependence. Pioneers a decision-rights model other functions adopt. Scope: org-wide empowerment.</t>
        </is>
      </c>
    </row>
    <row r="42">
      <c r="A42" s="4" t="inlineStr">
        <is>
          <t>Self &amp; Personal Effectiveness</t>
        </is>
      </c>
      <c r="B42" s="4" t="inlineStr">
        <is>
          <t>Growth &amp; Resilience</t>
        </is>
      </c>
      <c r="C42" s="4" t="inlineStr">
        <is>
          <t>Self-awareness &amp; learning agility</t>
        </is>
      </c>
      <c r="D42" s="6" t="inlineStr">
        <is>
          <t>LI-09</t>
        </is>
      </c>
      <c r="E42" s="4" t="inlineStr">
        <is>
          <t>Eurich, Insight (2017); Lombardo &amp; Eichinger (2000)</t>
        </is>
      </c>
      <c r="F42" s="4" t="inlineStr">
        <is>
          <t>Depth: Seeks feedback on their own leadership and acts on it visibly. Changes a specific behavior after hearing it lands badly, rather than defending it. Scope: personal growth on one platform team.</t>
        </is>
      </c>
      <c r="G42" s="4" t="inlineStr">
        <is>
          <t>Depth: Reads their own impact on a high-stakes team accurately and adapts to unfamiliar problems quickly. Names a blind spot and adjusts before it costs the team, using an outside read to check their own. Scope: self-awareness on a critical platform team.</t>
        </is>
      </c>
      <c r="H42" s="4" t="inlineStr">
        <is>
          <t>Depth: Sets the norm that platform leads solicit and act on feedback, and models learning in the open. Runs feedback mechanisms several leads adopt to see their own effect on others. Scope: learning culture across a cross-team domain.</t>
        </is>
      </c>
      <c r="I42" s="4" t="inlineStr">
        <is>
          <t>Depth: Builds the leadership-feedback and development practice a sub-org relies on to keep its leaders self-correcting. Turns a leader's blind spot around across the sub-org by making honest upward feedback safe and routine. Scope: leader growth across a platform sub-org.</t>
        </is>
      </c>
      <c r="J42" s="4" t="inlineStr">
        <is>
          <t>Depth: Drives how the function grows self-aware, adaptable leaders as the technology and org shift. Sets the learning-agility expectations leaders across the function are developed against. Scope: leadership growth across the platform function.</t>
        </is>
      </c>
      <c r="K42" s="4" t="inlineStr">
        <is>
          <t>Depth: Sets the org-wide expectation that platform leadership learns and adapts in the open. Pioneers a leadership-development model peer functions adopt. Scope: org-wide leadership learning.</t>
        </is>
      </c>
    </row>
    <row r="43">
      <c r="A43" s="4" t="inlineStr">
        <is>
          <t>Self &amp; Personal Effectiveness</t>
        </is>
      </c>
      <c r="B43" s="4" t="inlineStr">
        <is>
          <t>Growth &amp; Resilience</t>
        </is>
      </c>
      <c r="C43" s="4" t="inlineStr">
        <is>
          <t>Resilience &amp; sustainable pace</t>
        </is>
      </c>
      <c r="D43" s="6" t="inlineStr">
        <is>
          <t>LI-10</t>
        </is>
      </c>
      <c r="E43" s="4" t="inlineStr">
        <is>
          <t>Loehr &amp; Schwartz, The Power of Full Engagement (2003)</t>
        </is>
      </c>
      <c r="F43" s="4" t="inlineStr">
        <is>
          <t>Depth: Keeps themselves and the team steady through incidents and crunch without burning out. Protects the team's sustainable pace during an on-call-heavy stretch instead of normalizing heroics. Scope: resilience on one platform team.</t>
        </is>
      </c>
      <c r="G43" s="4" t="inlineStr">
        <is>
          <t>Depth: Holds their composure and the team's under sustained operational pressure on a critical platform. Absorbs the stress of a severe outage period and keeps the team functioning rather than fraying. Scope: resilience on a critical platform team.</t>
        </is>
      </c>
      <c r="H43" s="4" t="inlineStr">
        <is>
          <t>Depth: Sets the sustainable-pace norms other platform leads adopt, treating on-call and toil load as a health metric. Acts on a burnout signal across the domain before it becomes attrition, changing the load rather than the people. Scope: sustainable pace across a cross-team domain.</t>
        </is>
      </c>
      <c r="I43" s="4" t="inlineStr">
        <is>
          <t>Depth: Builds the operating norms a platform sub-org uses to keep pace sustainable through scaling and incidents. Reshapes on-call and workload across the sub-org so resilience does not depend on individual heroics. Scope: sustainable pace across a platform sub-org.</t>
        </is>
      </c>
      <c r="J43" s="4" t="inlineStr">
        <is>
          <t>Depth: Drives how the function sustains its people through the always-on nature of platform work. Sets the sustainable-pace expectations leaders across the function are held to. Scope: resilience across the platform function.</t>
        </is>
      </c>
      <c r="K43" s="4" t="inlineStr">
        <is>
          <t>Depth: Sets the org-wide expectation that platform delivers durably, not through burnout. Pioneers a sustainable-operations model peer functions adopt. Scope: org-wide sustainable pace.</t>
        </is>
      </c>
    </row>
    <row r="44">
      <c r="A44" s="4" t="inlineStr">
        <is>
          <t>Self &amp; Personal Effectiveness</t>
        </is>
      </c>
      <c r="B44" s="4" t="inlineStr">
        <is>
          <t>Judgment &amp; Integrity</t>
        </is>
      </c>
      <c r="C44" s="4" t="inlineStr">
        <is>
          <t>Decision-making under uncertainty</t>
        </is>
      </c>
      <c r="D44" s="6" t="inlineStr">
        <is>
          <t>LI-04</t>
        </is>
      </c>
      <c r="E44" s="4" t="inlineStr">
        <is>
          <t>Kahneman, Thinking, Fast and Slow (2011)</t>
        </is>
      </c>
      <c r="F44" s="4" t="inlineStr">
        <is>
          <t>Depth: Makes timely calls with incomplete information and states the assumptions behind them. Makes a reversible platform decision quickly rather than stalling for certainty that will not come. Scope: decisions on one platform team.</t>
        </is>
      </c>
      <c r="G44" s="4" t="inlineStr">
        <is>
          <t>Depth: Makes high-stakes, hard-to-reverse calls on a critical platform and guards against their own bias. Frames a one-way-door platform decision explicitly and gathers the evidence its weight warrants. Scope: decisions on a critical platform team.</t>
        </is>
      </c>
      <c r="H44" s="4" t="inlineStr">
        <is>
          <t>Depth: Sets the decision-making discipline other platform leads adopt, with clear owners, reversibility tests, and recorded rationale. Installs a decision framework several teams now use to make calls under ambiguity. Scope: decision quality across a cross-team domain.</t>
        </is>
      </c>
      <c r="I44" s="4" t="inlineStr">
        <is>
          <t>Depth: Builds the decision-rights and judgment norms a sub-org runs on so hard calls get made well and fast across it. Raises the quality of consequential decisions across the sub-org by making the reasoning and the owner explicit. Scope: decision-making across a platform sub-org.</t>
        </is>
      </c>
      <c r="J44" s="4" t="inlineStr">
        <is>
          <t>Depth: Drives how the function makes irreversible, high-ambiguity bets and lives with the trade-offs. Sets the decision standard leaders across the function are calibrated to. Scope: decision-making across the platform function.</t>
        </is>
      </c>
      <c r="K44" s="4" t="inlineStr">
        <is>
          <t>Depth: Sets the org-wide expectation for how platform leadership decides under uncertainty. Pioneers a decision model peer functions adopt. Scope: org-wide decision-making.</t>
        </is>
      </c>
    </row>
    <row r="45">
      <c r="A45" s="4" t="inlineStr">
        <is>
          <t>Self &amp; Personal Effectiveness</t>
        </is>
      </c>
      <c r="B45" s="4" t="inlineStr">
        <is>
          <t>Judgment &amp; Integrity</t>
        </is>
      </c>
      <c r="C45" s="4" t="inlineStr">
        <is>
          <t>Ethics, integrity &amp; trust</t>
        </is>
      </c>
      <c r="D45" s="6" t="inlineStr">
        <is>
          <t>LI-11</t>
        </is>
      </c>
      <c r="E45" s="4" t="inlineStr">
        <is>
          <t>Mayer, Davis &amp; Schoorman (1995); ACM Code of Ethics (2018)</t>
        </is>
      </c>
      <c r="F45" s="4" t="inlineStr">
        <is>
          <t>Depth: Acts consistently and honestly, keeps commitments, and is straight about mistakes. Makes the honest call on a platform reliability or security risk even when it is inconvenient to admit. Scope: trust on one platform team.</t>
        </is>
      </c>
      <c r="G45" s="4" t="inlineStr">
        <is>
          <t>Depth: Holds the ethical line on a critical platform where access, data, and reliability carry real stakes. Refuses a shortcut that would trade user trust or safety for speed, and says why. Scope: integrity on a critical platform team.</t>
        </is>
      </c>
      <c r="H45" s="4" t="inlineStr">
        <is>
          <t>Depth: Sets the ethical and trust norms other platform leads adopt around access, data, and honest incident disclosure. Establishes the do-the-right-thing expectations several teams now hold each other to. Scope: integrity across a cross-team domain.</t>
        </is>
      </c>
      <c r="I45" s="4" t="inlineStr">
        <is>
          <t>Depth: Builds the trust and integrity expectations a platform sub-org operates by, from privileged-access ethics to honest reporting. Makes candid, blameless honesty the norm across the sub-org even when the news is bad. Scope: integrity across a platform sub-org.</t>
        </is>
      </c>
      <c r="J45" s="4" t="inlineStr">
        <is>
          <t>Depth: Drives the function's ethical posture on the outsized access and impact platform holds. Sets the integrity standard leaders across the function are trusted to uphold. Scope: ethics across the platform function.</t>
        </is>
      </c>
      <c r="K45" s="4" t="inlineStr">
        <is>
          <t>Depth: Sets the org-wide expectation for how platform leadership stewards trust, access, and impact. Pioneers an ethics model peer functions and the wider field reference. Scope: org-wide integrity and trust.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7"/>
  <sheetViews>
    <sheetView workbookViewId="0">
      <pane ySplit="3" topLeftCell="A4" activePane="bottomLeft" state="frozen"/>
      <selection pane="bottomLeft" activeCell="A1" sqref="A1"/>
    </sheetView>
  </sheetViews>
  <sheetFormatPr baseColWidth="8" defaultRowHeight="15"/>
  <cols>
    <col width="26" customWidth="1" min="1" max="1"/>
    <col width="34" customWidth="1" min="2" max="2"/>
    <col width="9" customWidth="1" min="3" max="3"/>
    <col width="7" customWidth="1" min="4" max="4"/>
    <col width="7" customWidth="1" min="5" max="5"/>
    <col width="9" customWidth="1" min="6" max="6"/>
    <col width="7" customWidth="1" min="7" max="7"/>
    <col width="7" customWidth="1" min="8" max="8"/>
    <col hidden="1" width="13" customWidth="1" min="10" max="10"/>
    <col hidden="1" width="13" customWidth="1" min="11" max="11"/>
    <col hidden="1" width="13" customWidth="1" min="12" max="12"/>
    <col hidden="1" width="13" customWidth="1" min="13" max="13"/>
    <col hidden="1" width="13" customWidth="1" min="14" max="14"/>
    <col hidden="1" width="13" customWidth="1" min="15" max="15"/>
  </cols>
  <sheetData>
    <row r="1">
      <c r="A1" s="1" t="inlineStr">
        <is>
          <t>Target level</t>
        </is>
      </c>
      <c r="B1" s="7" t="inlineStr">
        <is>
          <t>M1</t>
        </is>
      </c>
      <c r="D1" s="2" t="inlineStr">
        <is>
          <t>Enter one of: M1, M2, M3, M4, M5, M6. Blue cells are inputs (1-6, the P number).</t>
        </is>
      </c>
    </row>
    <row r="3">
      <c r="A3" s="1" t="inlineStr">
        <is>
          <t>Key Area</t>
        </is>
      </c>
      <c r="B3" s="1" t="inlineStr">
        <is>
          <t>Competency</t>
        </is>
      </c>
      <c r="C3" s="1" t="inlineStr">
        <is>
          <t>Target P</t>
        </is>
      </c>
      <c r="D3" s="1" t="inlineStr">
        <is>
          <t>Self</t>
        </is>
      </c>
      <c r="E3" s="1" t="inlineStr">
        <is>
          <t>Peer</t>
        </is>
      </c>
      <c r="F3" s="1" t="inlineStr">
        <is>
          <t>Manager</t>
        </is>
      </c>
      <c r="G3" s="1" t="inlineStr">
        <is>
          <t>Avg</t>
        </is>
      </c>
      <c r="H3" s="1" t="inlineStr">
        <is>
          <t>Gap</t>
        </is>
      </c>
      <c r="J3" s="1" t="inlineStr">
        <is>
          <t>M1</t>
        </is>
      </c>
      <c r="K3" s="1" t="inlineStr">
        <is>
          <t>M2</t>
        </is>
      </c>
      <c r="L3" s="1" t="inlineStr">
        <is>
          <t>M3</t>
        </is>
      </c>
      <c r="M3" s="1" t="inlineStr">
        <is>
          <t>M4</t>
        </is>
      </c>
      <c r="N3" s="1" t="inlineStr">
        <is>
          <t>M5</t>
        </is>
      </c>
      <c r="O3" s="1" t="inlineStr">
        <is>
          <t>M6</t>
        </is>
      </c>
    </row>
    <row r="4">
      <c r="A4" s="2" t="inlineStr">
        <is>
          <t>People Leadership &amp; Team Health</t>
        </is>
      </c>
      <c r="B4" s="2" t="inlineStr">
        <is>
          <t>Hiring &amp; selection</t>
        </is>
      </c>
      <c r="C4" s="2">
        <f>IFERROR(INDEX(J4:O4,MATCH($B$1,$J$3:$O$3,0)),"")</f>
        <v/>
      </c>
      <c r="D4" s="7" t="n"/>
      <c r="E4" s="7" t="n"/>
      <c r="F4" s="7" t="n"/>
      <c r="G4" s="2">
        <f>IFERROR(AVERAGE(D4:F4),"")</f>
        <v/>
      </c>
      <c r="H4" s="2">
        <f>IFERROR(G4-C4,"")</f>
        <v/>
      </c>
      <c r="J4" s="2" t="n">
        <v>3</v>
      </c>
      <c r="K4" s="2" t="n">
        <v>3</v>
      </c>
      <c r="L4" s="2" t="n">
        <v>4</v>
      </c>
      <c r="M4" s="2" t="n">
        <v>4</v>
      </c>
      <c r="N4" s="2" t="n">
        <v>5</v>
      </c>
      <c r="O4" s="2" t="n">
        <v>6</v>
      </c>
    </row>
    <row r="5">
      <c r="A5" s="2" t="inlineStr">
        <is>
          <t>People Leadership &amp; Team Health</t>
        </is>
      </c>
      <c r="B5" s="2" t="inlineStr">
        <is>
          <t>Onboarding &amp; team formation</t>
        </is>
      </c>
      <c r="C5" s="2">
        <f>IFERROR(INDEX(J5:O5,MATCH($B$1,$J$3:$O$3,0)),"")</f>
        <v/>
      </c>
      <c r="D5" s="7" t="n"/>
      <c r="E5" s="7" t="n"/>
      <c r="F5" s="7" t="n"/>
      <c r="G5" s="2">
        <f>IFERROR(AVERAGE(D5:F5),"")</f>
        <v/>
      </c>
      <c r="H5" s="2">
        <f>IFERROR(G5-C5,"")</f>
        <v/>
      </c>
      <c r="J5" s="2" t="n">
        <v>2</v>
      </c>
      <c r="K5" s="2" t="n">
        <v>3</v>
      </c>
      <c r="L5" s="2" t="n">
        <v>4</v>
      </c>
      <c r="M5" s="2" t="n">
        <v>4</v>
      </c>
      <c r="N5" s="2" t="n">
        <v>5</v>
      </c>
      <c r="O5" s="2" t="n">
        <v>6</v>
      </c>
    </row>
    <row r="6">
      <c r="A6" s="2" t="inlineStr">
        <is>
          <t>People Leadership &amp; Team Health</t>
        </is>
      </c>
      <c r="B6" s="2" t="inlineStr">
        <is>
          <t>Coaching &amp; development</t>
        </is>
      </c>
      <c r="C6" s="2">
        <f>IFERROR(INDEX(J6:O6,MATCH($B$1,$J$3:$O$3,0)),"")</f>
        <v/>
      </c>
      <c r="D6" s="7" t="n"/>
      <c r="E6" s="7" t="n"/>
      <c r="F6" s="7" t="n"/>
      <c r="G6" s="2">
        <f>IFERROR(AVERAGE(D6:F6),"")</f>
        <v/>
      </c>
      <c r="H6" s="2">
        <f>IFERROR(G6-C6,"")</f>
        <v/>
      </c>
      <c r="J6" s="2" t="n">
        <v>3</v>
      </c>
      <c r="K6" s="2" t="n">
        <v>3</v>
      </c>
      <c r="L6" s="2" t="n">
        <v>4</v>
      </c>
      <c r="M6" s="2" t="n">
        <v>4</v>
      </c>
      <c r="N6" s="2" t="n">
        <v>5</v>
      </c>
      <c r="O6" s="2" t="n">
        <v>6</v>
      </c>
    </row>
    <row r="7">
      <c r="A7" s="2" t="inlineStr">
        <is>
          <t>People Leadership &amp; Team Health</t>
        </is>
      </c>
      <c r="B7" s="2" t="inlineStr">
        <is>
          <t>Career development &amp; sponsorship</t>
        </is>
      </c>
      <c r="C7" s="2">
        <f>IFERROR(INDEX(J7:O7,MATCH($B$1,$J$3:$O$3,0)),"")</f>
        <v/>
      </c>
      <c r="D7" s="7" t="n"/>
      <c r="E7" s="7" t="n"/>
      <c r="F7" s="7" t="n"/>
      <c r="G7" s="2">
        <f>IFERROR(AVERAGE(D7:F7),"")</f>
        <v/>
      </c>
      <c r="H7" s="2">
        <f>IFERROR(G7-C7,"")</f>
        <v/>
      </c>
      <c r="J7" s="2" t="n">
        <v>2</v>
      </c>
      <c r="K7" s="2" t="n">
        <v>3</v>
      </c>
      <c r="L7" s="2" t="n">
        <v>4</v>
      </c>
      <c r="M7" s="2" t="n">
        <v>4</v>
      </c>
      <c r="N7" s="2" t="n">
        <v>5</v>
      </c>
      <c r="O7" s="2" t="n">
        <v>6</v>
      </c>
    </row>
    <row r="8">
      <c r="A8" s="2" t="inlineStr">
        <is>
          <t>People Leadership &amp; Team Health</t>
        </is>
      </c>
      <c r="B8" s="2" t="inlineStr">
        <is>
          <t>Performance management</t>
        </is>
      </c>
      <c r="C8" s="2">
        <f>IFERROR(INDEX(J8:O8,MATCH($B$1,$J$3:$O$3,0)),"")</f>
        <v/>
      </c>
      <c r="D8" s="7" t="n"/>
      <c r="E8" s="7" t="n"/>
      <c r="F8" s="7" t="n"/>
      <c r="G8" s="2">
        <f>IFERROR(AVERAGE(D8:F8),"")</f>
        <v/>
      </c>
      <c r="H8" s="2">
        <f>IFERROR(G8-C8,"")</f>
        <v/>
      </c>
      <c r="J8" s="2" t="n">
        <v>3</v>
      </c>
      <c r="K8" s="2" t="n">
        <v>3</v>
      </c>
      <c r="L8" s="2" t="n">
        <v>4</v>
      </c>
      <c r="M8" s="2" t="n">
        <v>4</v>
      </c>
      <c r="N8" s="2" t="n">
        <v>5</v>
      </c>
      <c r="O8" s="2" t="n">
        <v>6</v>
      </c>
    </row>
    <row r="9">
      <c r="A9" s="2" t="inlineStr">
        <is>
          <t>People Leadership &amp; Team Health</t>
        </is>
      </c>
      <c r="B9" s="2" t="inlineStr">
        <is>
          <t>Psychological safety &amp; team health</t>
        </is>
      </c>
      <c r="C9" s="2">
        <f>IFERROR(INDEX(J9:O9,MATCH($B$1,$J$3:$O$3,0)),"")</f>
        <v/>
      </c>
      <c r="D9" s="7" t="n"/>
      <c r="E9" s="7" t="n"/>
      <c r="F9" s="7" t="n"/>
      <c r="G9" s="2">
        <f>IFERROR(AVERAGE(D9:F9),"")</f>
        <v/>
      </c>
      <c r="H9" s="2">
        <f>IFERROR(G9-C9,"")</f>
        <v/>
      </c>
      <c r="J9" s="2" t="n">
        <v>3</v>
      </c>
      <c r="K9" s="2" t="n">
        <v>3</v>
      </c>
      <c r="L9" s="2" t="n">
        <v>4</v>
      </c>
      <c r="M9" s="2" t="n">
        <v>4</v>
      </c>
      <c r="N9" s="2" t="n">
        <v>5</v>
      </c>
      <c r="O9" s="2" t="n">
        <v>6</v>
      </c>
    </row>
    <row r="10">
      <c r="A10" s="2" t="inlineStr">
        <is>
          <t>People Leadership &amp; Team Health</t>
        </is>
      </c>
      <c r="B10" s="2" t="inlineStr">
        <is>
          <t>Motivation, engagement &amp; retention</t>
        </is>
      </c>
      <c r="C10" s="2">
        <f>IFERROR(INDEX(J10:O10,MATCH($B$1,$J$3:$O$3,0)),"")</f>
        <v/>
      </c>
      <c r="D10" s="7" t="n"/>
      <c r="E10" s="7" t="n"/>
      <c r="F10" s="7" t="n"/>
      <c r="G10" s="2">
        <f>IFERROR(AVERAGE(D10:F10),"")</f>
        <v/>
      </c>
      <c r="H10" s="2">
        <f>IFERROR(G10-C10,"")</f>
        <v/>
      </c>
      <c r="J10" s="2" t="n">
        <v>3</v>
      </c>
      <c r="K10" s="2" t="n">
        <v>3</v>
      </c>
      <c r="L10" s="2" t="n">
        <v>4</v>
      </c>
      <c r="M10" s="2" t="n">
        <v>4</v>
      </c>
      <c r="N10" s="2" t="n">
        <v>5</v>
      </c>
      <c r="O10" s="2" t="n">
        <v>6</v>
      </c>
    </row>
    <row r="11">
      <c r="A11" s="2" t="inlineStr">
        <is>
          <t>Platform as a Product</t>
        </is>
      </c>
      <c r="B11" s="2" t="inlineStr">
        <is>
          <t>Platform vision &amp; roadmap</t>
        </is>
      </c>
      <c r="C11" s="2">
        <f>IFERROR(INDEX(J11:O11,MATCH($B$1,$J$3:$O$3,0)),"")</f>
        <v/>
      </c>
      <c r="D11" s="7" t="n"/>
      <c r="E11" s="7" t="n"/>
      <c r="F11" s="7" t="n"/>
      <c r="G11" s="2">
        <f>IFERROR(AVERAGE(D11:F11),"")</f>
        <v/>
      </c>
      <c r="H11" s="2">
        <f>IFERROR(G11-C11,"")</f>
        <v/>
      </c>
      <c r="J11" s="2" t="n">
        <v>2</v>
      </c>
      <c r="K11" s="2" t="n">
        <v>3</v>
      </c>
      <c r="L11" s="2" t="n">
        <v>4</v>
      </c>
      <c r="M11" s="2" t="n">
        <v>4</v>
      </c>
      <c r="N11" s="2" t="n">
        <v>5</v>
      </c>
      <c r="O11" s="2" t="n">
        <v>6</v>
      </c>
    </row>
    <row r="12">
      <c r="A12" s="2" t="inlineStr">
        <is>
          <t>Platform as a Product</t>
        </is>
      </c>
      <c r="B12" s="2" t="inlineStr">
        <is>
          <t>Internal user research &amp; discovery</t>
        </is>
      </c>
      <c r="C12" s="2">
        <f>IFERROR(INDEX(J12:O12,MATCH($B$1,$J$3:$O$3,0)),"")</f>
        <v/>
      </c>
      <c r="D12" s="7" t="n"/>
      <c r="E12" s="7" t="n"/>
      <c r="F12" s="7" t="n"/>
      <c r="G12" s="2">
        <f>IFERROR(AVERAGE(D12:F12),"")</f>
        <v/>
      </c>
      <c r="H12" s="2">
        <f>IFERROR(G12-C12,"")</f>
        <v/>
      </c>
      <c r="J12" s="2" t="n">
        <v>2</v>
      </c>
      <c r="K12" s="2" t="n">
        <v>3</v>
      </c>
      <c r="L12" s="2" t="n">
        <v>4</v>
      </c>
      <c r="M12" s="2" t="n">
        <v>4</v>
      </c>
      <c r="N12" s="2" t="n">
        <v>5</v>
      </c>
      <c r="O12" s="2" t="n">
        <v>6</v>
      </c>
    </row>
    <row r="13">
      <c r="A13" s="2" t="inlineStr">
        <is>
          <t>Platform as a Product</t>
        </is>
      </c>
      <c r="B13" s="2" t="inlineStr">
        <is>
          <t>Platform value &amp; business case</t>
        </is>
      </c>
      <c r="C13" s="2">
        <f>IFERROR(INDEX(J13:O13,MATCH($B$1,$J$3:$O$3,0)),"")</f>
        <v/>
      </c>
      <c r="D13" s="7" t="n"/>
      <c r="E13" s="7" t="n"/>
      <c r="F13" s="7" t="n"/>
      <c r="G13" s="2">
        <f>IFERROR(AVERAGE(D13:F13),"")</f>
        <v/>
      </c>
      <c r="H13" s="2">
        <f>IFERROR(G13-C13,"")</f>
        <v/>
      </c>
      <c r="J13" s="2" t="n">
        <v>2</v>
      </c>
      <c r="K13" s="2" t="n">
        <v>3</v>
      </c>
      <c r="L13" s="2" t="n">
        <v>4</v>
      </c>
      <c r="M13" s="2" t="n">
        <v>4</v>
      </c>
      <c r="N13" s="2" t="n">
        <v>5</v>
      </c>
      <c r="O13" s="2" t="n">
        <v>6</v>
      </c>
    </row>
    <row r="14">
      <c r="A14" s="2" t="inlineStr">
        <is>
          <t>Platform as a Product</t>
        </is>
      </c>
      <c r="B14" s="2" t="inlineStr">
        <is>
          <t>Golden paths &amp; paved roads</t>
        </is>
      </c>
      <c r="C14" s="2">
        <f>IFERROR(INDEX(J14:O14,MATCH($B$1,$J$3:$O$3,0)),"")</f>
        <v/>
      </c>
      <c r="D14" s="7" t="n"/>
      <c r="E14" s="7" t="n"/>
      <c r="F14" s="7" t="n"/>
      <c r="G14" s="2">
        <f>IFERROR(AVERAGE(D14:F14),"")</f>
        <v/>
      </c>
      <c r="H14" s="2">
        <f>IFERROR(G14-C14,"")</f>
        <v/>
      </c>
      <c r="J14" s="2" t="n">
        <v>2</v>
      </c>
      <c r="K14" s="2" t="n">
        <v>3</v>
      </c>
      <c r="L14" s="2" t="n">
        <v>4</v>
      </c>
      <c r="M14" s="2" t="n">
        <v>4</v>
      </c>
      <c r="N14" s="2" t="n">
        <v>5</v>
      </c>
      <c r="O14" s="2" t="n">
        <v>6</v>
      </c>
    </row>
    <row r="15">
      <c r="A15" s="2" t="inlineStr">
        <is>
          <t>Platform as a Product</t>
        </is>
      </c>
      <c r="B15" s="2" t="inlineStr">
        <is>
          <t>Self-service &amp; platform interfaces</t>
        </is>
      </c>
      <c r="C15" s="2">
        <f>IFERROR(INDEX(J15:O15,MATCH($B$1,$J$3:$O$3,0)),"")</f>
        <v/>
      </c>
      <c r="D15" s="7" t="n"/>
      <c r="E15" s="7" t="n"/>
      <c r="F15" s="7" t="n"/>
      <c r="G15" s="2">
        <f>IFERROR(AVERAGE(D15:F15),"")</f>
        <v/>
      </c>
      <c r="H15" s="2">
        <f>IFERROR(G15-C15,"")</f>
        <v/>
      </c>
      <c r="J15" s="2" t="n">
        <v>2</v>
      </c>
      <c r="K15" s="2" t="n">
        <v>3</v>
      </c>
      <c r="L15" s="2" t="n">
        <v>4</v>
      </c>
      <c r="M15" s="2" t="n">
        <v>4</v>
      </c>
      <c r="N15" s="2" t="n">
        <v>5</v>
      </c>
      <c r="O15" s="2" t="n">
        <v>6</v>
      </c>
    </row>
    <row r="16">
      <c r="A16" s="2" t="inlineStr">
        <is>
          <t>Platform as a Product</t>
        </is>
      </c>
      <c r="B16" s="2" t="inlineStr">
        <is>
          <t>Adoption &amp; migration strategy</t>
        </is>
      </c>
      <c r="C16" s="2">
        <f>IFERROR(INDEX(J16:O16,MATCH($B$1,$J$3:$O$3,0)),"")</f>
        <v/>
      </c>
      <c r="D16" s="7" t="n"/>
      <c r="E16" s="7" t="n"/>
      <c r="F16" s="7" t="n"/>
      <c r="G16" s="2">
        <f>IFERROR(AVERAGE(D16:F16),"")</f>
        <v/>
      </c>
      <c r="H16" s="2">
        <f>IFERROR(G16-C16,"")</f>
        <v/>
      </c>
      <c r="J16" s="2" t="n">
        <v>2</v>
      </c>
      <c r="K16" s="2" t="n">
        <v>3</v>
      </c>
      <c r="L16" s="2" t="n">
        <v>4</v>
      </c>
      <c r="M16" s="2" t="n">
        <v>4</v>
      </c>
      <c r="N16" s="2" t="n">
        <v>5</v>
      </c>
      <c r="O16" s="2" t="n">
        <v>6</v>
      </c>
    </row>
    <row r="17">
      <c r="A17" s="2" t="inlineStr">
        <is>
          <t>Platform as a Product</t>
        </is>
      </c>
      <c r="B17" s="2" t="inlineStr">
        <is>
          <t>Platform advocacy &amp; enablement</t>
        </is>
      </c>
      <c r="C17" s="2">
        <f>IFERROR(INDEX(J17:O17,MATCH($B$1,$J$3:$O$3,0)),"")</f>
        <v/>
      </c>
      <c r="D17" s="7" t="n"/>
      <c r="E17" s="7" t="n"/>
      <c r="F17" s="7" t="n"/>
      <c r="G17" s="2">
        <f>IFERROR(AVERAGE(D17:F17),"")</f>
        <v/>
      </c>
      <c r="H17" s="2">
        <f>IFERROR(G17-C17,"")</f>
        <v/>
      </c>
      <c r="J17" s="2" t="n">
        <v>2</v>
      </c>
      <c r="K17" s="2" t="n">
        <v>3</v>
      </c>
      <c r="L17" s="2" t="n">
        <v>4</v>
      </c>
      <c r="M17" s="2" t="n">
        <v>4</v>
      </c>
      <c r="N17" s="2" t="n">
        <v>5</v>
      </c>
      <c r="O17" s="2" t="n">
        <v>6</v>
      </c>
    </row>
    <row r="18">
      <c r="A18" s="2" t="inlineStr">
        <is>
          <t>Reliability &amp; Operations</t>
        </is>
      </c>
      <c r="B18" s="2" t="inlineStr">
        <is>
          <t>Reliability, SLOs &amp; error budgets</t>
        </is>
      </c>
      <c r="C18" s="2">
        <f>IFERROR(INDEX(J18:O18,MATCH($B$1,$J$3:$O$3,0)),"")</f>
        <v/>
      </c>
      <c r="D18" s="7" t="n"/>
      <c r="E18" s="7" t="n"/>
      <c r="F18" s="7" t="n"/>
      <c r="G18" s="2">
        <f>IFERROR(AVERAGE(D18:F18),"")</f>
        <v/>
      </c>
      <c r="H18" s="2">
        <f>IFERROR(G18-C18,"")</f>
        <v/>
      </c>
      <c r="J18" s="2" t="n">
        <v>2</v>
      </c>
      <c r="K18" s="2" t="n">
        <v>3</v>
      </c>
      <c r="L18" s="2" t="n">
        <v>4</v>
      </c>
      <c r="M18" s="2" t="n">
        <v>4</v>
      </c>
      <c r="N18" s="2" t="n">
        <v>5</v>
      </c>
      <c r="O18" s="2" t="n">
        <v>6</v>
      </c>
    </row>
    <row r="19">
      <c r="A19" s="2" t="inlineStr">
        <is>
          <t>Reliability &amp; Operations</t>
        </is>
      </c>
      <c r="B19" s="2" t="inlineStr">
        <is>
          <t>Incident &amp; operational-risk leadership</t>
        </is>
      </c>
      <c r="C19" s="2">
        <f>IFERROR(INDEX(J19:O19,MATCH($B$1,$J$3:$O$3,0)),"")</f>
        <v/>
      </c>
      <c r="D19" s="7" t="n"/>
      <c r="E19" s="7" t="n"/>
      <c r="F19" s="7" t="n"/>
      <c r="G19" s="2">
        <f>IFERROR(AVERAGE(D19:F19),"")</f>
        <v/>
      </c>
      <c r="H19" s="2">
        <f>IFERROR(G19-C19,"")</f>
        <v/>
      </c>
      <c r="J19" s="2" t="n">
        <v>2</v>
      </c>
      <c r="K19" s="2" t="n">
        <v>3</v>
      </c>
      <c r="L19" s="2" t="n">
        <v>4</v>
      </c>
      <c r="M19" s="2" t="n">
        <v>4</v>
      </c>
      <c r="N19" s="2" t="n">
        <v>5</v>
      </c>
      <c r="O19" s="2" t="n">
        <v>6</v>
      </c>
    </row>
    <row r="20">
      <c r="A20" s="2" t="inlineStr">
        <is>
          <t>Reliability &amp; Operations</t>
        </is>
      </c>
      <c r="B20" s="2" t="inlineStr">
        <is>
          <t>Observability &amp; health signals</t>
        </is>
      </c>
      <c r="C20" s="2">
        <f>IFERROR(INDEX(J20:O20,MATCH($B$1,$J$3:$O$3,0)),"")</f>
        <v/>
      </c>
      <c r="D20" s="7" t="n"/>
      <c r="E20" s="7" t="n"/>
      <c r="F20" s="7" t="n"/>
      <c r="G20" s="2">
        <f>IFERROR(AVERAGE(D20:F20),"")</f>
        <v/>
      </c>
      <c r="H20" s="2">
        <f>IFERROR(G20-C20,"")</f>
        <v/>
      </c>
      <c r="J20" s="2" t="n">
        <v>2</v>
      </c>
      <c r="K20" s="2" t="n">
        <v>3</v>
      </c>
      <c r="L20" s="2" t="n">
        <v>4</v>
      </c>
      <c r="M20" s="2" t="n">
        <v>4</v>
      </c>
      <c r="N20" s="2" t="n">
        <v>5</v>
      </c>
      <c r="O20" s="2" t="n">
        <v>6</v>
      </c>
    </row>
    <row r="21">
      <c r="A21" s="2" t="inlineStr">
        <is>
          <t>Reliability &amp; Operations</t>
        </is>
      </c>
      <c r="B21" s="2" t="inlineStr">
        <is>
          <t>Toil reduction &amp; automation</t>
        </is>
      </c>
      <c r="C21" s="2">
        <f>IFERROR(INDEX(J21:O21,MATCH($B$1,$J$3:$O$3,0)),"")</f>
        <v/>
      </c>
      <c r="D21" s="7" t="n"/>
      <c r="E21" s="7" t="n"/>
      <c r="F21" s="7" t="n"/>
      <c r="G21" s="2">
        <f>IFERROR(AVERAGE(D21:F21),"")</f>
        <v/>
      </c>
      <c r="H21" s="2">
        <f>IFERROR(G21-C21,"")</f>
        <v/>
      </c>
      <c r="J21" s="2" t="n">
        <v>2</v>
      </c>
      <c r="K21" s="2" t="n">
        <v>3</v>
      </c>
      <c r="L21" s="2" t="n">
        <v>4</v>
      </c>
      <c r="M21" s="2" t="n">
        <v>4</v>
      </c>
      <c r="N21" s="2" t="n">
        <v>5</v>
      </c>
      <c r="O21" s="2" t="n">
        <v>6</v>
      </c>
    </row>
    <row r="22">
      <c r="A22" s="2" t="inlineStr">
        <is>
          <t>Reliability &amp; Operations</t>
        </is>
      </c>
      <c r="B22" s="2" t="inlineStr">
        <is>
          <t>Capacity, performance &amp; cost</t>
        </is>
      </c>
      <c r="C22" s="2">
        <f>IFERROR(INDEX(J22:O22,MATCH($B$1,$J$3:$O$3,0)),"")</f>
        <v/>
      </c>
      <c r="D22" s="7" t="n"/>
      <c r="E22" s="7" t="n"/>
      <c r="F22" s="7" t="n"/>
      <c r="G22" s="2">
        <f>IFERROR(AVERAGE(D22:F22),"")</f>
        <v/>
      </c>
      <c r="H22" s="2">
        <f>IFERROR(G22-C22,"")</f>
        <v/>
      </c>
      <c r="J22" s="2" t="n">
        <v>2</v>
      </c>
      <c r="K22" s="2" t="n">
        <v>3</v>
      </c>
      <c r="L22" s="2" t="n">
        <v>4</v>
      </c>
      <c r="M22" s="2" t="n">
        <v>4</v>
      </c>
      <c r="N22" s="2" t="n">
        <v>5</v>
      </c>
      <c r="O22" s="2" t="n">
        <v>6</v>
      </c>
    </row>
    <row r="23">
      <c r="A23" s="2" t="inlineStr">
        <is>
          <t>Technical Direction &amp; Architecture</t>
        </is>
      </c>
      <c r="B23" s="2" t="inlineStr">
        <is>
          <t>Platform architecture stewardship</t>
        </is>
      </c>
      <c r="C23" s="2">
        <f>IFERROR(INDEX(J23:O23,MATCH($B$1,$J$3:$O$3,0)),"")</f>
        <v/>
      </c>
      <c r="D23" s="7" t="n"/>
      <c r="E23" s="7" t="n"/>
      <c r="F23" s="7" t="n"/>
      <c r="G23" s="2">
        <f>IFERROR(AVERAGE(D23:F23),"")</f>
        <v/>
      </c>
      <c r="H23" s="2">
        <f>IFERROR(G23-C23,"")</f>
        <v/>
      </c>
      <c r="J23" s="2" t="n">
        <v>2</v>
      </c>
      <c r="K23" s="2" t="n">
        <v>3</v>
      </c>
      <c r="L23" s="2" t="n">
        <v>4</v>
      </c>
      <c r="M23" s="2" t="n">
        <v>4</v>
      </c>
      <c r="N23" s="2" t="n">
        <v>5</v>
      </c>
      <c r="O23" s="2" t="n">
        <v>6</v>
      </c>
    </row>
    <row r="24">
      <c r="A24" s="2" t="inlineStr">
        <is>
          <t>Technical Direction &amp; Architecture</t>
        </is>
      </c>
      <c r="B24" s="2" t="inlineStr">
        <is>
          <t>Engineering standards &amp; quality</t>
        </is>
      </c>
      <c r="C24" s="2">
        <f>IFERROR(INDEX(J24:O24,MATCH($B$1,$J$3:$O$3,0)),"")</f>
        <v/>
      </c>
      <c r="D24" s="7" t="n"/>
      <c r="E24" s="7" t="n"/>
      <c r="F24" s="7" t="n"/>
      <c r="G24" s="2">
        <f>IFERROR(AVERAGE(D24:F24),"")</f>
        <v/>
      </c>
      <c r="H24" s="2">
        <f>IFERROR(G24-C24,"")</f>
        <v/>
      </c>
      <c r="J24" s="2" t="n">
        <v>2</v>
      </c>
      <c r="K24" s="2" t="n">
        <v>3</v>
      </c>
      <c r="L24" s="2" t="n">
        <v>4</v>
      </c>
      <c r="M24" s="2" t="n">
        <v>4</v>
      </c>
      <c r="N24" s="2" t="n">
        <v>5</v>
      </c>
      <c r="O24" s="2" t="n">
        <v>6</v>
      </c>
    </row>
    <row r="25">
      <c r="A25" s="2" t="inlineStr">
        <is>
          <t>Technical Direction &amp; Architecture</t>
        </is>
      </c>
      <c r="B25" s="2" t="inlineStr">
        <is>
          <t>Technical debt &amp; modernization</t>
        </is>
      </c>
      <c r="C25" s="2">
        <f>IFERROR(INDEX(J25:O25,MATCH($B$1,$J$3:$O$3,0)),"")</f>
        <v/>
      </c>
      <c r="D25" s="7" t="n"/>
      <c r="E25" s="7" t="n"/>
      <c r="F25" s="7" t="n"/>
      <c r="G25" s="2">
        <f>IFERROR(AVERAGE(D25:F25),"")</f>
        <v/>
      </c>
      <c r="H25" s="2">
        <f>IFERROR(G25-C25,"")</f>
        <v/>
      </c>
      <c r="J25" s="2" t="n">
        <v>2</v>
      </c>
      <c r="K25" s="2" t="n">
        <v>3</v>
      </c>
      <c r="L25" s="2" t="n">
        <v>4</v>
      </c>
      <c r="M25" s="2" t="n">
        <v>4</v>
      </c>
      <c r="N25" s="2" t="n">
        <v>5</v>
      </c>
      <c r="O25" s="2" t="n">
        <v>6</v>
      </c>
    </row>
    <row r="26">
      <c r="A26" s="2" t="inlineStr">
        <is>
          <t>Technical Direction &amp; Architecture</t>
        </is>
      </c>
      <c r="B26" s="2" t="inlineStr">
        <is>
          <t>Technical strategy &amp; investment</t>
        </is>
      </c>
      <c r="C26" s="2">
        <f>IFERROR(INDEX(J26:O26,MATCH($B$1,$J$3:$O$3,0)),"")</f>
        <v/>
      </c>
      <c r="D26" s="7" t="n"/>
      <c r="E26" s="7" t="n"/>
      <c r="F26" s="7" t="n"/>
      <c r="G26" s="2">
        <f>IFERROR(AVERAGE(D26:F26),"")</f>
        <v/>
      </c>
      <c r="H26" s="2">
        <f>IFERROR(G26-C26,"")</f>
        <v/>
      </c>
      <c r="J26" s="2" t="n">
        <v>2</v>
      </c>
      <c r="K26" s="2" t="n">
        <v>3</v>
      </c>
      <c r="L26" s="2" t="n">
        <v>4</v>
      </c>
      <c r="M26" s="2" t="n">
        <v>4</v>
      </c>
      <c r="N26" s="2" t="n">
        <v>5</v>
      </c>
      <c r="O26" s="2" t="n">
        <v>6</v>
      </c>
    </row>
    <row r="27">
      <c r="A27" s="2" t="inlineStr">
        <is>
          <t>Technical Direction &amp; Architecture</t>
        </is>
      </c>
      <c r="B27" s="2" t="inlineStr">
        <is>
          <t>Vendor &amp; build/buy/adopt strategy</t>
        </is>
      </c>
      <c r="C27" s="2">
        <f>IFERROR(INDEX(J27:O27,MATCH($B$1,$J$3:$O$3,0)),"")</f>
        <v/>
      </c>
      <c r="D27" s="7" t="n"/>
      <c r="E27" s="7" t="n"/>
      <c r="F27" s="7" t="n"/>
      <c r="G27" s="2">
        <f>IFERROR(AVERAGE(D27:F27),"")</f>
        <v/>
      </c>
      <c r="H27" s="2">
        <f>IFERROR(G27-C27,"")</f>
        <v/>
      </c>
      <c r="J27" s="2" t="n">
        <v>2</v>
      </c>
      <c r="K27" s="2" t="n">
        <v>3</v>
      </c>
      <c r="L27" s="2" t="n">
        <v>4</v>
      </c>
      <c r="M27" s="2" t="n">
        <v>4</v>
      </c>
      <c r="N27" s="2" t="n">
        <v>5</v>
      </c>
      <c r="O27" s="2" t="n">
        <v>6</v>
      </c>
    </row>
    <row r="28">
      <c r="A28" s="2" t="inlineStr">
        <is>
          <t>Technical Direction &amp; Architecture</t>
        </is>
      </c>
      <c r="B28" s="2" t="inlineStr">
        <is>
          <t>Secure-by-default platform &amp; guardrails</t>
        </is>
      </c>
      <c r="C28" s="2">
        <f>IFERROR(INDEX(J28:O28,MATCH($B$1,$J$3:$O$3,0)),"")</f>
        <v/>
      </c>
      <c r="D28" s="7" t="n"/>
      <c r="E28" s="7" t="n"/>
      <c r="F28" s="7" t="n"/>
      <c r="G28" s="2">
        <f>IFERROR(AVERAGE(D28:F28),"")</f>
        <v/>
      </c>
      <c r="H28" s="2">
        <f>IFERROR(G28-C28,"")</f>
        <v/>
      </c>
      <c r="J28" s="2" t="n">
        <v>2</v>
      </c>
      <c r="K28" s="2" t="n">
        <v>3</v>
      </c>
      <c r="L28" s="2" t="n">
        <v>4</v>
      </c>
      <c r="M28" s="2" t="n">
        <v>4</v>
      </c>
      <c r="N28" s="2" t="n">
        <v>5</v>
      </c>
      <c r="O28" s="2" t="n">
        <v>6</v>
      </c>
    </row>
    <row r="29">
      <c r="A29" s="2" t="inlineStr">
        <is>
          <t>Delivery &amp; Execution</t>
        </is>
      </c>
      <c r="B29" s="2" t="inlineStr">
        <is>
          <t>Planning &amp; estimation</t>
        </is>
      </c>
      <c r="C29" s="2">
        <f>IFERROR(INDEX(J29:O29,MATCH($B$1,$J$3:$O$3,0)),"")</f>
        <v/>
      </c>
      <c r="D29" s="7" t="n"/>
      <c r="E29" s="7" t="n"/>
      <c r="F29" s="7" t="n"/>
      <c r="G29" s="2">
        <f>IFERROR(AVERAGE(D29:F29),"")</f>
        <v/>
      </c>
      <c r="H29" s="2">
        <f>IFERROR(G29-C29,"")</f>
        <v/>
      </c>
      <c r="J29" s="2" t="n">
        <v>2</v>
      </c>
      <c r="K29" s="2" t="n">
        <v>3</v>
      </c>
      <c r="L29" s="2" t="n">
        <v>4</v>
      </c>
      <c r="M29" s="2" t="n">
        <v>4</v>
      </c>
      <c r="N29" s="2" t="n">
        <v>5</v>
      </c>
      <c r="O29" s="2" t="n">
        <v>6</v>
      </c>
    </row>
    <row r="30">
      <c r="A30" s="2" t="inlineStr">
        <is>
          <t>Delivery &amp; Execution</t>
        </is>
      </c>
      <c r="B30" s="2" t="inlineStr">
        <is>
          <t>Prioritization &amp; trade-offs</t>
        </is>
      </c>
      <c r="C30" s="2">
        <f>IFERROR(INDEX(J30:O30,MATCH($B$1,$J$3:$O$3,0)),"")</f>
        <v/>
      </c>
      <c r="D30" s="7" t="n"/>
      <c r="E30" s="7" t="n"/>
      <c r="F30" s="7" t="n"/>
      <c r="G30" s="2">
        <f>IFERROR(AVERAGE(D30:F30),"")</f>
        <v/>
      </c>
      <c r="H30" s="2">
        <f>IFERROR(G30-C30,"")</f>
        <v/>
      </c>
      <c r="J30" s="2" t="n">
        <v>2</v>
      </c>
      <c r="K30" s="2" t="n">
        <v>3</v>
      </c>
      <c r="L30" s="2" t="n">
        <v>4</v>
      </c>
      <c r="M30" s="2" t="n">
        <v>4</v>
      </c>
      <c r="N30" s="2" t="n">
        <v>5</v>
      </c>
      <c r="O30" s="2" t="n">
        <v>6</v>
      </c>
    </row>
    <row r="31">
      <c r="A31" s="2" t="inlineStr">
        <is>
          <t>Delivery &amp; Execution</t>
        </is>
      </c>
      <c r="B31" s="2" t="inlineStr">
        <is>
          <t>Capacity &amp; resource allocation</t>
        </is>
      </c>
      <c r="C31" s="2">
        <f>IFERROR(INDEX(J31:O31,MATCH($B$1,$J$3:$O$3,0)),"")</f>
        <v/>
      </c>
      <c r="D31" s="7" t="n"/>
      <c r="E31" s="7" t="n"/>
      <c r="F31" s="7" t="n"/>
      <c r="G31" s="2">
        <f>IFERROR(AVERAGE(D31:F31),"")</f>
        <v/>
      </c>
      <c r="H31" s="2">
        <f>IFERROR(G31-C31,"")</f>
        <v/>
      </c>
      <c r="J31" s="2" t="n">
        <v>2</v>
      </c>
      <c r="K31" s="2" t="n">
        <v>3</v>
      </c>
      <c r="L31" s="2" t="n">
        <v>4</v>
      </c>
      <c r="M31" s="2" t="n">
        <v>4</v>
      </c>
      <c r="N31" s="2" t="n">
        <v>5</v>
      </c>
      <c r="O31" s="2" t="n">
        <v>6</v>
      </c>
    </row>
    <row r="32">
      <c r="A32" s="2" t="inlineStr">
        <is>
          <t>Delivery &amp; Execution</t>
        </is>
      </c>
      <c r="B32" s="2" t="inlineStr">
        <is>
          <t>Predictable delivery &amp; flow</t>
        </is>
      </c>
      <c r="C32" s="2">
        <f>IFERROR(INDEX(J32:O32,MATCH($B$1,$J$3:$O$3,0)),"")</f>
        <v/>
      </c>
      <c r="D32" s="7" t="n"/>
      <c r="E32" s="7" t="n"/>
      <c r="F32" s="7" t="n"/>
      <c r="G32" s="2">
        <f>IFERROR(AVERAGE(D32:F32),"")</f>
        <v/>
      </c>
      <c r="H32" s="2">
        <f>IFERROR(G32-C32,"")</f>
        <v/>
      </c>
      <c r="J32" s="2" t="n">
        <v>2</v>
      </c>
      <c r="K32" s="2" t="n">
        <v>3</v>
      </c>
      <c r="L32" s="2" t="n">
        <v>4</v>
      </c>
      <c r="M32" s="2" t="n">
        <v>4</v>
      </c>
      <c r="N32" s="2" t="n">
        <v>5</v>
      </c>
      <c r="O32" s="2" t="n">
        <v>6</v>
      </c>
    </row>
    <row r="33">
      <c r="A33" s="2" t="inlineStr">
        <is>
          <t>Delivery &amp; Execution</t>
        </is>
      </c>
      <c r="B33" s="2" t="inlineStr">
        <is>
          <t>Engineering metrics &amp; delivery health</t>
        </is>
      </c>
      <c r="C33" s="2">
        <f>IFERROR(INDEX(J33:O33,MATCH($B$1,$J$3:$O$3,0)),"")</f>
        <v/>
      </c>
      <c r="D33" s="7" t="n"/>
      <c r="E33" s="7" t="n"/>
      <c r="F33" s="7" t="n"/>
      <c r="G33" s="2">
        <f>IFERROR(AVERAGE(D33:F33),"")</f>
        <v/>
      </c>
      <c r="H33" s="2">
        <f>IFERROR(G33-C33,"")</f>
        <v/>
      </c>
      <c r="J33" s="2" t="n">
        <v>2</v>
      </c>
      <c r="K33" s="2" t="n">
        <v>3</v>
      </c>
      <c r="L33" s="2" t="n">
        <v>4</v>
      </c>
      <c r="M33" s="2" t="n">
        <v>4</v>
      </c>
      <c r="N33" s="2" t="n">
        <v>5</v>
      </c>
      <c r="O33" s="2" t="n">
        <v>6</v>
      </c>
    </row>
    <row r="34">
      <c r="A34" s="2" t="inlineStr">
        <is>
          <t>Delivery &amp; Execution</t>
        </is>
      </c>
      <c r="B34" s="2" t="inlineStr">
        <is>
          <t>Process &amp; continuous improvement</t>
        </is>
      </c>
      <c r="C34" s="2">
        <f>IFERROR(INDEX(J34:O34,MATCH($B$1,$J$3:$O$3,0)),"")</f>
        <v/>
      </c>
      <c r="D34" s="7" t="n"/>
      <c r="E34" s="7" t="n"/>
      <c r="F34" s="7" t="n"/>
      <c r="G34" s="2">
        <f>IFERROR(AVERAGE(D34:F34),"")</f>
        <v/>
      </c>
      <c r="H34" s="2">
        <f>IFERROR(G34-C34,"")</f>
        <v/>
      </c>
      <c r="J34" s="2" t="n">
        <v>2</v>
      </c>
      <c r="K34" s="2" t="n">
        <v>3</v>
      </c>
      <c r="L34" s="2" t="n">
        <v>4</v>
      </c>
      <c r="M34" s="2" t="n">
        <v>4</v>
      </c>
      <c r="N34" s="2" t="n">
        <v>5</v>
      </c>
      <c r="O34" s="2" t="n">
        <v>6</v>
      </c>
    </row>
    <row r="35">
      <c r="A35" s="2" t="inlineStr">
        <is>
          <t>Delivery &amp; Execution</t>
        </is>
      </c>
      <c r="B35" s="2" t="inlineStr">
        <is>
          <t>Dependency &amp; risk management</t>
        </is>
      </c>
      <c r="C35" s="2">
        <f>IFERROR(INDEX(J35:O35,MATCH($B$1,$J$3:$O$3,0)),"")</f>
        <v/>
      </c>
      <c r="D35" s="7" t="n"/>
      <c r="E35" s="7" t="n"/>
      <c r="F35" s="7" t="n"/>
      <c r="G35" s="2">
        <f>IFERROR(AVERAGE(D35:F35),"")</f>
        <v/>
      </c>
      <c r="H35" s="2">
        <f>IFERROR(G35-C35,"")</f>
        <v/>
      </c>
      <c r="J35" s="2" t="n">
        <v>2</v>
      </c>
      <c r="K35" s="2" t="n">
        <v>3</v>
      </c>
      <c r="L35" s="2" t="n">
        <v>4</v>
      </c>
      <c r="M35" s="2" t="n">
        <v>4</v>
      </c>
      <c r="N35" s="2" t="n">
        <v>5</v>
      </c>
      <c r="O35" s="2" t="n">
        <v>6</v>
      </c>
    </row>
    <row r="36">
      <c r="A36" s="2" t="inlineStr">
        <is>
          <t>Strategy, Communication &amp; Influence</t>
        </is>
      </c>
      <c r="B36" s="2" t="inlineStr">
        <is>
          <t>Strategy formulation</t>
        </is>
      </c>
      <c r="C36" s="2">
        <f>IFERROR(INDEX(J36:O36,MATCH($B$1,$J$3:$O$3,0)),"")</f>
        <v/>
      </c>
      <c r="D36" s="7" t="n"/>
      <c r="E36" s="7" t="n"/>
      <c r="F36" s="7" t="n"/>
      <c r="G36" s="2">
        <f>IFERROR(AVERAGE(D36:F36),"")</f>
        <v/>
      </c>
      <c r="H36" s="2">
        <f>IFERROR(G36-C36,"")</f>
        <v/>
      </c>
      <c r="J36" s="2" t="n">
        <v>2</v>
      </c>
      <c r="K36" s="2" t="n">
        <v>3</v>
      </c>
      <c r="L36" s="2" t="n">
        <v>4</v>
      </c>
      <c r="M36" s="2" t="n">
        <v>5</v>
      </c>
      <c r="N36" s="2" t="n">
        <v>5</v>
      </c>
      <c r="O36" s="2" t="n">
        <v>6</v>
      </c>
    </row>
    <row r="37">
      <c r="A37" s="2" t="inlineStr">
        <is>
          <t>Strategy, Communication &amp; Influence</t>
        </is>
      </c>
      <c r="B37" s="2" t="inlineStr">
        <is>
          <t>Leading change &amp; transformation</t>
        </is>
      </c>
      <c r="C37" s="2">
        <f>IFERROR(INDEX(J37:O37,MATCH($B$1,$J$3:$O$3,0)),"")</f>
        <v/>
      </c>
      <c r="D37" s="7" t="n"/>
      <c r="E37" s="7" t="n"/>
      <c r="F37" s="7" t="n"/>
      <c r="G37" s="2">
        <f>IFERROR(AVERAGE(D37:F37),"")</f>
        <v/>
      </c>
      <c r="H37" s="2">
        <f>IFERROR(G37-C37,"")</f>
        <v/>
      </c>
      <c r="J37" s="2" t="n">
        <v>2</v>
      </c>
      <c r="K37" s="2" t="n">
        <v>3</v>
      </c>
      <c r="L37" s="2" t="n">
        <v>4</v>
      </c>
      <c r="M37" s="2" t="n">
        <v>4</v>
      </c>
      <c r="N37" s="2" t="n">
        <v>5</v>
      </c>
      <c r="O37" s="2" t="n">
        <v>6</v>
      </c>
    </row>
    <row r="38">
      <c r="A38" s="2" t="inlineStr">
        <is>
          <t>Strategy, Communication &amp; Influence</t>
        </is>
      </c>
      <c r="B38" s="2" t="inlineStr">
        <is>
          <t>Organizational &amp; team design</t>
        </is>
      </c>
      <c r="C38" s="2">
        <f>IFERROR(INDEX(J38:O38,MATCH($B$1,$J$3:$O$3,0)),"")</f>
        <v/>
      </c>
      <c r="D38" s="7" t="n"/>
      <c r="E38" s="7" t="n"/>
      <c r="F38" s="7" t="n"/>
      <c r="G38" s="2">
        <f>IFERROR(AVERAGE(D38:F38),"")</f>
        <v/>
      </c>
      <c r="H38" s="2">
        <f>IFERROR(G38-C38,"")</f>
        <v/>
      </c>
      <c r="J38" s="2" t="n">
        <v>2</v>
      </c>
      <c r="K38" s="2" t="n">
        <v>3</v>
      </c>
      <c r="L38" s="2" t="n">
        <v>4</v>
      </c>
      <c r="M38" s="2" t="n">
        <v>4</v>
      </c>
      <c r="N38" s="2" t="n">
        <v>5</v>
      </c>
      <c r="O38" s="2" t="n">
        <v>6</v>
      </c>
    </row>
    <row r="39">
      <c r="A39" s="2" t="inlineStr">
        <is>
          <t>Strategy, Communication &amp; Influence</t>
        </is>
      </c>
      <c r="B39" s="2" t="inlineStr">
        <is>
          <t>Executive &amp; stakeholder communication</t>
        </is>
      </c>
      <c r="C39" s="2">
        <f>IFERROR(INDEX(J39:O39,MATCH($B$1,$J$3:$O$3,0)),"")</f>
        <v/>
      </c>
      <c r="D39" s="7" t="n"/>
      <c r="E39" s="7" t="n"/>
      <c r="F39" s="7" t="n"/>
      <c r="G39" s="2">
        <f>IFERROR(AVERAGE(D39:F39),"")</f>
        <v/>
      </c>
      <c r="H39" s="2">
        <f>IFERROR(G39-C39,"")</f>
        <v/>
      </c>
      <c r="J39" s="2" t="n">
        <v>2</v>
      </c>
      <c r="K39" s="2" t="n">
        <v>3</v>
      </c>
      <c r="L39" s="2" t="n">
        <v>4</v>
      </c>
      <c r="M39" s="2" t="n">
        <v>5</v>
      </c>
      <c r="N39" s="2" t="n">
        <v>5</v>
      </c>
      <c r="O39" s="2" t="n">
        <v>6</v>
      </c>
    </row>
    <row r="40">
      <c r="A40" s="2" t="inlineStr">
        <is>
          <t>Strategy, Communication &amp; Influence</t>
        </is>
      </c>
      <c r="B40" s="2" t="inlineStr">
        <is>
          <t>Stakeholder management &amp; partnership</t>
        </is>
      </c>
      <c r="C40" s="2">
        <f>IFERROR(INDEX(J40:O40,MATCH($B$1,$J$3:$O$3,0)),"")</f>
        <v/>
      </c>
      <c r="D40" s="7" t="n"/>
      <c r="E40" s="7" t="n"/>
      <c r="F40" s="7" t="n"/>
      <c r="G40" s="2">
        <f>IFERROR(AVERAGE(D40:F40),"")</f>
        <v/>
      </c>
      <c r="H40" s="2">
        <f>IFERROR(G40-C40,"")</f>
        <v/>
      </c>
      <c r="J40" s="2" t="n">
        <v>2</v>
      </c>
      <c r="K40" s="2" t="n">
        <v>3</v>
      </c>
      <c r="L40" s="2" t="n">
        <v>4</v>
      </c>
      <c r="M40" s="2" t="n">
        <v>4</v>
      </c>
      <c r="N40" s="2" t="n">
        <v>5</v>
      </c>
      <c r="O40" s="2" t="n">
        <v>6</v>
      </c>
    </row>
    <row r="41">
      <c r="A41" s="2" t="inlineStr">
        <is>
          <t>Strategy, Communication &amp; Influence</t>
        </is>
      </c>
      <c r="B41" s="2" t="inlineStr">
        <is>
          <t>Cross-org influence &amp; alignment</t>
        </is>
      </c>
      <c r="C41" s="2">
        <f>IFERROR(INDEX(J41:O41,MATCH($B$1,$J$3:$O$3,0)),"")</f>
        <v/>
      </c>
      <c r="D41" s="7" t="n"/>
      <c r="E41" s="7" t="n"/>
      <c r="F41" s="7" t="n"/>
      <c r="G41" s="2">
        <f>IFERROR(AVERAGE(D41:F41),"")</f>
        <v/>
      </c>
      <c r="H41" s="2">
        <f>IFERROR(G41-C41,"")</f>
        <v/>
      </c>
      <c r="J41" s="2" t="n">
        <v>2</v>
      </c>
      <c r="K41" s="2" t="n">
        <v>3</v>
      </c>
      <c r="L41" s="2" t="n">
        <v>4</v>
      </c>
      <c r="M41" s="2" t="n">
        <v>4</v>
      </c>
      <c r="N41" s="2" t="n">
        <v>5</v>
      </c>
      <c r="O41" s="2" t="n">
        <v>6</v>
      </c>
    </row>
    <row r="42">
      <c r="A42" s="2" t="inlineStr">
        <is>
          <t>Self &amp; Personal Effectiveness</t>
        </is>
      </c>
      <c r="B42" s="2" t="inlineStr">
        <is>
          <t>Managerial leverage &amp; focus</t>
        </is>
      </c>
      <c r="C42" s="2">
        <f>IFERROR(INDEX(J42:O42,MATCH($B$1,$J$3:$O$3,0)),"")</f>
        <v/>
      </c>
      <c r="D42" s="7" t="n"/>
      <c r="E42" s="7" t="n"/>
      <c r="F42" s="7" t="n"/>
      <c r="G42" s="2">
        <f>IFERROR(AVERAGE(D42:F42),"")</f>
        <v/>
      </c>
      <c r="H42" s="2">
        <f>IFERROR(G42-C42,"")</f>
        <v/>
      </c>
      <c r="J42" s="2" t="n">
        <v>2</v>
      </c>
      <c r="K42" s="2" t="n">
        <v>3</v>
      </c>
      <c r="L42" s="2" t="n">
        <v>4</v>
      </c>
      <c r="M42" s="2" t="n">
        <v>4</v>
      </c>
      <c r="N42" s="2" t="n">
        <v>5</v>
      </c>
      <c r="O42" s="2" t="n">
        <v>6</v>
      </c>
    </row>
    <row r="43">
      <c r="A43" s="2" t="inlineStr">
        <is>
          <t>Self &amp; Personal Effectiveness</t>
        </is>
      </c>
      <c r="B43" s="2" t="inlineStr">
        <is>
          <t>Delegation &amp; empowerment</t>
        </is>
      </c>
      <c r="C43" s="2">
        <f>IFERROR(INDEX(J43:O43,MATCH($B$1,$J$3:$O$3,0)),"")</f>
        <v/>
      </c>
      <c r="D43" s="7" t="n"/>
      <c r="E43" s="7" t="n"/>
      <c r="F43" s="7" t="n"/>
      <c r="G43" s="2">
        <f>IFERROR(AVERAGE(D43:F43),"")</f>
        <v/>
      </c>
      <c r="H43" s="2">
        <f>IFERROR(G43-C43,"")</f>
        <v/>
      </c>
      <c r="J43" s="2" t="n">
        <v>2</v>
      </c>
      <c r="K43" s="2" t="n">
        <v>3</v>
      </c>
      <c r="L43" s="2" t="n">
        <v>4</v>
      </c>
      <c r="M43" s="2" t="n">
        <v>4</v>
      </c>
      <c r="N43" s="2" t="n">
        <v>5</v>
      </c>
      <c r="O43" s="2" t="n">
        <v>6</v>
      </c>
    </row>
    <row r="44">
      <c r="A44" s="2" t="inlineStr">
        <is>
          <t>Self &amp; Personal Effectiveness</t>
        </is>
      </c>
      <c r="B44" s="2" t="inlineStr">
        <is>
          <t>Self-awareness &amp; learning agility</t>
        </is>
      </c>
      <c r="C44" s="2">
        <f>IFERROR(INDEX(J44:O44,MATCH($B$1,$J$3:$O$3,0)),"")</f>
        <v/>
      </c>
      <c r="D44" s="7" t="n"/>
      <c r="E44" s="7" t="n"/>
      <c r="F44" s="7" t="n"/>
      <c r="G44" s="2">
        <f>IFERROR(AVERAGE(D44:F44),"")</f>
        <v/>
      </c>
      <c r="H44" s="2">
        <f>IFERROR(G44-C44,"")</f>
        <v/>
      </c>
      <c r="J44" s="2" t="n">
        <v>2</v>
      </c>
      <c r="K44" s="2" t="n">
        <v>3</v>
      </c>
      <c r="L44" s="2" t="n">
        <v>4</v>
      </c>
      <c r="M44" s="2" t="n">
        <v>4</v>
      </c>
      <c r="N44" s="2" t="n">
        <v>5</v>
      </c>
      <c r="O44" s="2" t="n">
        <v>6</v>
      </c>
    </row>
    <row r="45">
      <c r="A45" s="2" t="inlineStr">
        <is>
          <t>Self &amp; Personal Effectiveness</t>
        </is>
      </c>
      <c r="B45" s="2" t="inlineStr">
        <is>
          <t>Resilience &amp; sustainable pace</t>
        </is>
      </c>
      <c r="C45" s="2">
        <f>IFERROR(INDEX(J45:O45,MATCH($B$1,$J$3:$O$3,0)),"")</f>
        <v/>
      </c>
      <c r="D45" s="7" t="n"/>
      <c r="E45" s="7" t="n"/>
      <c r="F45" s="7" t="n"/>
      <c r="G45" s="2">
        <f>IFERROR(AVERAGE(D45:F45),"")</f>
        <v/>
      </c>
      <c r="H45" s="2">
        <f>IFERROR(G45-C45,"")</f>
        <v/>
      </c>
      <c r="J45" s="2" t="n">
        <v>2</v>
      </c>
      <c r="K45" s="2" t="n">
        <v>3</v>
      </c>
      <c r="L45" s="2" t="n">
        <v>4</v>
      </c>
      <c r="M45" s="2" t="n">
        <v>4</v>
      </c>
      <c r="N45" s="2" t="n">
        <v>5</v>
      </c>
      <c r="O45" s="2" t="n">
        <v>6</v>
      </c>
    </row>
    <row r="46">
      <c r="A46" s="2" t="inlineStr">
        <is>
          <t>Self &amp; Personal Effectiveness</t>
        </is>
      </c>
      <c r="B46" s="2" t="inlineStr">
        <is>
          <t>Decision-making under uncertainty</t>
        </is>
      </c>
      <c r="C46" s="2">
        <f>IFERROR(INDEX(J46:O46,MATCH($B$1,$J$3:$O$3,0)),"")</f>
        <v/>
      </c>
      <c r="D46" s="7" t="n"/>
      <c r="E46" s="7" t="n"/>
      <c r="F46" s="7" t="n"/>
      <c r="G46" s="2">
        <f>IFERROR(AVERAGE(D46:F46),"")</f>
        <v/>
      </c>
      <c r="H46" s="2">
        <f>IFERROR(G46-C46,"")</f>
        <v/>
      </c>
      <c r="J46" s="2" t="n">
        <v>2</v>
      </c>
      <c r="K46" s="2" t="n">
        <v>3</v>
      </c>
      <c r="L46" s="2" t="n">
        <v>4</v>
      </c>
      <c r="M46" s="2" t="n">
        <v>4</v>
      </c>
      <c r="N46" s="2" t="n">
        <v>5</v>
      </c>
      <c r="O46" s="2" t="n">
        <v>6</v>
      </c>
    </row>
    <row r="47">
      <c r="A47" s="2" t="inlineStr">
        <is>
          <t>Self &amp; Personal Effectiveness</t>
        </is>
      </c>
      <c r="B47" s="2" t="inlineStr">
        <is>
          <t>Ethics, integrity &amp; trust</t>
        </is>
      </c>
      <c r="C47" s="2">
        <f>IFERROR(INDEX(J47:O47,MATCH($B$1,$J$3:$O$3,0)),"")</f>
        <v/>
      </c>
      <c r="D47" s="7" t="n"/>
      <c r="E47" s="7" t="n"/>
      <c r="F47" s="7" t="n"/>
      <c r="G47" s="2">
        <f>IFERROR(AVERAGE(D47:F47),"")</f>
        <v/>
      </c>
      <c r="H47" s="2">
        <f>IFERROR(G47-C47,"")</f>
        <v/>
      </c>
      <c r="J47" s="2" t="n">
        <v>3</v>
      </c>
      <c r="K47" s="2" t="n">
        <v>3</v>
      </c>
      <c r="L47" s="2" t="n">
        <v>4</v>
      </c>
      <c r="M47" s="2" t="n">
        <v>4</v>
      </c>
      <c r="N47" s="2" t="n">
        <v>5</v>
      </c>
      <c r="O47" s="2"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5"/>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s="1" t="inlineStr">
        <is>
          <t>Sources</t>
        </is>
      </c>
    </row>
    <row r="2">
      <c r="A2" s="4" t="inlineStr">
        <is>
          <t>**Schmidt &amp; Hunter, selection-methods meta-analysis (1998)** — Hiring &amp; selection.</t>
        </is>
      </c>
    </row>
    <row r="3">
      <c r="A3" s="4" t="inlineStr">
        <is>
          <t>**Tuckman, Developmental Sequence in Small Groups (1965)** — Onboarding &amp; team formation.</t>
        </is>
      </c>
    </row>
    <row r="4">
      <c r="A4" s="4" t="inlineStr">
        <is>
          <t>**Whitmore, Coaching for Performance (1992); Google Project Oxygen** — Coaching &amp; development.</t>
        </is>
      </c>
    </row>
    <row r="5">
      <c r="A5" s="4" t="inlineStr">
        <is>
          <t>**Hewlett, Forget a Mentor, Find a Sponsor (2013)** — Career development &amp; sponsorship.</t>
        </is>
      </c>
    </row>
    <row r="6">
      <c r="A6" s="4" t="inlineStr">
        <is>
          <t>**Grove, High Output Management (1983)** — Performance management.</t>
        </is>
      </c>
    </row>
    <row r="7">
      <c r="A7" s="4" t="inlineStr">
        <is>
          <t>**Edmondson, The Fearless Organization (2018); Project Aristotle** — Psychological safety &amp; team health.</t>
        </is>
      </c>
    </row>
    <row r="8">
      <c r="A8" s="4" t="inlineStr">
        <is>
          <t>**Deci &amp; Ryan, Self-Determination Theory (2000); Herzberg (1968)** — Motivation, engagement &amp; retention.</t>
        </is>
      </c>
    </row>
    <row r="9">
      <c r="A9" s="4" t="inlineStr">
        <is>
          <t>**Perri, Escaping the Build Trap (2018); Skelton &amp; Pais, Team Topologies (2019)** — Platform vision &amp; roadmap.</t>
        </is>
      </c>
    </row>
    <row r="10">
      <c r="A10" s="4" t="inlineStr">
        <is>
          <t>**Noda, Storey, Forsgren &amp; Greiler, DevEx: What Actually Drives Productivity (ACM Queue, 2023)** — Internal user research &amp; discovery.</t>
        </is>
      </c>
    </row>
    <row r="11">
      <c r="A11" s="4" t="inlineStr">
        <is>
          <t>**Cagan, Inspired (2008)** — Platform value &amp; business case.</t>
        </is>
      </c>
    </row>
    <row r="12">
      <c r="A12" s="4" t="inlineStr">
        <is>
          <t>**Spotify Engineering, How We Use Golden Paths (2020)** — Golden paths &amp; paved roads.</t>
        </is>
      </c>
    </row>
    <row r="13">
      <c r="A13" s="4" t="inlineStr">
        <is>
          <t>**Bottcher, What I Talk About When I Talk About Platforms (martinfowler.com, 2018)** — Self-service &amp; platform interfaces.</t>
        </is>
      </c>
    </row>
    <row r="14">
      <c r="A14" s="4" t="inlineStr">
        <is>
          <t>**Winters, Manshreck &amp; Wright, Software Engineering at Google (2020) - deprecation chapter** — Adoption &amp; migration strategy.</t>
        </is>
      </c>
    </row>
    <row r="15">
      <c r="A15" s="4" t="inlineStr">
        <is>
          <t>**CNCF TAG App Delivery, Platform Engineering Maturity Model (2023)** — Platform advocacy &amp; enablement.</t>
        </is>
      </c>
    </row>
    <row r="16">
      <c r="A16" s="4" t="inlineStr">
        <is>
          <t>**Beyer, Jones, Petoff &amp; Murphy, Site Reliability Engineering (2016)** — Reliability, SLOs &amp; error budgets.</t>
        </is>
      </c>
    </row>
    <row r="17">
      <c r="A17" s="4" t="inlineStr">
        <is>
          <t>**PagerDuty, Incident Response Guide (2017); Allspaw, Blameless PostMortems (2012)** — Incident &amp; operational-risk leadership.</t>
        </is>
      </c>
    </row>
    <row r="18">
      <c r="A18" s="4" t="inlineStr">
        <is>
          <t>**Majors, Fong-Jones &amp; Miranda, Observability Engineering (2022)** — Observability &amp; health signals.</t>
        </is>
      </c>
    </row>
    <row r="19">
      <c r="A19" s="4" t="inlineStr">
        <is>
          <t>**Beyer, Jones, Petoff &amp; Murphy, Site Reliability Engineering (2016) - toil chapter** — Toil reduction &amp; automation.</t>
        </is>
      </c>
    </row>
    <row r="20">
      <c r="A20" s="4" t="inlineStr">
        <is>
          <t>**Gregg, Systems Performance (2nd ed., 2020)** — Capacity, performance &amp; cost.</t>
        </is>
      </c>
    </row>
    <row r="21">
      <c r="A21" s="4" t="inlineStr">
        <is>
          <t>**Conway (1968); Nygard, Documenting Architecture Decisions (2011)** — Platform architecture stewardship.</t>
        </is>
      </c>
    </row>
    <row r="22">
      <c r="A22" s="4" t="inlineStr">
        <is>
          <t>**Humble &amp; Farley, Continuous Delivery (2010)** — Engineering standards &amp; quality.</t>
        </is>
      </c>
    </row>
    <row r="23">
      <c r="A23" s="4" t="inlineStr">
        <is>
          <t>**Cunningham, The WyCash Portfolio Management System (1992)** — Technical debt &amp; modernization.</t>
        </is>
      </c>
    </row>
    <row r="24">
      <c r="A24" s="4" t="inlineStr">
        <is>
          <t>**Larson, An Elegant Puzzle (2019); Wardley Maps (2016)** — Technical strategy &amp; investment.</t>
        </is>
      </c>
    </row>
    <row r="25">
      <c r="A25" s="4" t="inlineStr">
        <is>
          <t>**Korn Ferry Leadership Architect (2014) - Financial Acumen** — Vendor &amp; build/buy/adopt strategy.</t>
        </is>
      </c>
    </row>
    <row r="26">
      <c r="A26" s="4" t="inlineStr">
        <is>
          <t>**OWASP, Application Security Verification Standard (v4, 2019)** — Secure-by-default platform &amp; guardrails.</t>
        </is>
      </c>
    </row>
    <row r="27">
      <c r="A27" s="4" t="inlineStr">
        <is>
          <t>**McConnell, Software Estimation (2006)** — Planning &amp; estimation.</t>
        </is>
      </c>
    </row>
    <row r="28">
      <c r="A28" s="4" t="inlineStr">
        <is>
          <t>**Reinertsen, The Principles of Product Development Flow (2009)** — Prioritization &amp; trade-offs.</t>
        </is>
      </c>
    </row>
    <row r="29">
      <c r="A29" s="4" t="inlineStr">
        <is>
          <t>**Brooks, The Mythical Man-Month (1975)** — Capacity &amp; resource allocation.</t>
        </is>
      </c>
    </row>
    <row r="30">
      <c r="A30" s="4" t="inlineStr">
        <is>
          <t>**Forsgren, Humble &amp; Kim, Accelerate (2018)** — Predictable delivery &amp; flow.</t>
        </is>
      </c>
    </row>
    <row r="31">
      <c r="A31" s="4" t="inlineStr">
        <is>
          <t>**Forsgren, Humble &amp; Kim, Accelerate (2018) - DORA four keys; SPACE (2021)** — Engineering metrics &amp; delivery health.</t>
        </is>
      </c>
    </row>
    <row r="32">
      <c r="A32" s="4" t="inlineStr">
        <is>
          <t>**Deming, Out of the Crisis (1986)** — Process &amp; continuous improvement.</t>
        </is>
      </c>
    </row>
    <row r="33">
      <c r="A33" s="4" t="inlineStr">
        <is>
          <t>**NIST Cybersecurity Framework (2014); PMI PMBOK (2021)** — Dependency &amp; risk management.</t>
        </is>
      </c>
    </row>
    <row r="34">
      <c r="A34" s="4" t="inlineStr">
        <is>
          <t>**Rumelt, Good Strategy Bad Strategy (2011)** — Strategy formulation.</t>
        </is>
      </c>
    </row>
    <row r="35">
      <c r="A35" s="4" t="inlineStr">
        <is>
          <t>**Kotter, Leading Change (1996)** — Leading change &amp; transformation.</t>
        </is>
      </c>
    </row>
    <row r="36">
      <c r="A36" s="4" t="inlineStr">
        <is>
          <t>**Skelton &amp; Pais, Team Topologies (2019); Conway (1968)** — Organizational &amp; team design.</t>
        </is>
      </c>
    </row>
    <row r="37">
      <c r="A37" s="4" t="inlineStr">
        <is>
          <t>**Duarte, HBR Guide to Persuasive Presentations (2012)** — Executive &amp; stakeholder communication.</t>
        </is>
      </c>
    </row>
    <row r="38">
      <c r="A38" s="4" t="inlineStr">
        <is>
          <t>**Freeman, Strategic Management: A Stakeholder Approach (1984)** — Stakeholder management &amp; partnership.</t>
        </is>
      </c>
    </row>
    <row r="39">
      <c r="A39" s="4" t="inlineStr">
        <is>
          <t>**Cohen &amp; Bradford, Influence Without Authority (1989); Bungay, The Art of Action (2011)** — Cross-org influence &amp; alignment.</t>
        </is>
      </c>
    </row>
    <row r="40">
      <c r="A40" s="4" t="inlineStr">
        <is>
          <t>**Grove, High Output Management (1983); Drucker (1967)** — Managerial leverage &amp; focus.</t>
        </is>
      </c>
    </row>
    <row r="41">
      <c r="A41" s="4" t="inlineStr">
        <is>
          <t>**Marquet, Turn the Ship Around! (2012)** — Delegation &amp; empowerment.</t>
        </is>
      </c>
    </row>
    <row r="42">
      <c r="A42" s="4" t="inlineStr">
        <is>
          <t>**Eurich, Insight (2017); Lombardo &amp; Eichinger (2000)** — Self-awareness &amp; learning agility.</t>
        </is>
      </c>
    </row>
    <row r="43">
      <c r="A43" s="4" t="inlineStr">
        <is>
          <t>**Loehr &amp; Schwartz, The Power of Full Engagement (2003)** — Resilience &amp; sustainable pace.</t>
        </is>
      </c>
    </row>
    <row r="44">
      <c r="A44" s="4" t="inlineStr">
        <is>
          <t>**Kahneman, Thinking, Fast and Slow (2011)** — Decision-making under uncertainty.</t>
        </is>
      </c>
    </row>
    <row r="45">
      <c r="A45" s="4" t="inlineStr">
        <is>
          <t>**Mayer, Davis &amp; Schoorman (1995); ACM Code of Ethics (2018)** — Ethics, integrity &amp; trust.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2026-07-07T07:35:21Z</dcterms:created>
  <dcterms:modified xsi:type="dcterms:W3CDTF">2026-07-07T07:35:21Z</dcterms:modified>
</cp:coreProperties>
</file>