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mpetency Matrix" sheetId="2" state="visible" r:id="rId2"/>
    <sheet name="Rating Template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FF0563C1"/>
      <sz val="10"/>
      <u val="single"/>
    </font>
    <font>
      <name val="Arial"/>
      <color rgb="FF0000CC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mresearch/open-capability-framework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mresearch/open-capability-framework/blob/main/data/capabilities.md#swe-05" TargetMode="External" Id="rId1" /><Relationship Type="http://schemas.openxmlformats.org/officeDocument/2006/relationships/hyperlink" Target="https://github.com/jmresearch/open-capability-framework/blob/main/data/capabilities.md#swe-07" TargetMode="External" Id="rId2" /><Relationship Type="http://schemas.openxmlformats.org/officeDocument/2006/relationships/hyperlink" Target="https://github.com/jmresearch/open-capability-framework/blob/main/data/capabilities.md#swe-01" TargetMode="External" Id="rId3" /><Relationship Type="http://schemas.openxmlformats.org/officeDocument/2006/relationships/hyperlink" Target="https://github.com/jmresearch/open-capability-framework/blob/main/data/capabilities.md#swe-02" TargetMode="External" Id="rId4" /><Relationship Type="http://schemas.openxmlformats.org/officeDocument/2006/relationships/hyperlink" Target="https://github.com/jmresearch/open-capability-framework/blob/main/data/capabilities.md#swe-06" TargetMode="External" Id="rId5" /><Relationship Type="http://schemas.openxmlformats.org/officeDocument/2006/relationships/hyperlink" Target="https://github.com/jmresearch/open-capability-framework/blob/main/data/capabilities.md#swe-03" TargetMode="External" Id="rId6" /><Relationship Type="http://schemas.openxmlformats.org/officeDocument/2006/relationships/hyperlink" Target="https://github.com/jmresearch/open-capability-framework/blob/main/contrib/2026-07-ai-augmented-development.md" TargetMode="External" Id="rId7" /><Relationship Type="http://schemas.openxmlformats.org/officeDocument/2006/relationships/hyperlink" Target="https://github.com/jmresearch/open-capability-framework/blob/main/data/capabilities.md#ai-01" TargetMode="External" Id="rId8" /><Relationship Type="http://schemas.openxmlformats.org/officeDocument/2006/relationships/hyperlink" Target="https://github.com/jmresearch/open-capability-framework/blob/main/data/capabilities.md#ai-01" TargetMode="External" Id="rId9" /><Relationship Type="http://schemas.openxmlformats.org/officeDocument/2006/relationships/hyperlink" Target="https://github.com/jmresearch/open-capability-framework/blob/main/data/capabilities.md#swe-09" TargetMode="External" Id="rId10" /><Relationship Type="http://schemas.openxmlformats.org/officeDocument/2006/relationships/hyperlink" Target="https://github.com/jmresearch/open-capability-framework/blob/main/data/capabilities.md#ai-02" TargetMode="External" Id="rId11" /><Relationship Type="http://schemas.openxmlformats.org/officeDocument/2006/relationships/hyperlink" Target="https://github.com/jmresearch/open-capability-framework/blob/main/data/capabilities.md#ai-02" TargetMode="External" Id="rId12" /><Relationship Type="http://schemas.openxmlformats.org/officeDocument/2006/relationships/hyperlink" Target="https://github.com/jmresearch/open-capability-framework/blob/main/data/capabilities.md#ai-02" TargetMode="External" Id="rId13" /><Relationship Type="http://schemas.openxmlformats.org/officeDocument/2006/relationships/hyperlink" Target="https://github.com/jmresearch/open-capability-framework/blob/main/data/capabilities.md#ai-03" TargetMode="External" Id="rId14" /><Relationship Type="http://schemas.openxmlformats.org/officeDocument/2006/relationships/hyperlink" Target="https://github.com/jmresearch/open-capability-framework/blob/main/data/capabilities.md#ai-03" TargetMode="External" Id="rId15" /><Relationship Type="http://schemas.openxmlformats.org/officeDocument/2006/relationships/hyperlink" Target="https://github.com/jmresearch/open-capability-framework/blob/main/data/capabilities.md#ai-05" TargetMode="External" Id="rId16" /><Relationship Type="http://schemas.openxmlformats.org/officeDocument/2006/relationships/hyperlink" Target="https://github.com/jmresearch/open-capability-framework/blob/main/data/capabilities.md#be-11" TargetMode="External" Id="rId17" /><Relationship Type="http://schemas.openxmlformats.org/officeDocument/2006/relationships/hyperlink" Target="https://github.com/jmresearch/open-capability-framework/blob/main/data/capabilities.md#ai-03" TargetMode="External" Id="rId18" /><Relationship Type="http://schemas.openxmlformats.org/officeDocument/2006/relationships/hyperlink" Target="https://github.com/jmresearch/open-capability-framework/blob/main/data/capabilities.md#ai-07" TargetMode="External" Id="rId19" /><Relationship Type="http://schemas.openxmlformats.org/officeDocument/2006/relationships/hyperlink" Target="https://github.com/jmresearch/open-capability-framework/blob/main/data/capabilities.md#ai-04" TargetMode="External" Id="rId20" /><Relationship Type="http://schemas.openxmlformats.org/officeDocument/2006/relationships/hyperlink" Target="https://github.com/jmresearch/open-capability-framework/blob/main/data/capabilities.md#qa-08" TargetMode="External" Id="rId21" /><Relationship Type="http://schemas.openxmlformats.org/officeDocument/2006/relationships/hyperlink" Target="https://github.com/jmresearch/open-capability-framework/blob/main/data/capabilities.md#ops-05" TargetMode="External" Id="rId22" /><Relationship Type="http://schemas.openxmlformats.org/officeDocument/2006/relationships/hyperlink" Target="https://github.com/jmresearch/open-capability-framework/blob/main/data/capabilities.md#ai-17" TargetMode="External" Id="rId23" /><Relationship Type="http://schemas.openxmlformats.org/officeDocument/2006/relationships/hyperlink" Target="https://github.com/jmresearch/open-capability-framework/blob/main/data/capabilities.md#ops-04" TargetMode="External" Id="rId24" /><Relationship Type="http://schemas.openxmlformats.org/officeDocument/2006/relationships/hyperlink" Target="https://github.com/jmresearch/open-capability-framework/blob/main/data/capabilities.md#ops-06" TargetMode="External" Id="rId25" /><Relationship Type="http://schemas.openxmlformats.org/officeDocument/2006/relationships/hyperlink" Target="https://github.com/jmresearch/open-capability-framework/blob/main/data/capabilities.md#be-19" TargetMode="External" Id="rId26" /><Relationship Type="http://schemas.openxmlformats.org/officeDocument/2006/relationships/hyperlink" Target="https://github.com/jmresearch/open-capability-framework/blob/main/data/capabilities.md#ops-07" TargetMode="External" Id="rId27" /><Relationship Type="http://schemas.openxmlformats.org/officeDocument/2006/relationships/hyperlink" Target="https://github.com/jmresearch/open-capability-framework/blob/main/data/capabilities.md#ai-19" TargetMode="External" Id="rId28" /><Relationship Type="http://schemas.openxmlformats.org/officeDocument/2006/relationships/hyperlink" Target="https://github.com/jmresearch/open-capability-framework/blob/main/data/capabilities.md#ops-08" TargetMode="External" Id="rId29" /><Relationship Type="http://schemas.openxmlformats.org/officeDocument/2006/relationships/hyperlink" Target="https://github.com/jmresearch/open-capability-framework/blob/main/data/capabilities.md#ops-09" TargetMode="External" Id="rId30" /><Relationship Type="http://schemas.openxmlformats.org/officeDocument/2006/relationships/hyperlink" Target="https://github.com/jmresearch/open-capability-framework/blob/main/data/capabilities.md#ai-05" TargetMode="External" Id="rId31" /><Relationship Type="http://schemas.openxmlformats.org/officeDocument/2006/relationships/hyperlink" Target="https://github.com/jmresearch/open-capability-framework/blob/main/data/capabilities.md#ai-15" TargetMode="External" Id="rId32" /><Relationship Type="http://schemas.openxmlformats.org/officeDocument/2006/relationships/hyperlink" Target="https://github.com/jmresearch/open-capability-framework/blob/main/contrib/2026-07-ai-risk-governance.md" TargetMode="External" Id="rId33" /><Relationship Type="http://schemas.openxmlformats.org/officeDocument/2006/relationships/hyperlink" Target="https://github.com/jmresearch/open-capability-framework/blob/main/data/capabilities.md#ai-20" TargetMode="External" Id="rId34" /><Relationship Type="http://schemas.openxmlformats.org/officeDocument/2006/relationships/hyperlink" Target="https://github.com/jmresearch/open-capability-framework/blob/main/data/capabilities.md#pd-06" TargetMode="External" Id="rId35" /><Relationship Type="http://schemas.openxmlformats.org/officeDocument/2006/relationships/hyperlink" Target="https://github.com/jmresearch/open-capability-framework/blob/main/data/capabilities.md#pd-04" TargetMode="External" Id="rId36" /><Relationship Type="http://schemas.openxmlformats.org/officeDocument/2006/relationships/hyperlink" Target="https://github.com/jmresearch/open-capability-framework/blob/main/data/capabilities.md#ops-30" TargetMode="External" Id="rId37" /><Relationship Type="http://schemas.openxmlformats.org/officeDocument/2006/relationships/hyperlink" Target="https://github.com/jmresearch/open-capability-framework/blob/main/data/capabilities.md#pd-05" TargetMode="External" Id="rId38" /><Relationship Type="http://schemas.openxmlformats.org/officeDocument/2006/relationships/hyperlink" Target="https://github.com/jmresearch/open-capability-framework/blob/main/data/capabilities.md#cc-01" TargetMode="External" Id="rId39" /><Relationship Type="http://schemas.openxmlformats.org/officeDocument/2006/relationships/hyperlink" Target="https://github.com/jmresearch/open-capability-framework/blob/main/data/capabilities.md#cc-03" TargetMode="External" Id="rId40" /><Relationship Type="http://schemas.openxmlformats.org/officeDocument/2006/relationships/hyperlink" Target="https://github.com/jmresearch/open-capability-framework/blob/main/data/capabilities.md#cc-02" TargetMode="External" Id="rId41" /><Relationship Type="http://schemas.openxmlformats.org/officeDocument/2006/relationships/hyperlink" Target="https://github.com/jmresearch/open-capability-framework/blob/main/data/capabilities.md#li-01" TargetMode="External" Id="rId42" /><Relationship Type="http://schemas.openxmlformats.org/officeDocument/2006/relationships/hyperlink" Target="https://github.com/jmresearch/open-capability-framework/blob/main/data/capabilities.md#li-03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60" customWidth="1" min="4" max="4"/>
  </cols>
  <sheetData>
    <row r="1">
      <c r="A1" s="1" t="inlineStr">
        <is>
          <t>Role</t>
        </is>
      </c>
      <c r="B1" s="2" t="inlineStr">
        <is>
          <t>AI Engineer</t>
        </is>
      </c>
    </row>
    <row r="2">
      <c r="A2" s="1" t="inlineStr">
        <is>
          <t>Slug</t>
        </is>
      </c>
      <c r="B2" s="2" t="inlineStr">
        <is>
          <t>ai-engineer</t>
        </is>
      </c>
    </row>
    <row r="3">
      <c r="A3" s="1" t="inlineStr">
        <is>
          <t>Variant</t>
        </is>
      </c>
      <c r="B3" s="2" t="inlineStr">
        <is>
          <t>ic_technical</t>
        </is>
      </c>
    </row>
    <row r="4">
      <c r="A4" s="1" t="inlineStr">
        <is>
          <t>Minted</t>
        </is>
      </c>
      <c r="B4" s="2" t="inlineStr">
        <is>
          <t>2026-07-02</t>
        </is>
      </c>
    </row>
    <row r="6">
      <c r="A6" s="1" t="inlineStr">
        <is>
          <t>Level</t>
        </is>
      </c>
      <c r="B6" s="1" t="inlineStr">
        <is>
          <t>Title</t>
        </is>
      </c>
      <c r="C6" s="1" t="inlineStr">
        <is>
          <t>Scope</t>
        </is>
      </c>
      <c r="D6" s="1" t="inlineStr">
        <is>
          <t>Focus</t>
        </is>
      </c>
    </row>
    <row r="7">
      <c r="A7" s="3" t="inlineStr">
        <is>
          <t>E1</t>
        </is>
      </c>
      <c r="B7" s="3" t="inlineStr">
        <is>
          <t>Associate AI Engineer</t>
        </is>
      </c>
      <c r="C7" s="4" t="inlineStr">
        <is>
          <t>task</t>
        </is>
      </c>
      <c r="D7" s="4" t="inlineStr">
        <is>
          <t>Learns the AI stack and ships well-scoped tasks with guidance</t>
        </is>
      </c>
    </row>
    <row r="8">
      <c r="A8" s="3" t="inlineStr">
        <is>
          <t>E2</t>
        </is>
      </c>
      <c r="B8" s="3" t="inlineStr">
        <is>
          <t>AI Engineer</t>
        </is>
      </c>
      <c r="C8" s="4" t="inlineStr">
        <is>
          <t>component</t>
        </is>
      </c>
      <c r="D8" s="4" t="inlineStr">
        <is>
          <t>Owns model-backed components end to end, independently</t>
        </is>
      </c>
    </row>
    <row r="9">
      <c r="A9" s="3" t="inlineStr">
        <is>
          <t>E3</t>
        </is>
      </c>
      <c r="B9" s="3" t="inlineStr">
        <is>
          <t>Senior AI Engineer</t>
        </is>
      </c>
      <c r="C9" s="4" t="inlineStr">
        <is>
          <t>capability / domain (terminal level)</t>
        </is>
      </c>
      <c r="D9" s="4" t="inlineStr">
        <is>
          <t>Owns an AI capability; the quality bar for a domain; terminal level</t>
        </is>
      </c>
    </row>
    <row r="10">
      <c r="A10" s="3" t="inlineStr">
        <is>
          <t>E4</t>
        </is>
      </c>
      <c r="B10" s="3" t="inlineStr">
        <is>
          <t>Staff AI Engineer</t>
        </is>
      </c>
      <c r="C10" s="4" t="inlineStr">
        <is>
          <t>multiple teams</t>
        </is>
      </c>
      <c r="D10" s="4" t="inlineStr">
        <is>
          <t>Sets patterns and standards multiple teams build against</t>
        </is>
      </c>
    </row>
    <row r="11">
      <c r="A11" s="3" t="inlineStr">
        <is>
          <t>E5</t>
        </is>
      </c>
      <c r="B11" s="3" t="inlineStr">
        <is>
          <t>Senior Staff AI Engineer</t>
        </is>
      </c>
      <c r="C11" s="4" t="inlineStr">
        <is>
          <t>organization</t>
        </is>
      </c>
      <c r="D11" s="4" t="inlineStr">
        <is>
          <t>Drives org-wide AI engineering strategy</t>
        </is>
      </c>
    </row>
    <row r="12">
      <c r="A12" s="3" t="inlineStr">
        <is>
          <t>E6</t>
        </is>
      </c>
      <c r="B12" s="3" t="inlineStr">
        <is>
          <t>Principal AI Engineer</t>
        </is>
      </c>
      <c r="C12" s="4" t="inlineStr">
        <is>
          <t>company</t>
        </is>
      </c>
      <c r="D12" s="4" t="inlineStr">
        <is>
          <t>Sets company-level technical direction for AI</t>
        </is>
      </c>
    </row>
    <row r="14" ht="60" customHeight="1">
      <c r="A14" s="4" t="inlineStr">
        <is>
          <t>How to read: each row of the Competency Matrix is one competency, mapped to an Open Capability Framework capability (OCF ID column — click through for the catalog entry and its P1-P6 profile). Level columns describe observable behavior at each level; use the Rating Template for self/peer/manager scoring.</t>
        </is>
      </c>
    </row>
    <row r="16">
      <c r="A16" s="1" t="inlineStr">
        <is>
          <t>Framework repository</t>
        </is>
      </c>
      <c r="B16" s="5" t="inlineStr">
        <is>
          <t>https://github.com/jmresearch/open-capability-framework</t>
        </is>
      </c>
    </row>
  </sheetData>
  <mergeCells count="1">
    <mergeCell ref="A14:D14"/>
  </mergeCells>
  <hyperlinks>
    <hyperlink xmlns:r="http://schemas.openxmlformats.org/officeDocument/2006/relationships" ref="B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2" customWidth="1" min="4" max="4"/>
    <col width="40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Key Area</t>
        </is>
      </c>
      <c r="B1" s="1" t="inlineStr">
        <is>
          <t>Focus Area</t>
        </is>
      </c>
      <c r="C1" s="1" t="inlineStr">
        <is>
          <t>Competency</t>
        </is>
      </c>
      <c r="D1" s="1" t="inlineStr">
        <is>
          <t>OCF ID</t>
        </is>
      </c>
      <c r="E1" s="1" t="inlineStr">
        <is>
          <t>Theory Anchor</t>
        </is>
      </c>
      <c r="F1" s="1" t="inlineStr">
        <is>
          <t>E1</t>
        </is>
      </c>
      <c r="G1" s="1" t="inlineStr">
        <is>
          <t>E2</t>
        </is>
      </c>
      <c r="H1" s="1" t="inlineStr">
        <is>
          <t>E3</t>
        </is>
      </c>
      <c r="I1" s="1" t="inlineStr">
        <is>
          <t>E4</t>
        </is>
      </c>
      <c r="J1" s="1" t="inlineStr">
        <is>
          <t>E5</t>
        </is>
      </c>
      <c r="K1" s="1" t="inlineStr">
        <is>
          <t>E6</t>
        </is>
      </c>
    </row>
    <row r="2">
      <c r="A2" s="4" t="inlineStr">
        <is>
          <t>Software Engineering Craft</t>
        </is>
      </c>
      <c r="B2" s="4" t="inlineStr">
        <is>
          <t>Design &amp; Architecture</t>
        </is>
      </c>
      <c r="C2" s="4" t="inlineStr">
        <is>
          <t>System design &amp; architecture</t>
        </is>
      </c>
      <c r="D2" s="6" t="inlineStr">
        <is>
          <t>SWE-05</t>
        </is>
      </c>
      <c r="E2" s="4" t="inlineStr">
        <is>
          <t>Kleppmann, *Designing Data-Intensive Applications* (2017)</t>
        </is>
      </c>
      <c r="F2" s="4" t="inlineStr">
        <is>
          <t>Depth: explains the system's architecture in their own words and implements designs specified by others, asking when a boundary is unclear - including where model calls sit in the request path and why they are isolated behind interfaces. Scope: a task within an existing design.</t>
        </is>
      </c>
      <c r="G2" s="4" t="inlineStr">
        <is>
          <t>Depth: designs a component and writes the short design note for it, naming at least one alternative considered; isolates model calls behind clear interfaces and uses established patterns correctly. Scope: a component and its immediate neighbors.</t>
        </is>
      </c>
      <c r="H2" s="4" t="inlineStr">
        <is>
          <t>Depth: selects patterns by trade-off in design docs that name the alternatives and failure modes, designing for evolution - swappable models, versioned prompts, isolated nondeterminism - and catches coupling and scaling problems in others' designs before build. Scope: owns architecture for an AI capability and runs its design reviews.</t>
        </is>
      </c>
      <c r="I2" s="4" t="inlineStr">
        <is>
          <t>Depth: writes the reference architectures other teams instantiate and arbitrates cross-team design disputes with written trade-off analysis. Scope: multiple teams build against their designs.</t>
        </is>
      </c>
      <c r="J2" s="4" t="inlineStr">
        <is>
          <t>Depth: sets the architectural direction for AI systems across the org, retiring dead-end patterns explicitly and removing the systemic obstacles that block the target state. Scope: organization.</t>
        </is>
      </c>
      <c r="K2" s="4" t="inlineStr">
        <is>
          <t>Depth: defines the company's long-horizon technical bets for AI systems - build vs. buy, platform vs. product - in writing executives and engineers both act on. Scope: company.</t>
        </is>
      </c>
    </row>
    <row r="3">
      <c r="A3" s="4" t="inlineStr">
        <is>
          <t>Software Engineering Craft</t>
        </is>
      </c>
      <c r="B3" s="4" t="inlineStr">
        <is>
          <t>Design &amp; Architecture</t>
        </is>
      </c>
      <c r="C3" s="4" t="inlineStr">
        <is>
          <t>API &amp; service design</t>
        </is>
      </c>
      <c r="D3" s="6" t="inlineStr">
        <is>
          <t>SWE-07</t>
        </is>
      </c>
      <c r="E3" s="4" t="inlineStr">
        <is>
          <t>Bloch, "How to Design a Good API and Why It Matters" (2006)</t>
        </is>
      </c>
      <c r="F3" s="4" t="inlineStr">
        <is>
          <t>Depth: implements endpoints to an existing API contract, including error responses, and flags mismatches between spec and behavior. Scope: single endpoints.</t>
        </is>
      </c>
      <c r="G3" s="4" t="inlineStr">
        <is>
          <t>Depth: designs the API surface for a component - versioning, streaming semantics, and explicit error shapes for model failures included - and documents it well enough that a consumer needs no walkthrough. Scope: a component's consumers.</t>
        </is>
      </c>
      <c r="H3" s="4" t="inlineStr">
        <is>
          <t>Depth: designs contracts that isolate consumers from model and provider changes - streaming, partial failure, and nondeterminism handled explicitly in the interface - and rejects designs that leak provider details or raw model output to callers. Scope: the APIs of a capability; reviews neighbors' contracts.</t>
        </is>
      </c>
      <c r="I3" s="4" t="inlineStr">
        <is>
          <t>Depth: sets the API conventions multiple teams follow for model-backed services and retires inconsistent legacy surfaces with migration paths. Scope: multiple teams.</t>
        </is>
      </c>
      <c r="J3" s="4" t="inlineStr">
        <is>
          <t>Depth: drives the org's interface strategy - which capabilities become shared platforms, and the deprecation policy that keeps the surface coherent. Scope: organization.</t>
        </is>
      </c>
      <c r="K3" s="4" t="inlineStr">
        <is>
          <t>Depth: shapes the company's external and partner-facing AI interfaces, balancing product commitments against provider volatility. Scope: company and ecosystem.</t>
        </is>
      </c>
    </row>
    <row r="4">
      <c r="A4" s="4" t="inlineStr">
        <is>
          <t>Software Engineering Craft</t>
        </is>
      </c>
      <c r="B4" s="4" t="inlineStr">
        <is>
          <t>Code Craft &amp; Implementation</t>
        </is>
      </c>
      <c r="C4" s="4" t="inlineStr">
        <is>
          <t>Coding &amp; implementation</t>
        </is>
      </c>
      <c r="D4" s="6" t="inlineStr">
        <is>
          <t>SWE-01</t>
        </is>
      </c>
      <c r="E4" s="4" t="inlineStr">
        <is>
          <t>McConnell, *Code Complete* (2nd ed., 2004)</t>
        </is>
      </c>
      <c r="F4" s="4" t="inlineStr">
        <is>
          <t>Depth: writes working, readable code in the team's primary language and debugs their own changes to root cause before asking for help. Scope: small changes delivered with review and guidance.</t>
        </is>
      </c>
      <c r="G4" s="4" t="inlineStr">
        <is>
          <t>Depth: implements features of moderate complexity independently, handling error paths, async patterns, and concurrency basics correctly in idiomatic code. Scope: a component.</t>
        </is>
      </c>
      <c r="H4" s="4" t="inlineStr">
        <is>
          <t>Depth: writes code others use as the reference for the stack and debugs the hard problems - race conditions, memory pressure, nondeterministic failures - that stall teammates. Scope: raises implementation quality across a capability.</t>
        </is>
      </c>
      <c r="I4" s="4" t="inlineStr">
        <is>
          <t>Depth: solves the implementation problems other teams can't, working across multiple stacks and paradigms, and lands the patterns they use as shared libraries. Scope: multiple teams.</t>
        </is>
      </c>
      <c r="J4" s="4" t="inlineStr">
        <is>
          <t>Depth: anticipates where implementations break at scale and shapes org-wide engineering practice through visible, load-bearing code. Scope: organization.</t>
        </is>
      </c>
      <c r="K4" s="4" t="inlineStr">
        <is>
          <t>Depth: authors foundational primitives used company-wide and is the benchmark for implementation depth. Scope: company.</t>
        </is>
      </c>
    </row>
    <row r="5">
      <c r="A5" s="4" t="inlineStr">
        <is>
          <t>Software Engineering Craft</t>
        </is>
      </c>
      <c r="B5" s="4" t="inlineStr">
        <is>
          <t>Code Craft &amp; Implementation</t>
        </is>
      </c>
      <c r="C5" s="4" t="inlineStr">
        <is>
          <t>Code quality &amp; review</t>
        </is>
      </c>
      <c r="D5" s="6" t="inlineStr">
        <is>
          <t>SWE-02</t>
        </is>
      </c>
      <c r="E5" s="4" t="inlineStr">
        <is>
          <t>Winters, Manshreck &amp; Wright, *Software Engineering at Google* (2020)</t>
        </is>
      </c>
      <c r="F5" s="4" t="inlineStr">
        <is>
          <t>Depth: submits small, reviewable changes that pass CI first try more often than not and responds to review feedback by fixing the pattern, not just the line. Scope: their own changes.</t>
        </is>
      </c>
      <c r="G5" s="4" t="inlineStr">
        <is>
          <t>Depth: reviews peers' changes with substantive comments - correctness, naming, missed edge cases - and keeps the code they touch consistently readable, separating prototype code from production paths without being told. Scope: a component's codebase.</t>
        </is>
      </c>
      <c r="H5" s="4" t="inlineStr">
        <is>
          <t>Depth: holds the quality bar in review for a whole domain, including AI-generated code, articulating why a change is risky rather than just that it is, and pays down debt deliberately rather than opportunistically. Scope: a capability; the reviewer others request.</t>
        </is>
      </c>
      <c r="I5" s="4" t="inlineStr">
        <is>
          <t>Depth: codifies review and code-health standards multiple teams adopt - lint rules, prompt-versioning conventions, review norms - and measurably reduces defect escape in the areas they steward. Scope: multiple teams.</t>
        </is>
      </c>
      <c r="J5" s="4" t="inlineStr">
        <is>
          <t>Depth: changes how the org reviews and maintains code - tooling, norms, and the standards for machine-authored changes. Scope: organization.</t>
        </is>
      </c>
      <c r="K5" s="4" t="inlineStr">
        <is>
          <t>Depth: sets the company's engineering quality bar, cited when quality trade-offs reach executive decisions. Scope: company.</t>
        </is>
      </c>
    </row>
    <row r="6">
      <c r="A6" s="4" t="inlineStr">
        <is>
          <t>Software Engineering Craft</t>
        </is>
      </c>
      <c r="B6" s="4" t="inlineStr">
        <is>
          <t>Code Craft &amp; Implementation</t>
        </is>
      </c>
      <c r="C6" s="4" t="inlineStr">
        <is>
          <t>Debugging &amp; systems diagnosis</t>
        </is>
      </c>
      <c r="D6" s="6" t="inlineStr">
        <is>
          <t>SWE-06</t>
        </is>
      </c>
      <c r="E6" s="4" t="inlineStr">
        <is>
          <t>Agans, *Debugging: The 9 Indispensable Rules* (2002)</t>
        </is>
      </c>
      <c r="F6" s="4" t="inlineStr">
        <is>
          <t>Depth: reproduces a reported bug and bisects it to a candidate cause with guidance, reading logs and stack traces before asking for help. Scope: bugs in their own tasks.</t>
        </is>
      </c>
      <c r="G6" s="4" t="inlineStr">
        <is>
          <t>Depth: isolates faults across service boundaries unaided, distinguishing deterministic code bugs from model-behavior variance before escalating. Scope: their component and its direct dependencies.</t>
        </is>
      </c>
      <c r="H6" s="4" t="inlineStr">
        <is>
          <t>Depth: debugs the hardest failures in a capability, including intermittent model-dependent ones, and writes the reproduction others rerun. Scope: a capability; teammates bring them the stuck cases.</t>
        </is>
      </c>
      <c r="I6" s="4" t="inlineStr">
        <is>
          <t>Depth: untangles cross-team failures where no single owner sees the whole path and leaves behind the instrumentation that makes the next one cheap. Scope: multiple teams' systems.</t>
        </is>
      </c>
      <c r="J6" s="4" t="inlineStr">
        <is>
          <t>Depth: spots systemic failure classes from incident patterns across the org and drives the architectural fixes. Scope: organization.</t>
        </is>
      </c>
      <c r="K6" s="4" t="inlineStr">
        <is>
          <t>Depth: is the debugger of last resort for company-critical AI incidents and turns each into a durable prevention mechanism. Scope: company.</t>
        </is>
      </c>
    </row>
    <row r="7">
      <c r="A7" s="4" t="inlineStr">
        <is>
          <t>Software Engineering Craft</t>
        </is>
      </c>
      <c r="B7" s="4" t="inlineStr">
        <is>
          <t>Testing &amp; AI-Assisted Development</t>
        </is>
      </c>
      <c r="C7" s="4" t="inlineStr">
        <is>
          <t>Deterministic tests vs evals</t>
        </is>
      </c>
      <c r="D7" s="6" t="inlineStr">
        <is>
          <t>SWE-03</t>
        </is>
      </c>
      <c r="E7" s="4" t="inlineStr">
        <is>
          <t>Vocke, "The Practical Test Pyramid" (martinfowler.com, 2018); Husain, "Your AI Product Needs Evals" (2024)</t>
        </is>
      </c>
      <c r="F7" s="4" t="inlineStr">
        <is>
          <t>Depth: writes unit tests for the deterministic parts of a change - parsing, templating, tool schemas - and can say which behaviors are testable versus eval-able when asked. Scope: their task.</t>
        </is>
      </c>
      <c r="G7" s="4" t="inlineStr">
        <is>
          <t>Depth: draws the test/eval boundary correctly for a component - mocks model calls in unit tests, routes behavioral claims to evals - and keeps CI fast and free of flaky model-dependent assertions. Scope: a component's test suite.</t>
        </is>
      </c>
      <c r="H7" s="4" t="inlineStr">
        <is>
          <t>Depth: designs the verification strategy for a capability - what runs in CI, what runs as evals, what only production monitoring can catch - and rejects flaky model-in-the-loop tests in review with a stated rule. Scope: a capability; the split they define is what teammates follow.</t>
        </is>
      </c>
      <c r="I7" s="4" t="inlineStr">
        <is>
          <t>Depth: standardizes the test-vs-eval discipline across teams with shared fixtures, replay harnesses, and CI policy for what may block a merge. Scope: multiple teams' pipelines.</t>
        </is>
      </c>
      <c r="J7" s="4" t="inlineStr">
        <is>
          <t>Depth: owns the org's verification strategy for AI systems, funding the harnesses that make the right split cheap and killing the theater. Scope: organization.</t>
        </is>
      </c>
      <c r="K7" s="4" t="inlineStr">
        <is>
          <t>Depth: sets company policy for what 'verified' means for AI products, traceable from CI to eval to production evidence. Scope: company.</t>
        </is>
      </c>
    </row>
    <row r="8">
      <c r="A8" s="4" t="inlineStr">
        <is>
          <t>Software Engineering Craft</t>
        </is>
      </c>
      <c r="B8" s="4" t="inlineStr">
        <is>
          <t>Testing &amp; AI-Assisted Development</t>
        </is>
      </c>
      <c r="C8" s="4" t="inlineStr">
        <is>
          <t>AI-augmented development judgment</t>
        </is>
      </c>
      <c r="D8" s="6" t="inlineStr">
        <is>
          <t>proposed</t>
        </is>
      </c>
      <c r="E8" s="4" t="inlineStr">
        <is>
          <t>DORA, *Accelerate State of DevOps Report* (2024), AI adoption findings</t>
        </is>
      </c>
      <c r="F8" s="4" t="inlineStr">
        <is>
          <t>Depth: uses AI coding tools with the output treated as a draft - reads every generated line, tests it, and can explain any part of the diff when asked. Scope: their own tasks.</t>
        </is>
      </c>
      <c r="G8" s="4" t="inlineStr">
        <is>
          <t>Depth: calibrates when generation helps and when it misleads - boilerplate yes, subtle invariants no - and catches plausible-but-wrong generated code before review; their AI-assisted diffs pass review at the same rate as hand-written ones. Scope: a component's workflow.</t>
        </is>
      </c>
      <c r="H8" s="4" t="inlineStr">
        <is>
          <t>Depth: sets the norms for AI-assisted work on their capability - what may be delegated, what review it requires, how provenance shows up - and coaches others out of over-trust and under-use. Scope: a capability's development practice.</t>
        </is>
      </c>
      <c r="I8" s="4" t="inlineStr">
        <is>
          <t>Depth: defines AI-assisted engineering practice across teams - where agents run in the delivery lifecycle, what gates their output - backed by throughput and defect data, not vendor claims. Scope: multiple teams.</t>
        </is>
      </c>
      <c r="J8" s="4" t="inlineStr">
        <is>
          <t>Depth: drives the org's AI-augmented engineering strategy, selecting tooling, measuring its effect on delivery outcomes, and adjusting policy from the data. Scope: organization.</t>
        </is>
      </c>
      <c r="K8" s="4" t="inlineStr">
        <is>
          <t>Depth: shapes how the company builds software in the AI era and is the credible voice on what changes and what doesn't. Scope: company.</t>
        </is>
      </c>
    </row>
    <row r="9">
      <c r="A9" s="4" t="inlineStr">
        <is>
          <t>LLM Integration &amp; Context Engineering</t>
        </is>
      </c>
      <c r="B9" s="4" t="inlineStr">
        <is>
          <t>Model Integration &amp; Prompting</t>
        </is>
      </c>
      <c r="C9" s="4" t="inlineStr">
        <is>
          <t>Prompt design &amp; iteration</t>
        </is>
      </c>
      <c r="D9" s="6" t="inlineStr">
        <is>
          <t>AI-01</t>
        </is>
      </c>
      <c r="E9" s="4" t="inlineStr">
        <is>
          <t>Anthropic and OpenAI prompt-engineering guides (2023-2025)</t>
        </is>
      </c>
      <c r="F9" s="4" t="inlineStr">
        <is>
          <t>Depth: makes targeted edits to existing prompts and verifies the effect against known cases before committing, following the team's prompt-versioning convention. Scope: single prompts within a task.</t>
        </is>
      </c>
      <c r="G9" s="4" t="inlineStr">
        <is>
          <t>Depth: writes production prompts from scratch - role, constraints, output schema, few-shot examples - and iterates against a saved sample set rather than one lucky output. Scope: a component's prompts.</t>
        </is>
      </c>
      <c r="H9" s="4" t="inlineStr">
        <is>
          <t>Depth: treats prompts as versioned, eval-gated artifacts; diagnoses failures to the responsible prompt section, documents why each instruction exists, and knows when the fix is retrieval or tooling, not wording. Scope: a capability; teammates adopt their prompt patterns.</t>
        </is>
      </c>
      <c r="I9" s="4" t="inlineStr">
        <is>
          <t>Depth: establishes prompt-engineering standards across teams - templates, review checklists, migration playbooks for model changes - and untangles the prompt failures others are stuck on. Scope: multiple teams.</t>
        </is>
      </c>
      <c r="J9" s="4" t="inlineStr">
        <is>
          <t>Depth: drives org-wide prompt and context craft, deciding where prompting ends and fine-tuning or tool-building begins, and re-baselining systematically when providers ship new models. Scope: organization.</t>
        </is>
      </c>
      <c r="K9" s="4" t="inlineStr">
        <is>
          <t>Depth: represents the state of the art to the company, resetting practice when model generations obsolete current techniques. Scope: company and industry.</t>
        </is>
      </c>
    </row>
    <row r="10">
      <c r="A10" s="4" t="inlineStr">
        <is>
          <t>LLM Integration &amp; Context Engineering</t>
        </is>
      </c>
      <c r="B10" s="4" t="inlineStr">
        <is>
          <t>Model Integration &amp; Prompting</t>
        </is>
      </c>
      <c r="C10" s="4" t="inlineStr">
        <is>
          <t>Model selection &amp; integration</t>
        </is>
      </c>
      <c r="D10" s="6" t="inlineStr">
        <is>
          <t>AI-01</t>
        </is>
      </c>
      <c r="E10" s="4" t="inlineStr">
        <is>
          <t>Huyen, *AI Engineering* (2025)</t>
        </is>
      </c>
      <c r="F10" s="4" t="inlineStr">
        <is>
          <t>Depth: integrates a specified model through the team's client layer - auth, retries, timeouts, streaming - per existing patterns. Scope: one integration point.</t>
        </is>
      </c>
      <c r="G10" s="4" t="inlineStr">
        <is>
          <t>Depth: runs a small structured comparison before picking a model for a feature - quality on real samples, latency, price - and records the result; handles provider quirks in code, not tribal knowledge. Scope: a component.</t>
        </is>
      </c>
      <c r="H10" s="4" t="inlineStr">
        <is>
          <t>Depth: owns model choice for a capability - including fine-tune vs. prompt vs. retrieval trade-offs - re-benchmarks when providers ship new models, and swaps models behind stable interfaces without consumer churn. Scope: a capability; their comparisons are reused by others.</t>
        </is>
      </c>
      <c r="I10" s="4" t="inlineStr">
        <is>
          <t>Depth: defines the model-selection playbook and abstraction layers multiple teams use, making provider swaps routine instead of rewrites. Scope: multiple teams.</t>
        </is>
      </c>
      <c r="J10" s="4" t="inlineStr">
        <is>
          <t>Depth: sets the org's model portfolio strategy - hosted vs. self-hosted, single vs. multi-provider - with cost and risk analysis leadership signs off on. Scope: organization.</t>
        </is>
      </c>
      <c r="K10" s="4" t="inlineStr">
        <is>
          <t>Depth: owns the company's model-sourcing strategy and its biggest bets - build, fine-tune, or buy - and negotiates the strategic provider commitments behind them. Scope: company.</t>
        </is>
      </c>
    </row>
    <row r="11">
      <c r="A11" s="4" t="inlineStr">
        <is>
          <t>LLM Integration &amp; Context Engineering</t>
        </is>
      </c>
      <c r="B11" s="4" t="inlineStr">
        <is>
          <t>Model Integration &amp; Prompting</t>
        </is>
      </c>
      <c r="C11" s="4" t="inlineStr">
        <is>
          <t>Structured output &amp; schema design</t>
        </is>
      </c>
      <c r="D11" s="6" t="inlineStr">
        <is>
          <t>SWE-09</t>
        </is>
      </c>
      <c r="E11" s="4" t="inlineStr">
        <is>
          <t>Schick et al., "Toolformer: Language Models Can Teach Themselves to Use Tools" (2023)</t>
        </is>
      </c>
      <c r="F11" s="4" t="inlineStr">
        <is>
          <t>Depth: validates model outputs against a given schema and handles rejects rather than trusting parses. Scope: one integration point.</t>
        </is>
      </c>
      <c r="G11" s="4" t="inlineStr">
        <is>
          <t>Depth: designs output schemas and tool signatures the model reliably satisfies, measuring parse and validation failure rates. Scope: a component's model I/O.</t>
        </is>
      </c>
      <c r="H11" s="4" t="inlineStr">
        <is>
          <t>Depth: owns the structured-I/O layer for a capability - schema evolution, repair strategies, when to constrain decoding versus post-validate - with failure rates on a dashboard. Scope: a capability; teams copy their schema patterns.</t>
        </is>
      </c>
      <c r="I11" s="4" t="inlineStr">
        <is>
          <t>Depth: sets cross-team standards for tool definitions and output contracts, and audits integrations that skip them. Scope: multiple teams.</t>
        </is>
      </c>
      <c r="J11" s="4" t="inlineStr">
        <is>
          <t>Depth: owns the org's model-I/O reliability strategy, driving shared validation infrastructure. Scope: organization.</t>
        </is>
      </c>
      <c r="K11" s="4" t="inlineStr">
        <is>
          <t>Depth: defines company-wide norms for machine-actionable model output, including what external partners may depend on. Scope: company.</t>
        </is>
      </c>
    </row>
    <row r="12">
      <c r="A12" s="4" t="inlineStr">
        <is>
          <t>LLM Integration &amp; Context Engineering</t>
        </is>
      </c>
      <c r="B12" s="4" t="inlineStr">
        <is>
          <t>Retrieval &amp; Context</t>
        </is>
      </c>
      <c r="C12" s="4" t="inlineStr">
        <is>
          <t>Retrieval &amp; grounding pipelines</t>
        </is>
      </c>
      <c r="D12" s="6" t="inlineStr">
        <is>
          <t>AI-02</t>
        </is>
      </c>
      <c r="E12" s="4" t="inlineStr">
        <is>
          <t>Lewis et al., "Retrieval-Augmented Generation for Knowledge-Intensive NLP Tasks" (NeurIPS 2020)</t>
        </is>
      </c>
      <c r="F12" s="4" t="inlineStr">
        <is>
          <t>Depth: runs and modifies an existing ingestion/retrieval pipeline - chunking, embedding, indexing - and verifies retrieval hits by inspection. Scope: a task.</t>
        </is>
      </c>
      <c r="G12" s="4" t="inlineStr">
        <is>
          <t>Depth: builds a retrieval pipeline for a corpus end to end and measures retrieval quality (recall on labeled queries) separately from answer quality. Scope: a component.</t>
        </is>
      </c>
      <c r="H12" s="4" t="inlineStr">
        <is>
          <t>Depth: diagnoses failures to the responsible stage - chunking, embedding, ranking, or synthesis - with evidence, and chooses hybrid, re-ranking, or structured-lookup strategies by measured trade-off, owning the ingestion, indexing, and freshness story. Scope: owns retrieval for a capability.</t>
        </is>
      </c>
      <c r="I12" s="4" t="inlineStr">
        <is>
          <t>Depth: designs the retrieval architecture several teams share - index topology, freshness SLAs, evaluation harness - and consolidates duplicated pipelines into shared infrastructure. Scope: multiple teams.</t>
        </is>
      </c>
      <c r="J12" s="4" t="inlineStr">
        <is>
          <t>Depth: sets the org's knowledge-grounding strategy - what corpora exist, who owns them, entitlement-aware access, and quality accountability. Scope: organization.</t>
        </is>
      </c>
      <c r="K12" s="4" t="inlineStr">
        <is>
          <t>Depth: decides company-level grounding bets - proprietary-data moats, retrieval vs. long-context vs. fine-tuning - and owns that thesis with executives. Scope: company.</t>
        </is>
      </c>
    </row>
    <row r="13">
      <c r="A13" s="4" t="inlineStr">
        <is>
          <t>LLM Integration &amp; Context Engineering</t>
        </is>
      </c>
      <c r="B13" s="4" t="inlineStr">
        <is>
          <t>Retrieval &amp; Context</t>
        </is>
      </c>
      <c r="C13" s="4" t="inlineStr">
        <is>
          <t>Embeddings &amp; semantic search</t>
        </is>
      </c>
      <c r="D13" s="6" t="inlineStr">
        <is>
          <t>AI-02</t>
        </is>
      </c>
      <c r="E13" s="4" t="inlineStr">
        <is>
          <t>Reimers &amp; Gurevych, "Sentence-BERT" (EMNLP 2019)</t>
        </is>
      </c>
      <c r="F13" s="4" t="inlineStr">
        <is>
          <t>Depth: generates and stores embeddings using the team's pipeline and explains what an embedding represents in plain language. Scope: embedding tasks within a pipeline.</t>
        </is>
      </c>
      <c r="G13" s="4" t="inlineStr">
        <is>
          <t>Depth: evaluates embedding models against the team's retrieval benchmarks and tunes similarity thresholds and index parameters with evidence. Scope: the embedding layer of a component.</t>
        </is>
      </c>
      <c r="H13" s="4" t="inlineStr">
        <is>
          <t>Depth: selects embedding models, dimensions, and index types by measured trade-off for a capability, and designs re-embedding and migration plans when models change. Scope: a capability's semantic-search layer.</t>
        </is>
      </c>
      <c r="I13" s="4" t="inlineStr">
        <is>
          <t>Depth: standardizes embedding infrastructure across teams - shared models, versioning, migration tooling - ending per-team drift. Scope: multiple teams.</t>
        </is>
      </c>
      <c r="J13" s="4" t="inlineStr">
        <is>
          <t>Depth: drives the org's vector-infrastructure strategy, including build-vs-buy for vector stores and cost and scale planning. Scope: organization.</t>
        </is>
      </c>
      <c r="K13" s="4" t="inlineStr">
        <is>
          <t>Depth: anticipates representation-layer shifts - multimodal embeddings, new architectures - and positions the company ahead of them. Scope: company.</t>
        </is>
      </c>
    </row>
    <row r="14">
      <c r="A14" s="4" t="inlineStr">
        <is>
          <t>LLM Integration &amp; Context Engineering</t>
        </is>
      </c>
      <c r="B14" s="4" t="inlineStr">
        <is>
          <t>Retrieval &amp; Context</t>
        </is>
      </c>
      <c r="C14" s="4" t="inlineStr">
        <is>
          <t>Context budget &amp; memory management</t>
        </is>
      </c>
      <c r="D14" s="6" t="inlineStr">
        <is>
          <t>AI-02</t>
        </is>
      </c>
      <c r="E14" s="4" t="inlineStr">
        <is>
          <t>Liu et al., "Lost in the Middle: How Language Models Use Long Contexts" (TACL 2024)</t>
        </is>
      </c>
      <c r="F14" s="4" t="inlineStr">
        <is>
          <t>Depth: keeps requests within the context budget, truncating per team rules, and notices when overflow or truncation silently degrades output. Scope: a task's context usage.</t>
        </is>
      </c>
      <c r="G14" s="4" t="inlineStr">
        <is>
          <t>Depth: prioritizes what enters the window - system prompt, history, retrieved content - with explicit truncation rules, and tests the effect of dropping each element. Scope: a component's context assembly.</t>
        </is>
      </c>
      <c r="H14" s="4" t="inlineStr">
        <is>
          <t>Depth: designs the context-assembly strategy for a capability - token budgets per section, summarization versus omission, memory for long sessions, cache-friendly ordering - and shows with evals where added context stops paying. Scope: a capability; others reuse the assembly design.</t>
        </is>
      </c>
      <c r="I14" s="4" t="inlineStr">
        <is>
          <t>Depth: defines context-management patterns multiple teams reuse - shared memory stores, summarizers, compaction strategies - and audits high-cost windows for waste. Scope: multiple teams.</t>
        </is>
      </c>
      <c r="J14" s="4" t="inlineStr">
        <is>
          <t>Depth: drives org-level context and memory architecture, deciding what user and org state is durable memory versus per-request context, with token-quality trade-offs measured at fleet level. Scope: organization.</t>
        </is>
      </c>
      <c r="K14" s="4" t="inlineStr">
        <is>
          <t>Depth: positions the company for context-regime shifts - window growth, pricing changes, memory architectures - before they invalidate current designs. Scope: company.</t>
        </is>
      </c>
    </row>
    <row r="15">
      <c r="A15" s="4" t="inlineStr">
        <is>
          <t>Agentic Systems</t>
        </is>
      </c>
      <c r="B15" s="4" t="inlineStr">
        <is>
          <t>Agent Design &amp; Orchestration</t>
        </is>
      </c>
      <c r="C15" s="4" t="inlineStr">
        <is>
          <t>Agent architecture &amp; orchestration</t>
        </is>
      </c>
      <c r="D15" s="6" t="inlineStr">
        <is>
          <t>AI-03</t>
        </is>
      </c>
      <c r="E15" s="4" t="inlineStr">
        <is>
          <t>Anthropic, "Building Effective Agents" (2024)</t>
        </is>
      </c>
      <c r="F15" s="4" t="inlineStr">
        <is>
          <t>Depth: traces an existing agent loop end to end - model call, tool call, state update - explaining why the agent took each step on a real transcript, and fixes defects in single steps. Scope: a task within an agent.</t>
        </is>
      </c>
      <c r="G15" s="4" t="inlineStr">
        <is>
          <t>Depth: builds single-agent workflows with a bounded tool set using the simplest pattern that works - chain, router, or loop - with explicit termination conditions and step limits by default. Scope: a component.</t>
        </is>
      </c>
      <c r="H15" s="4" t="inlineStr">
        <is>
          <t>Depth: chooses between workflow and autonomous-loop designs by failure-mode analysis, decomposing multi-step behavior so each step is independently observable and recoverable, and cuts autonomy when a simpler pipeline scores the same. Scope: owns agent architecture for a capability.</t>
        </is>
      </c>
      <c r="I15" s="4" t="inlineStr">
        <is>
          <t>Depth: sets the agent-architecture patterns multiple teams follow - orchestration substrate, state and handoff conventions, delegation contracts - and kills over-engineered designs with evidence. Scope: multiple teams.</t>
        </is>
      </c>
      <c r="J15" s="4" t="inlineStr">
        <is>
          <t>Depth: owns the org's agentic-systems strategy, deciding where autonomy is worth its reliability cost and what the shared platform provides. Scope: organization.</t>
        </is>
      </c>
      <c r="K15" s="4" t="inlineStr">
        <is>
          <t>Depth: sets company direction on agentic products - where agents act, where humans decide - informed by what current models can actually sustain. Scope: company.</t>
        </is>
      </c>
    </row>
    <row r="16">
      <c r="A16" s="4" t="inlineStr">
        <is>
          <t>Agentic Systems</t>
        </is>
      </c>
      <c r="B16" s="4" t="inlineStr">
        <is>
          <t>Agent Design &amp; Orchestration</t>
        </is>
      </c>
      <c r="C16" s="4" t="inlineStr">
        <is>
          <t>Tool &amp; function design for agents</t>
        </is>
      </c>
      <c r="D16" s="6" t="inlineStr">
        <is>
          <t>AI-03</t>
        </is>
      </c>
      <c r="E16" s="4" t="inlineStr">
        <is>
          <t>Anthropic, "Writing Effective Tools for Agents" (2025)</t>
        </is>
      </c>
      <c r="F16" s="4" t="inlineStr">
        <is>
          <t>Depth: implements a tool to a given schema with validation and error strings a model can act on, and tests it standalone before wiring it to a model. Scope: single tools within a task.</t>
        </is>
      </c>
      <c r="G16" s="4" t="inlineStr">
        <is>
          <t>Depth: designs tool schemas a model uses correctly on the first try - clear descriptions, tight parameters, informative error returns - and iterates on them against transcripts of real misuse. Scope: a component's tool set.</t>
        </is>
      </c>
      <c r="H16" s="4" t="inlineStr">
        <is>
          <t>Depth: curates the tool surface of a capability - right granularity, idempotency and side-effect discipline, permission boundaries - pruning overlapping tools that confuse routing and rewriting descriptions from observed call failures. Scope: a capability's tool ecosystem.</t>
        </is>
      </c>
      <c r="I16" s="4" t="inlineStr">
        <is>
          <t>Depth: defines tool-design standards and shared registries multiple teams consume, with review gates for high-risk tools, killing near-duplicate tools across agents. Scope: multiple teams.</t>
        </is>
      </c>
      <c r="J16" s="4" t="inlineStr">
        <is>
          <t>Depth: drives the org's tool and integration platform - registries, permissioning, audit requirements - deciding which internal systems get first-class tool interfaces. Scope: organization.</t>
        </is>
      </c>
      <c r="K16" s="4" t="inlineStr">
        <is>
          <t>Depth: shapes the company's external tool ecosystem posture - what third parties may plug in, what the company exposes - as a durable interface bet. Scope: company and partners.</t>
        </is>
      </c>
    </row>
    <row r="17">
      <c r="A17" s="4" t="inlineStr">
        <is>
          <t>Agentic Systems</t>
        </is>
      </c>
      <c r="B17" s="4" t="inlineStr">
        <is>
          <t>Autonomy, State &amp; Recovery</t>
        </is>
      </c>
      <c r="C17" s="4" t="inlineStr">
        <is>
          <t>Human oversight &amp; autonomy boundaries</t>
        </is>
      </c>
      <c r="D17" s="6" t="inlineStr">
        <is>
          <t>AI-05</t>
        </is>
      </c>
      <c r="E17" s="4" t="inlineStr">
        <is>
          <t>NIST AI Risk Management Framework 1.0 (2023)</t>
        </is>
      </c>
      <c r="F17" s="4" t="inlineStr">
        <is>
          <t>Depth: implements the approval and confirmation steps a design specifies - never bypassing a human checkpoint without sign-off - and states which of their feature's actions are reversible and which are not. Scope: a task's approval points.</t>
        </is>
      </c>
      <c r="G17" s="4" t="inlineStr">
        <is>
          <t>Depth: designs approval gates by reversibility and blast radius - auto-run the undoable, confirm the destructive - with dry-run modes, undo paths, and every escalation logged for audit. Scope: a component's autonomy rules.</t>
        </is>
      </c>
      <c r="H17" s="4" t="inlineStr">
        <is>
          <t>Depth: calibrates autonomy per action class for a capability - auto-execute, confirm, or escalate - from observed override and failure data rather than assumption, and pushes back with reasons when a design grants an agent more authority than its error rate supports. Scope: a capability's operating envelope.</t>
        </is>
      </c>
      <c r="I17" s="4" t="inlineStr">
        <is>
          <t>Depth: standardizes autonomy tiers and approval mechanisms across teams, with shared approval UX and audit infrastructure, and reviews escalation designs for high-consequence actions. Scope: multiple teams.</t>
        </is>
      </c>
      <c r="J17" s="4" t="inlineStr">
        <is>
          <t>Depth: owns the org's policy for delegated agent authority, aligned with legal and security, including the evidence bar for widening autonomy. Scope: organization.</t>
        </is>
      </c>
      <c r="K17" s="4" t="inlineStr">
        <is>
          <t>Depth: decides how much authority the company delegates to AI systems in its products and operations, and defends that line to regulators and customers. Scope: company.</t>
        </is>
      </c>
    </row>
    <row r="18">
      <c r="A18" s="4" t="inlineStr">
        <is>
          <t>Agentic Systems</t>
        </is>
      </c>
      <c r="B18" s="4" t="inlineStr">
        <is>
          <t>Autonomy, State &amp; Recovery</t>
        </is>
      </c>
      <c r="C18" s="4" t="inlineStr">
        <is>
          <t>Agent state &amp; failure recovery</t>
        </is>
      </c>
      <c r="D18" s="6" t="inlineStr">
        <is>
          <t>BE-11</t>
        </is>
      </c>
      <c r="E18" s="4" t="inlineStr">
        <is>
          <t>Kapoor et al., "AI Agents That Matter" (2024)</t>
        </is>
      </c>
      <c r="F18" s="4" t="inlineStr">
        <is>
          <t>Depth: reproduces a failed agent run from its transcript and identifies the step where it went wrong - bad plan, bad tool result, lost state. Scope: task-level debugging.</t>
        </is>
      </c>
      <c r="G18" s="4" t="inlineStr">
        <is>
          <t>Depth: builds checkpointing, retries, loop limits, and budget caps into agent steps so a wandering run halts cheaply and an interrupted run resumes or fails cleanly instead of duplicating side effects. Scope: a component's run lifecycle.</t>
        </is>
      </c>
      <c r="H18" s="4" t="inlineStr">
        <is>
          <t>Depth: designs the state and containment model for an agentic capability - what persists across turns, blast-radius limits, compensating actions for tool side effects - quantifying compounded failure rates rather than trusting per-step accuracy, and proves recovery paths with fault injection. Scope: a capability's execution engine.</t>
        </is>
      </c>
      <c r="I18" s="4" t="inlineStr">
        <is>
          <t>Depth: sets durable-execution and recovery patterns multiple teams adopt - resumable run state, saga-style compensation - with adoption they can show. Scope: multiple teams' agent runtimes.</t>
        </is>
      </c>
      <c r="J18" s="4" t="inlineStr">
        <is>
          <t>Depth: drives the org's strategy for stateful, long-running AI execution, consolidating bespoke run-state code into platform, with reliability targets and failure drills. Scope: organization.</t>
        </is>
      </c>
      <c r="K18" s="4" t="inlineStr">
        <is>
          <t>Depth: sets company reliability doctrine for autonomous systems, informing what the company will and won't promise customers. Scope: company.</t>
        </is>
      </c>
    </row>
    <row r="19">
      <c r="A19" s="4" t="inlineStr">
        <is>
          <t>Agentic Systems</t>
        </is>
      </c>
      <c r="B19" s="4" t="inlineStr">
        <is>
          <t>Autonomy, State &amp; Recovery</t>
        </is>
      </c>
      <c r="C19" s="4" t="inlineStr">
        <is>
          <t>Agent containment &amp; blast-radius control</t>
        </is>
      </c>
      <c r="D19" s="6" t="inlineStr">
        <is>
          <t>AI-03</t>
        </is>
      </c>
      <c r="E19" s="4" t="inlineStr">
        <is>
          <t>Nygard, *Release It!* (2nd ed., 2018), bulkheads</t>
        </is>
      </c>
      <c r="F19" s="4" t="inlineStr">
        <is>
          <t>Depth: runs agents in the sandboxed environment provided and reports containment gaps they notice. Scope: their own agent runs.</t>
        </is>
      </c>
      <c r="G19" s="4" t="inlineStr">
        <is>
          <t>Depth: scopes an agent's credentials and tool permissions to least privilege, and caps loops, spend, and side effects by construction. Scope: one agent's blast radius.</t>
        </is>
      </c>
      <c r="H19" s="4" t="inlineStr">
        <is>
          <t>Depth: designs containment for a capability's agents - sandboxing, budget kill-switches, reversible-by-default actions - and red-teams their own boundaries before launch. Scope: a capability; their containment review gates agent launches.</t>
        </is>
      </c>
      <c r="I19" s="4" t="inlineStr">
        <is>
          <t>Depth: builds containment infrastructure several teams inherit rather than reimplement, and audits exceptions. Scope: multiple teams.</t>
        </is>
      </c>
      <c r="J19" s="4" t="inlineStr">
        <is>
          <t>Depth: sets the org's containment standards for autonomous systems and verifies them through game days. Scope: organization.</t>
        </is>
      </c>
      <c r="K19" s="4" t="inlineStr">
        <is>
          <t>Depth: owns the company's worst-case analysis for agentic products and the controls that bound it. Scope: company.</t>
        </is>
      </c>
    </row>
    <row r="20">
      <c r="A20" s="4" t="inlineStr">
        <is>
          <t>Evaluation &amp; Observability</t>
        </is>
      </c>
      <c r="B20" s="4" t="inlineStr">
        <is>
          <t>Evaluation Engineering</t>
        </is>
      </c>
      <c r="C20" s="4" t="inlineStr">
        <is>
          <t>Eval sets &amp; golden data</t>
        </is>
      </c>
      <c r="D20" s="6" t="inlineStr">
        <is>
          <t>AI-07</t>
        </is>
      </c>
      <c r="E20" s="4" t="inlineStr">
        <is>
          <t>Husain, "Your AI Product Needs Evals" (2024)</t>
        </is>
      </c>
      <c r="F20" s="4" t="inlineStr">
        <is>
          <t>Depth: adds well-formed cases to an existing eval set - realistic input, unambiguous expected behavior - labeling edge cases consistently with the rubric and flagging ambiguous ones instead of guessing. Scope: eval cases for their task.</t>
        </is>
      </c>
      <c r="G20" s="4" t="inlineStr">
        <is>
          <t>Depth: builds an eval set for a feature from production traces via error analysis, balancing common paths and hard cases, versioning golden data like code with documented inclusion criteria. Scope: a component's eval coverage.</t>
        </is>
      </c>
      <c r="H20" s="4" t="inlineStr">
        <is>
          <t>Depth: owns the golden datasets of a capability - coverage mapped to known failure modes, refresh cadence, contamination and leakage checks - retiring stale cases and tracing every regression escape back to the missing case class. Scope: a capability; their sets gate teammates' merges.</t>
        </is>
      </c>
      <c r="I20" s="4" t="inlineStr">
        <is>
          <t>Depth: sets eval-data standards multiple teams follow - sampling policy, labeling rubrics, inter-rater checks, dataset versioning - and audits suites whose numbers look too good. Scope: multiple teams.</t>
        </is>
      </c>
      <c r="J20" s="4" t="inlineStr">
        <is>
          <t>Depth: drives the org's evaluation-data strategy - shared corpora, labeling operations, data governance for eval assets. Scope: organization.</t>
        </is>
      </c>
      <c r="K20" s="4" t="inlineStr">
        <is>
          <t>Depth: defines how the company knows its AI works - the evidence doctrine cited in launch reviews and external claims. Scope: company.</t>
        </is>
      </c>
    </row>
    <row r="21">
      <c r="A21" s="4" t="inlineStr">
        <is>
          <t>Evaluation &amp; Observability</t>
        </is>
      </c>
      <c r="B21" s="4" t="inlineStr">
        <is>
          <t>Evaluation Engineering</t>
        </is>
      </c>
      <c r="C21" s="4" t="inlineStr">
        <is>
          <t>Eval metrics &amp; judge design</t>
        </is>
      </c>
      <c r="D21" s="6" t="inlineStr">
        <is>
          <t>AI-04</t>
        </is>
      </c>
      <c r="E21" s="4" t="inlineStr">
        <is>
          <t>Zheng et al., "Judging LLM-as-a-Judge with MT-Bench and Chatbot Arena" (NeurIPS 2023); Shankar et al., "Who Validates the Validators?" (2024)</t>
        </is>
      </c>
      <c r="F21" s="4" t="inlineStr">
        <is>
          <t>Depth: runs the eval harness and reads its reports correctly, distinguishing a real regression from noise with help and flagging results that look wrong instead of accepting them. Scope: their changes.</t>
        </is>
      </c>
      <c r="G21" s="4" t="inlineStr">
        <is>
          <t>Depth: chooses graders that fit the behavior under test - exact-match, rubric, pairwise, LLM-judge - and spot-checks judge agreement against their own labels before trusting it. Scope: a component's metrics.</t>
        </is>
      </c>
      <c r="H21" s="4" t="inlineStr">
        <is>
          <t>Depth: designs the measurement itself for a capability - metrics that track user outcomes, judges validated against human ratings with quantified agreement and bias, significance limits stated before declaring a win. Scope: a capability; measure-before-ship is their default others copy.</t>
        </is>
      </c>
      <c r="I21" s="4" t="inlineStr">
        <is>
          <t>Depth: standardizes eval methodology across teams, calibrating judge models centrally so scores are comparable, and arbitrates when two teams' numbers disagree about the same behavior. Scope: multiple teams.</t>
        </is>
      </c>
      <c r="J21" s="4" t="inlineStr">
        <is>
          <t>Depth: owns the org's measurement strategy for AI quality, connecting offline evals to online outcomes and killing metrics that don't predict. Scope: organization.</t>
        </is>
      </c>
      <c r="K21" s="4" t="inlineStr">
        <is>
          <t>Depth: defines what 'good' means for the company's AI products in measurable terms executives, customers, and regulators accept. Scope: company.</t>
        </is>
      </c>
    </row>
    <row r="22">
      <c r="A22" s="4" t="inlineStr">
        <is>
          <t>Evaluation &amp; Observability</t>
        </is>
      </c>
      <c r="B22" s="4" t="inlineStr">
        <is>
          <t>Evaluation Engineering</t>
        </is>
      </c>
      <c r="C22" s="4" t="inlineStr">
        <is>
          <t>Measurement-gated shipping</t>
        </is>
      </c>
      <c r="D22" s="6" t="inlineStr">
        <is>
          <t>QA-08</t>
        </is>
      </c>
      <c r="E22" s="4" t="inlineStr">
        <is>
          <t>Sculley et al., "Hidden Technical Debt in Machine Learning Systems" (NeurIPS 2015)</t>
        </is>
      </c>
      <c r="F22" s="4" t="inlineStr">
        <is>
          <t>Depth: runs the required evals before merging prompt or model changes and pastes results into the review, flagging regressions instead of explaining them away. Scope: their own changes.</t>
        </is>
      </c>
      <c r="G22" s="4" t="inlineStr">
        <is>
          <t>Depth: attaches eval deltas to every prompt, model, or retrieval change and blocks their own launches on regressions - shadow or A/B comparisons for risky changes - without being told. Scope: a component's releases.</t>
        </is>
      </c>
      <c r="H22" s="4" t="inlineStr">
        <is>
          <t>Depth: defines the ship gate for a capability - which evals block release, what regression tolerance is, when human review is required - and holds the line under deadline pressure with the reasoning in writing. Scope: a capability's ship decisions.</t>
        </is>
      </c>
      <c r="I22" s="4" t="inlineStr">
        <is>
          <t>Depth: installs measurement-gated release processes across teams - eval CI, canary analysis, staged rollouts teams actually use - and audits exceptions. Scope: multiple teams' pipelines.</t>
        </is>
      </c>
      <c r="J22" s="4" t="inlineStr">
        <is>
          <t>Depth: owns the org's ship/no-ship framework for AI behavior changes and arbitrates escalations where speed and evidence conflict. Scope: organization.</t>
        </is>
      </c>
      <c r="K22" s="4" t="inlineStr">
        <is>
          <t>Depth: sets company policy on the evidence required to ship AI behavior, balancing speed and risk explicitly. Scope: company.</t>
        </is>
      </c>
    </row>
    <row r="23">
      <c r="A23" s="4" t="inlineStr">
        <is>
          <t>Evaluation &amp; Observability</t>
        </is>
      </c>
      <c r="B23" s="4" t="inlineStr">
        <is>
          <t>Observability &amp; Production Feedback</t>
        </is>
      </c>
      <c r="C23" s="4" t="inlineStr">
        <is>
          <t>Tracing &amp; instrumentation of AI systems</t>
        </is>
      </c>
      <c r="D23" s="6" t="inlineStr">
        <is>
          <t>OPS-05</t>
        </is>
      </c>
      <c r="E23" s="4" t="inlineStr">
        <is>
          <t>OpenTelemetry Generative AI semantic conventions (CNCF, 2024-2025)</t>
        </is>
      </c>
      <c r="F23" s="4" t="inlineStr">
        <is>
          <t>Depth: uses existing traces to debug a failing request - walking prompt -&gt; retrieval -&gt; tool call -&gt; output - and adds a missing span when told what to capture. Scope: their tasks.</t>
        </is>
      </c>
      <c r="G23" s="4" t="inlineStr">
        <is>
          <t>Depth: instruments a component end to end - prompts, completions, token counts, tool calls, latencies - as structured spans with the metadata (prompt version, model id) needed to reproduce any output later, with sampling and redaction applied correctly. Scope: a component's telemetry.</t>
        </is>
      </c>
      <c r="H23" s="4" t="inlineStr">
        <is>
          <t>Depth: designs the observability schema for a capability - what is captured, sampled, retained, and redacted - and builds the views that make failure clusters visible, answering 'why did this output happen' in minutes. Scope: a capability; their traces are where debugging starts.</t>
        </is>
      </c>
      <c r="I23" s="4" t="inlineStr">
        <is>
          <t>Depth: sets tracing conventions multiple teams emit, aligning attributes so cross-service AI requests join up in one lens, and builds the views on-call engineers actually use. Scope: multiple teams.</t>
        </is>
      </c>
      <c r="J23" s="4" t="inlineStr">
        <is>
          <t>Depth: owns the org's AI observability platform strategy, including retention, privacy, and cost of trace data. Scope: organization.</t>
        </is>
      </c>
      <c r="K23" s="4" t="inlineStr">
        <is>
          <t>Depth: ensures the company can answer 'why did the model do that?' for any production decision, as a matter of architecture. Scope: company.</t>
        </is>
      </c>
    </row>
    <row r="24">
      <c r="A24" s="4" t="inlineStr">
        <is>
          <t>Evaluation &amp; Observability</t>
        </is>
      </c>
      <c r="B24" s="4" t="inlineStr">
        <is>
          <t>Observability &amp; Production Feedback</t>
        </is>
      </c>
      <c r="C24" s="4" t="inlineStr">
        <is>
          <t>Production monitoring &amp; drift detection</t>
        </is>
      </c>
      <c r="D24" s="6" t="inlineStr">
        <is>
          <t>AI-17</t>
        </is>
      </c>
      <c r="E24" s="4" t="inlineStr">
        <is>
          <t>Breck et al., "The ML Test Score" (2017)</t>
        </is>
      </c>
      <c r="F24" s="4" t="inlineStr">
        <is>
          <t>Depth: watches the dashboards for their feature after deploys and escalates anomalies with the trace attached rather than assuming success. Scope: post-ship checks on their tasks.</t>
        </is>
      </c>
      <c r="G24" s="4" t="inlineStr">
        <is>
          <t>Depth: builds behavioral monitors for a component - refusal rate, format-break rate, user-feedback signals - with alert thresholds they can justify, promoting recurring failures into the eval set. Scope: a component's monitors.</t>
        </is>
      </c>
      <c r="H24" s="4" t="inlineStr">
        <is>
          <t>Depth: detects silent degradation for a capability - baselines behavior, catches provider-side model changes and input-distribution drift, reruns evals on live samples on a schedule - and has caught a real regression no user reported. Scope: a capability in production.</t>
        </is>
      </c>
      <c r="I24" s="4" t="inlineStr">
        <is>
          <t>Depth: standardizes behavioral monitoring and feedback-to-eval pipelines across teams, with shared metric definitions so numbers are comparable, correlating cross-product regressions to a common upstream cause. Scope: multiple teams.</t>
        </is>
      </c>
      <c r="J24" s="4" t="inlineStr">
        <is>
          <t>Depth: owns the org's in-production AI quality picture, making drift review a routine practice with owners and SLAs, briefing leadership on trends rather than incidents. Scope: organization.</t>
        </is>
      </c>
      <c r="K24" s="4" t="inlineStr">
        <is>
          <t>Depth: makes behavioral health a company-level operational metric, reported alongside availability, defining how the company absorbs provider upgrades without quality surprises. Scope: company.</t>
        </is>
      </c>
    </row>
    <row r="25">
      <c r="A25" s="4" t="inlineStr">
        <is>
          <t>Reliability, Cost &amp; Performance</t>
        </is>
      </c>
      <c r="B25" s="4" t="inlineStr">
        <is>
          <t>Production Reliability</t>
        </is>
      </c>
      <c r="C25" s="4" t="inlineStr">
        <is>
          <t>Fallbacks &amp; graceful degradation</t>
        </is>
      </c>
      <c r="D25" s="6" t="inlineStr">
        <is>
          <t>OPS-04</t>
        </is>
      </c>
      <c r="E25" s="4" t="inlineStr">
        <is>
          <t>Nygard, *Release It!* (2nd ed., 2018)</t>
        </is>
      </c>
      <c r="F25" s="4" t="inlineStr">
        <is>
          <t>Depth: implements the retry, timeout, and fallback behavior a design specifies and tests the failure path by forcing the failure, not just the happy path. Scope: their tasks.</t>
        </is>
      </c>
      <c r="G25" s="4" t="inlineStr">
        <is>
          <t>Depth: designs the degradation ladder for a component - retry budgets, circuit breaking on provider errors, cached or smaller-model fallbacks, an honest error - and makes each rung observable. Scope: a component's failure behavior.</t>
        </is>
      </c>
      <c r="H25" s="4" t="inlineStr">
        <is>
          <t>Depth: owns availability design for a capability across providers - failover routing, brownout modes, load shedding - with explicit SLOs that include behavioral quality, validated with game days rather than hope. Scope: a capability's reliability.</t>
        </is>
      </c>
      <c r="I25" s="4" t="inlineStr">
        <is>
          <t>Depth: builds the shared resilience layer multiple teams depend on - gateway, routing, quota management - and reviews launches for shared-fate provider risk. Scope: multiple teams.</t>
        </is>
      </c>
      <c r="J25" s="4" t="inlineStr">
        <is>
          <t>Depth: owns org-level continuity for provider failure - multi-provider posture, capacity reservations, tested playbooks. Scope: organization.</t>
        </is>
      </c>
      <c r="K25" s="4" t="inlineStr">
        <is>
          <t>Depth: answers for company availability of AI products through provider incidents that make the news, setting the architecture doctrine behind the commitments. Scope: company.</t>
        </is>
      </c>
    </row>
    <row r="26">
      <c r="A26" s="4" t="inlineStr">
        <is>
          <t>Reliability, Cost &amp; Performance</t>
        </is>
      </c>
      <c r="B26" s="4" t="inlineStr">
        <is>
          <t>Production Reliability</t>
        </is>
      </c>
      <c r="C26" s="4" t="inlineStr">
        <is>
          <t>Incident response for AI systems</t>
        </is>
      </c>
      <c r="D26" s="6" t="inlineStr">
        <is>
          <t>OPS-06</t>
        </is>
      </c>
      <c r="E26" s="4" t="inlineStr">
        <is>
          <t>Beyer et al., *Site Reliability Engineering* (2016)</t>
        </is>
      </c>
      <c r="F26" s="4" t="inlineStr">
        <is>
          <t>Depth: follows the runbook during incidents, keeps the timeline updated, captures the traces responders need, and asks for help early. Scope: a participant in the response.</t>
        </is>
      </c>
      <c r="G26" s="4" t="inlineStr">
        <is>
          <t>Depth: debugs live model-system incidents independently - distinguishing provider outage from prompt regression from data problem - and writes the postmortem with concrete actions. Scope: a component's on-call.</t>
        </is>
      </c>
      <c r="H26" s="4" t="inlineStr">
        <is>
          <t>Depth: incident-commands for their capability, including quality and cost incidents that page no one by default; writes the runbooks for model rollback and prompt reversion others copy, and drives postmortems to systemic fixes. Scope: a capability's incident response.</t>
        </is>
      </c>
      <c r="I26" s="4" t="inlineStr">
        <is>
          <t>Depth: raises operational maturity across teams - severity definitions that include model-quality events, game days for AI failure classes, readiness reviews before launches. Scope: multiple teams.</t>
        </is>
      </c>
      <c r="J26" s="4" t="inlineStr">
        <is>
          <t>Depth: owns the org's incident-management standard for AI systems, reviewing the postmortems that cross team boundaries and closing systemic gaps. Scope: organization.</t>
        </is>
      </c>
      <c r="K26" s="4" t="inlineStr">
        <is>
          <t>Depth: is the company's senior technical responder in its worst AI incidents and changes company practice from what they reveal. Scope: company.</t>
        </is>
      </c>
    </row>
    <row r="27">
      <c r="A27" s="4" t="inlineStr">
        <is>
          <t>Reliability, Cost &amp; Performance</t>
        </is>
      </c>
      <c r="B27" s="4" t="inlineStr">
        <is>
          <t>Production Reliability</t>
        </is>
      </c>
      <c r="C27" s="4" t="inlineStr">
        <is>
          <t>Provider &amp; capacity management</t>
        </is>
      </c>
      <c r="D27" s="6" t="inlineStr">
        <is>
          <t>BE-19</t>
        </is>
      </c>
      <c r="E27" s="4" t="inlineStr">
        <is>
          <t>Beyer et al., *Site Reliability Engineering* (2016), capacity planning</t>
        </is>
      </c>
      <c r="F27" s="4" t="inlineStr">
        <is>
          <t>Depth: monitors quota and rate-limit dashboards for their service and escalates approaching limits before they bite. Scope: awareness within a task.</t>
        </is>
      </c>
      <c r="G27" s="4" t="inlineStr">
        <is>
          <t>Depth: implements rate limiting, request queuing, and backoff for a component and tracks provider deprecation notices that affect it. Scope: a component's capacity behavior.</t>
        </is>
      </c>
      <c r="H27" s="4" t="inlineStr">
        <is>
          <t>Depth: plans capacity for a capability - load forecasting, quota negotiation inputs, multi-region or multi-provider failover design - and runs model-version migrations without user-visible regression. Scope: a capability's provider posture.</t>
        </is>
      </c>
      <c r="I27" s="4" t="inlineStr">
        <is>
          <t>Depth: runs cross-team capacity and migration programs - org-wide model deprecation moves, shared quota pooling - that land on schedule. Scope: multiple teams.</t>
        </is>
      </c>
      <c r="J27" s="4" t="inlineStr">
        <is>
          <t>Depth: owns the org's provider risk management - concentration risk, contractual SLAs, burst capacity. Scope: organization.</t>
        </is>
      </c>
      <c r="K27" s="4" t="inlineStr">
        <is>
          <t>Depth: sets company posture on model-supply resilience as a business-continuity matter leadership understands. Scope: company.</t>
        </is>
      </c>
    </row>
    <row r="28">
      <c r="A28" s="4" t="inlineStr">
        <is>
          <t>Reliability, Cost &amp; Performance</t>
        </is>
      </c>
      <c r="B28" s="4" t="inlineStr">
        <is>
          <t>Cost &amp; Performance</t>
        </is>
      </c>
      <c r="C28" s="4" t="inlineStr">
        <is>
          <t>Token economics &amp; cost optimization</t>
        </is>
      </c>
      <c r="D28" s="6" t="inlineStr">
        <is>
          <t>OPS-07</t>
        </is>
      </c>
      <c r="E28" s="4" t="inlineStr">
        <is>
          <t>Chen et al., "FrugalGPT" (2023)</t>
        </is>
      </c>
      <c r="F28" s="4" t="inlineStr">
        <is>
          <t>Depth: states what their feature costs per request, attributing spend to prompt size, output length, and call count correctly, and checks the dashboard after changes ship. Scope: their tasks' spend.</t>
        </is>
      </c>
      <c r="G28" s="4" t="inlineStr">
        <is>
          <t>Depth: cuts a component's cost with measured, quality-neutral levers - prompt trimming, caching, batching, output caps - and reports the before/after against any quality change. Scope: a component's unit economics.</t>
        </is>
      </c>
      <c r="H28" s="4" t="inlineStr">
        <is>
          <t>Depth: owns the cost model of a capability - cost per request and per user action tracked against quality, budgets and anomaly alerts set, cost-quality trades explicit in design docs - and catches cost regressions in review before they ship. Scope: a capability's unit economics.</t>
        </is>
      </c>
      <c r="I28" s="4" t="inlineStr">
        <is>
          <t>Depth: finds the cross-team cost structure - shared caches, duplicated calls, misrouted traffic - and drives the fixes worth the most, with cost governance (attribution, budget reviews) teams adopt. Scope: multiple teams' spend.</t>
        </is>
      </c>
      <c r="J28" s="4" t="inlineStr">
        <is>
          <t>Depth: owns the org's inference-spend strategy - forecasting at product scale, informing provider negotiations, deciding where cost work beats feature work. Scope: organization.</t>
        </is>
      </c>
      <c r="K28" s="4" t="inlineStr">
        <is>
          <t>Depth: keeps AI gross margins viable at company level, shaping pricing and architecture together. Scope: company.</t>
        </is>
      </c>
    </row>
    <row r="29">
      <c r="A29" s="4" t="inlineStr">
        <is>
          <t>Reliability, Cost &amp; Performance</t>
        </is>
      </c>
      <c r="B29" s="4" t="inlineStr">
        <is>
          <t>Cost &amp; Performance</t>
        </is>
      </c>
      <c r="C29" s="4" t="inlineStr">
        <is>
          <t>Latency &amp; model right-sizing</t>
        </is>
      </c>
      <c r="D29" s="6" t="inlineStr">
        <is>
          <t>AI-19</t>
        </is>
      </c>
      <c r="E29" s="4" t="inlineStr">
        <is>
          <t>Huyen, *AI Engineering* (2025), inference-optimization chapters</t>
        </is>
      </c>
      <c r="F29" s="4" t="inlineStr">
        <is>
          <t>Depth: measures end-to-end latency for their feature - including time-to-first-token - and identifies the slowest stage from traces. Scope: their tasks.</t>
        </is>
      </c>
      <c r="G29" s="4" t="inlineStr">
        <is>
          <t>Depth: applies standard latency levers independently - streaming, parallel calls, speculative work, caching - to hit a stated target, validated with p95, not averages. Scope: a component's latency budget.</t>
        </is>
      </c>
      <c r="H29" s="4" t="inlineStr">
        <is>
          <t>Depth: right-sizes models per task within a capability - proving with evals that the smaller, faster model holds the quality bar - designs routing that matches request difficulty to model tier, and defines latency SLOs users actually feel. Scope: a capability's performance envelope.</t>
        </is>
      </c>
      <c r="I29" s="4" t="inlineStr">
        <is>
          <t>Depth: builds or mandates the routing and caching infrastructure multiple teams use to meet shared latency standards, and audits over-provisioned model use. Scope: multiple teams.</t>
        </is>
      </c>
      <c r="J29" s="4" t="inlineStr">
        <is>
          <t>Depth: sets the org's latency/quality/cost frontier and the serving investments (routing, caching, distillation, self-hosting) that move it. Scope: organization.</t>
        </is>
      </c>
      <c r="K29" s="4" t="inlineStr">
        <is>
          <t>Depth: makes speed a company-level product advantage, deciding where the company competes on latency and the architectural commitments behind it. Scope: company.</t>
        </is>
      </c>
    </row>
    <row r="30">
      <c r="A30" s="4" t="inlineStr">
        <is>
          <t>Safety, Security &amp; Responsible AI</t>
        </is>
      </c>
      <c r="B30" s="4" t="inlineStr">
        <is>
          <t>AI Security &amp; Privacy</t>
        </is>
      </c>
      <c r="C30" s="4" t="inlineStr">
        <is>
          <t>Prompt injection &amp; untrusted model I/O</t>
        </is>
      </c>
      <c r="D30" s="6" t="inlineStr">
        <is>
          <t>OPS-08</t>
        </is>
      </c>
      <c r="E30" s="4" t="inlineStr">
        <is>
          <t>OWASP Top 10 for LLM Applications (2025) - LLM01 Prompt Injection</t>
        </is>
      </c>
      <c r="F30" s="4" t="inlineStr">
        <is>
          <t>Depth: treats model output and retrieved content as untrusted - never executes, renders, or queries with it unescaped, never concatenates untrusted content into instructions - and can explain injection with a real example. Scope: their own code paths.</t>
        </is>
      </c>
      <c r="G30" s="4" t="inlineStr">
        <is>
          <t>Depth: builds injection defenses into a component - privilege separation between instructions and data, output validation, allowlisted tool arguments - and writes adversarial cases into its tests. Scope: a component's trust boundaries.</t>
        </is>
      </c>
      <c r="H30" s="4" t="inlineStr">
        <is>
          <t>Depth: threat-models a capability's model I/O paths end to end - including the untrusted-content, private-data, external-communication combination - designs least-privilege mitigations accepted by security review, and red-teams their own features before attackers do. Scope: a capability's attack surface; their threat model is reviewed, not re-derived, by others.</t>
        </is>
      </c>
      <c r="I30" s="4" t="inlineStr">
        <is>
          <t>Depth: sets secure-by-default patterns for model I/O that multiple teams inherit from shared libraries - sanitization layers, tool-permission frameworks, injection suites in CI - and runs adversarial reviews of high-exposure launches. Scope: multiple teams.</t>
        </is>
      </c>
      <c r="J30" s="4" t="inlineStr">
        <is>
          <t>Depth: owns the org's LLM security program with the security org - threat models, red-team cadence, incident learnings folded back into platform defaults. Scope: organization.</t>
        </is>
      </c>
      <c r="K30" s="4" t="inlineStr">
        <is>
          <t>Depth: is accountable for the company's AI attack surface - deciding what the company will and won't expose to untrusted input - and represents the posture to customers, auditors, and researchers. Scope: company.</t>
        </is>
      </c>
    </row>
    <row r="31">
      <c r="A31" s="4" t="inlineStr">
        <is>
          <t>Safety, Security &amp; Responsible AI</t>
        </is>
      </c>
      <c r="B31" s="4" t="inlineStr">
        <is>
          <t>AI Security &amp; Privacy</t>
        </is>
      </c>
      <c r="C31" s="4" t="inlineStr">
        <is>
          <t>Data privacy &amp; PII handling</t>
        </is>
      </c>
      <c r="D31" s="6" t="inlineStr">
        <is>
          <t>OPS-09</t>
        </is>
      </c>
      <c r="E31" s="4" t="inlineStr">
        <is>
          <t>NIST Privacy Framework (2020)</t>
        </is>
      </c>
      <c r="F31" s="4" t="inlineStr">
        <is>
          <t>Depth: follows the team's rules for what may enter prompts, logs, and eval data, and asks before sending a new data category to a model provider. Scope: data handling in their tasks.</t>
        </is>
      </c>
      <c r="G31" s="4" t="inlineStr">
        <is>
          <t>Depth: implements redaction and minimization in a component's pipelines - PII scrubbing before model calls, trace redaction, retention limits - and verifies with tests that sensitive fields don't leak into telemetry. Scope: a component's data flows.</t>
        </is>
      </c>
      <c r="H31" s="4" t="inlineStr">
        <is>
          <t>Depth: owns the data-flow map of a capability end to end - what user data reaches which provider under what retention terms - designing minimization in rather than bolting it on, and catches new leak paths in design review. Scope: a capability's privacy posture.</t>
        </is>
      </c>
      <c r="I31" s="4" t="inlineStr">
        <is>
          <t>Depth: standardizes privacy engineering for AI across teams - shared redaction tooling, review checklists, provider data-processing requirements - and audits the highest-sensitivity data flows. Scope: multiple teams.</t>
        </is>
      </c>
      <c r="J31" s="4" t="inlineStr">
        <is>
          <t>Depth: owns the org's data posture toward model providers, partnering with legal on agreements, audits, and the hard cases like eval data versus deletion requests. Scope: organization.</t>
        </is>
      </c>
      <c r="K31" s="4" t="inlineStr">
        <is>
          <t>Depth: answers for the company's AI data-handling promises - what is committed to customers about their data, and the architecture that keeps it true. Scope: company.</t>
        </is>
      </c>
    </row>
    <row r="32">
      <c r="A32" s="4" t="inlineStr">
        <is>
          <t>Safety, Security &amp; Responsible AI</t>
        </is>
      </c>
      <c r="B32" s="4" t="inlineStr">
        <is>
          <t>Responsible AI &amp; Governance</t>
        </is>
      </c>
      <c r="C32" s="4" t="inlineStr">
        <is>
          <t>Guardrails &amp; output safety</t>
        </is>
      </c>
      <c r="D32" s="6" t="inlineStr">
        <is>
          <t>AI-05</t>
        </is>
      </c>
      <c r="E32" s="4" t="inlineStr">
        <is>
          <t>Bai et al., "Constitutional AI: Harmlessness from AI Feedback" (2022)</t>
        </is>
      </c>
      <c r="F32" s="4" t="inlineStr">
        <is>
          <t>Depth: wires existing guardrails into a feature - schema validation, content filters, refusal handling - verifies rejects follow the designed path, and escalates outputs that feel harmful rather than shipping past them. Scope: a task.</t>
        </is>
      </c>
      <c r="G32" s="4" t="inlineStr">
        <is>
          <t>Depth: implements layered guardrails for a component - input filters, output classifiers, safe-completion fallbacks - and measures their false-positive and false-negative rates instead of assuming they work. Scope: a component's safety layer.</t>
        </is>
      </c>
      <c r="H32" s="4" t="inlineStr">
        <is>
          <t>Depth: designs the control stack for a capability from a written risk analysis - which failures are prevented, detected, or accepted, and where each control lives (prompt, classifier, policy engine, UX) - testing guardrails adversarially before launch and owning the harm/annoyance trade explicitly. Scope: a capability's behavior boundaries.</t>
        </is>
      </c>
      <c r="I32" s="4" t="inlineStr">
        <is>
          <t>Depth: standardizes guardrail patterns and shared safety infrastructure across teams - common classifiers, a policy taxonomy - with authority to block a ship on control gaps. Scope: multiple teams.</t>
        </is>
      </c>
      <c r="J32" s="4" t="inlineStr">
        <is>
          <t>Depth: owns the org's output-safety standards and red-teaming program, reporting residual risk honestly to leadership. Scope: organization.</t>
        </is>
      </c>
      <c r="K32" s="4" t="inlineStr">
        <is>
          <t>Depth: defines the company's safety bar for AI products - what its AI refuses, allows, and how that is defended publicly - including saying no to launches. Scope: company.</t>
        </is>
      </c>
    </row>
    <row r="33">
      <c r="A33" s="4" t="inlineStr">
        <is>
          <t>Safety, Security &amp; Responsible AI</t>
        </is>
      </c>
      <c r="B33" s="4" t="inlineStr">
        <is>
          <t>Responsible AI &amp; Governance</t>
        </is>
      </c>
      <c r="C33" s="4" t="inlineStr">
        <is>
          <t>Harm mitigation &amp; safety behavior</t>
        </is>
      </c>
      <c r="D33" s="6" t="inlineStr">
        <is>
          <t>AI-15</t>
        </is>
      </c>
      <c r="E33" s="4" t="inlineStr">
        <is>
          <t>Weidinger et al., "Taxonomy of Risks Posed by Language Models" (FAccT 2022)</t>
        </is>
      </c>
      <c r="F33" s="4" t="inlineStr">
        <is>
          <t>Depth: recognizes and reports harmful or biased outputs found during development instead of shrugging them off as model quirks. Scope: their task.</t>
        </is>
      </c>
      <c r="G33" s="4" t="inlineStr">
        <is>
          <t>Depth: tests a component against the team's harm checklist - unsafe advice, bias probes across user groups, overconfident hallucination - and adds mitigations that measurably reduce hits. Scope: a component.</t>
        </is>
      </c>
      <c r="H33" s="4" t="inlineStr">
        <is>
          <t>Depth: defines the harm profile for a capability - who can be hurt and how - ships mitigations (refusals, hedging, citations, escalation paths) with eval coverage per harm class, and makes a written ship/hold recommendation leadership can act on, escalating when asked to ship past a red line. Scope: a capability; launch reviews use their assessment.</t>
        </is>
      </c>
      <c r="I33" s="4" t="inlineStr">
        <is>
          <t>Depth: sets harm-analysis practice across teams and reviews launches with meaningful harm potential, arbitrating safety-vs-utility disputes with data. Scope: multiple teams.</t>
        </is>
      </c>
      <c r="J33" s="4" t="inlineStr">
        <is>
          <t>Depth: operationalizes the org's responsible-AI commitments into engineering requirements teams can actually implement. Scope: organization.</t>
        </is>
      </c>
      <c r="K33" s="4" t="inlineStr">
        <is>
          <t>Depth: shapes the company's public safety posture and is accountable for it holding under scrutiny. Scope: company.</t>
        </is>
      </c>
    </row>
    <row r="34">
      <c r="A34" s="4" t="inlineStr">
        <is>
          <t>Safety, Security &amp; Responsible AI</t>
        </is>
      </c>
      <c r="B34" s="4" t="inlineStr">
        <is>
          <t>Responsible AI &amp; Governance</t>
        </is>
      </c>
      <c r="C34" s="4" t="inlineStr">
        <is>
          <t>AI risk assessment &amp; governance</t>
        </is>
      </c>
      <c r="D34" s="6" t="inlineStr">
        <is>
          <t>proposed</t>
        </is>
      </c>
      <c r="E34" s="4" t="inlineStr">
        <is>
          <t>NIST AI Risk Management Framework 1.0 (2023); EU AI Act (2024)</t>
        </is>
      </c>
      <c r="F34" s="4" t="inlineStr">
        <is>
          <t>Depth: completes the launch risk checklist for their change accurately - identifying who is affected if the model is wrong - and escalates anything the checklist doesn't cover. Scope: their task.</t>
        </is>
      </c>
      <c r="G34" s="4" t="inlineStr">
        <is>
          <t>Depth: assesses a feature's failure impact before build - misuse, error harm, disparate performance - and documents residual risk and the design choices that reduce it, without being chased. Scope: a component's risk profile.</t>
        </is>
      </c>
      <c r="H34" s="4" t="inlineStr">
        <is>
          <t>Depth: classifies a capability against the applicable risk framework, keeps its evidence pack (evals, controls, incidents) audit-ready, converts findings into engineering requirements with owners, and flags when a product change alters its risk class. Scope: a capability's risk register.</t>
        </is>
      </c>
      <c r="I34" s="4" t="inlineStr">
        <is>
          <t>Depth: operates the cross-team AI risk-review process - fast enough that teams use it honestly, rigorous enough to catch real issues - and builds the governance tooling that makes compliance a byproduct of normal engineering. Scope: multiple teams' launches.</t>
        </is>
      </c>
      <c r="J34" s="4" t="inlineStr">
        <is>
          <t>Depth: owns the org's AI governance program jointly with legal and risk, translating regulation into engineering requirements without freezing delivery. Scope: organization.</t>
        </is>
      </c>
      <c r="K34" s="4" t="inlineStr">
        <is>
          <t>Depth: positions the company ahead of AI regulation, accountable to executives and boards for the risk posture and shaping its regulatory engagement. Scope: company.</t>
        </is>
      </c>
    </row>
    <row r="35">
      <c r="A35" s="4" t="inlineStr">
        <is>
          <t>Delivery, Impact &amp; Leadership</t>
        </is>
      </c>
      <c r="B35" s="4" t="inlineStr">
        <is>
          <t>Product &amp; Business Impact</t>
        </is>
      </c>
      <c r="C35" s="4" t="inlineStr">
        <is>
          <t>Problem framing &amp; solution fit</t>
        </is>
      </c>
      <c r="D35" s="6" t="inlineStr">
        <is>
          <t>AI-20</t>
        </is>
      </c>
      <c r="E35" s="4" t="inlineStr">
        <is>
          <t>Zinkevich, "Rules of Machine Learning" (Google), Rule #1</t>
        </is>
      </c>
      <c r="F35" s="4" t="inlineStr">
        <is>
          <t>Depth: states what user problem their task serves and raises it when a lookup table or heuristic would do what the ticket asks of a model. Scope: their tasks.</t>
        </is>
      </c>
      <c r="G35" s="4" t="inlineStr">
        <is>
          <t>Depth: prototypes the simplest adequate approach first - rules, search, classical ML, or a model - and recommends the model only when it beats the baseline, with the comparison documented. Scope: a component's approach.</t>
        </is>
      </c>
      <c r="H35" s="4" t="inlineStr">
        <is>
          <t>Depth: kills LLM-shaped solutions to non-LLM problems in design review with evidence, reframing vague 'add AI' asks into testable user outcomes product partners agree to, and matches technique to problem across a capability. Scope: a capability's problem space; PMs seek their framing early.</t>
        </is>
      </c>
      <c r="I35" s="4" t="inlineStr">
        <is>
          <t>Depth: installs solution-fit review in how multiple teams take on AI work, redirecting AI-for-its-own-sake proposals and unwinding the most expensive misfit projects. Scope: multiple teams' portfolios.</t>
        </is>
      </c>
      <c r="J35" s="4" t="inlineStr">
        <is>
          <t>Depth: shapes which problems the org points AI at, pairing with product leadership on where models genuinely change the offering and cancelling bets the evidence turns against. Scope: organization.</t>
        </is>
      </c>
      <c r="K35" s="4" t="inlineStr">
        <is>
          <t>Depth: advises company leadership on what AI makes newly possible versus fashionable - and is right often enough to be believed. Scope: company.</t>
        </is>
      </c>
    </row>
    <row r="36">
      <c r="A36" s="4" t="inlineStr">
        <is>
          <t>Delivery, Impact &amp; Leadership</t>
        </is>
      </c>
      <c r="B36" s="4" t="inlineStr">
        <is>
          <t>Product &amp; Business Impact</t>
        </is>
      </c>
      <c r="C36" s="4" t="inlineStr">
        <is>
          <t>Outcome measurement &amp; business value</t>
        </is>
      </c>
      <c r="D36" s="6" t="inlineStr">
        <is>
          <t>PD-06</t>
        </is>
      </c>
      <c r="E36" s="4" t="inlineStr">
        <is>
          <t>Forsgren, Humble &amp; Kim, *Accelerate* (2018)</t>
        </is>
      </c>
      <c r="F36" s="4" t="inlineStr">
        <is>
          <t>Depth: states how their feature's success will be measured beyond 'it works' and checks the metric after launch rather than moving on. Scope: their features.</t>
        </is>
      </c>
      <c r="G36" s="4" t="inlineStr">
        <is>
          <t>Depth: defines success metrics with product partners before building and reports post-launch results honestly, including misses, reacting when product metrics and eval scores diverge. Scope: a component's outcomes.</t>
        </is>
      </c>
      <c r="H36" s="4" t="inlineStr">
        <is>
          <t>Depth: connects a capability's engineering metrics to business outcomes - cost per outcome, retention, task completion - and recommends sunsetting features whose value evidence never arrives, with the data that justifies it. Scope: a capability's return on investment.</t>
        </is>
      </c>
      <c r="I36" s="4" t="inlineStr">
        <is>
          <t>Depth: builds the value-measurement discipline multiple teams use for AI investments, surfacing which bets are and aren't paying off and reallocating effort when the numbers say so. Scope: multiple teams' portfolios.</t>
        </is>
      </c>
      <c r="J36" s="4" t="inlineStr">
        <is>
          <t>Depth: owns the org's account of AI value delivered, credible to finance and product alike, and reallocates engineering toward what the evidence supports. Scope: organization.</t>
        </is>
      </c>
      <c r="K36" s="4" t="inlineStr">
        <is>
          <t>Depth: shapes how the company invests in AI based on demonstrated value, with numbers that survive diligence at board level. Scope: company.</t>
        </is>
      </c>
    </row>
    <row r="37">
      <c r="A37" s="4" t="inlineStr">
        <is>
          <t>Delivery, Impact &amp; Leadership</t>
        </is>
      </c>
      <c r="B37" s="4" t="inlineStr">
        <is>
          <t>Delivery Under Uncertainty</t>
        </is>
      </c>
      <c r="C37" s="4" t="inlineStr">
        <is>
          <t>Planning under model uncertainty</t>
        </is>
      </c>
      <c r="D37" s="6" t="inlineStr">
        <is>
          <t>PD-04</t>
        </is>
      </c>
      <c r="E37" s="4" t="inlineStr">
        <is>
          <t>Yan et al., "What We Learned from a Year of Building with LLMs" (O'Reilly, 2024)</t>
        </is>
      </c>
      <c r="F37" s="4" t="inlineStr">
        <is>
          <t>Depth: breaks their work into small verifiable increments and flags early - with evidence - when the model can't do what the task assumed, instead of grinding silently. Scope: their tasks.</t>
        </is>
      </c>
      <c r="G37" s="4" t="inlineStr">
        <is>
          <t>Depth: plans feature work as a de-risking sequence - timeboxed feasibility spike, eval baseline, then build - giving estimates as ranges with stated confidence and re-planning visibly when the spike says no. Scope: a component's plan.</t>
        </is>
      </c>
      <c r="H37" s="4" t="inlineStr">
        <is>
          <t>Depth: structures a capability's roadmap around its riskiest unknowns - feasibility gates before commitments, kill criteria stated before the spike starts and honored when triggered, a shippable fallback behind every model-dependent bet. Scope: a capability's roadmap; their spikes change roadmaps.</t>
        </is>
      </c>
      <c r="I37" s="4" t="inlineStr">
        <is>
          <t>Depth: teaches teams to plan AI work honestly - separating engineering certainty from model uncertainty in commitments leaders can rely on - and de-risks the org's biggest AI commitments personally. Scope: multiple teams' planning.</t>
        </is>
      </c>
      <c r="J37" s="4" t="inlineStr">
        <is>
          <t>Depth: shapes the org's portfolio of AI bets, balancing near-certain delivery against high-variance exploration and keeping leadership expectations calibrated to what evals actually show. Scope: organization.</t>
        </is>
      </c>
      <c r="K37" s="4" t="inlineStr">
        <is>
          <t>Depth: times company bets against the model-capability curve - what to build now versus wait for - and is accountable for the calls. Scope: company.</t>
        </is>
      </c>
    </row>
    <row r="38">
      <c r="A38" s="4" t="inlineStr">
        <is>
          <t>Delivery, Impact &amp; Leadership</t>
        </is>
      </c>
      <c r="B38" s="4" t="inlineStr">
        <is>
          <t>Delivery Under Uncertainty</t>
        </is>
      </c>
      <c r="C38" s="4" t="inlineStr">
        <is>
          <t>Incremental delivery &amp; de-risking</t>
        </is>
      </c>
      <c r="D38" s="6" t="inlineStr">
        <is>
          <t>OPS-30</t>
        </is>
      </c>
      <c r="E38" s="4" t="inlineStr">
        <is>
          <t>Humble &amp; Farley, *Continuous Delivery* (2010)</t>
        </is>
      </c>
      <c r="F38" s="4" t="inlineStr">
        <is>
          <t>Depth: ships work in small reviewable increments behind flags as directed and rolls back their own change cleanly when asked. Scope: task-sized increments.</t>
        </is>
      </c>
      <c r="G38" s="4" t="inlineStr">
        <is>
          <t>Depth: designs a component's rollout as canary -&gt; percentage -&gt; full, watching evals and telemetry at each stage and rolling back on their own signal. Scope: a component's rollout.</t>
        </is>
      </c>
      <c r="H38" s="4" t="inlineStr">
        <is>
          <t>Depth: owns progressive-delivery strategy for a capability - shadow modes for new models, reversible-by-design changes, automated rollback triggers - and their launches are uneventful. Scope: a capability's release engineering.</t>
        </is>
      </c>
      <c r="I38" s="4" t="inlineStr">
        <is>
          <t>Depth: builds the progressive-delivery machinery multiple teams use for AI changes - flag conventions, automated rollback on eval regression. Scope: multiple teams.</t>
        </is>
      </c>
      <c r="J38" s="4" t="inlineStr">
        <is>
          <t>Depth: sets the org's release-engineering direction for AI products and its risk appetite per surface. Scope: organization.</t>
        </is>
      </c>
      <c r="K38" s="4" t="inlineStr">
        <is>
          <t>Depth: makes safe iteration speed a company capability competitors can't easily copy. Scope: company.</t>
        </is>
      </c>
    </row>
    <row r="39">
      <c r="A39" s="4" t="inlineStr">
        <is>
          <t>Delivery, Impact &amp; Leadership</t>
        </is>
      </c>
      <c r="B39" s="4" t="inlineStr">
        <is>
          <t>Delivery Under Uncertainty</t>
        </is>
      </c>
      <c r="C39" s="4" t="inlineStr">
        <is>
          <t>Ownership &amp; delivery accountability</t>
        </is>
      </c>
      <c r="D39" s="6" t="inlineStr">
        <is>
          <t>PD-05</t>
        </is>
      </c>
      <c r="E39" s="4" t="inlineStr">
        <is>
          <t>CircleCI Engineering Competency Matrix (progression.fyi/f/circle-ci)</t>
        </is>
      </c>
      <c r="F39" s="4" t="inlineStr">
        <is>
          <t>Depth: takes ownership of assigned tasks and communicates progress and blockers honestly, driving them to done without waiting to be asked. Scope: answerable for individual work items.</t>
        </is>
      </c>
      <c r="G39" s="4" t="inlineStr">
        <is>
          <t>Depth: owns components end to end and delivers committed work reliably, raising slips as soon as they are known. Scope: answerable for a component's quality and timeliness.</t>
        </is>
      </c>
      <c r="H39" s="4" t="inlineStr">
        <is>
          <t>Depth: owns a capability and lands multi-week efforts without surprises, pushing back on unrealistic scope with reasons. Scope: others depend on their systems; answerable for the capability's outcomes.</t>
        </is>
      </c>
      <c r="I39" s="4" t="inlineStr">
        <is>
          <t>Depth: owns cross-team initiatives, unblocking teams and killing failing approaches early. Scope: answerable to leadership for multi-team program outcomes.</t>
        </is>
      </c>
      <c r="J39" s="4" t="inlineStr">
        <is>
          <t>Depth: owns an org-level portfolio of technical bets. Scope: answerable for org outcomes; sets direction others follow.</t>
        </is>
      </c>
      <c r="K39" s="4" t="inlineStr">
        <is>
          <t>Depth: owns company-critical technical outcomes - leadership's go-to when something absolutely must land. Scope: company.</t>
        </is>
      </c>
    </row>
    <row r="40">
      <c r="A40" s="4" t="inlineStr">
        <is>
          <t>Delivery, Impact &amp; Leadership</t>
        </is>
      </c>
      <c r="B40" s="4" t="inlineStr">
        <is>
          <t>Communication &amp; Collaboration</t>
        </is>
      </c>
      <c r="C40" s="4" t="inlineStr">
        <is>
          <t>Technical communication &amp; writing</t>
        </is>
      </c>
      <c r="D40" s="6" t="inlineStr">
        <is>
          <t>CC-01</t>
        </is>
      </c>
      <c r="E40" s="4" t="inlineStr">
        <is>
          <t>Larson, *Staff Engineer* (2021)</t>
        </is>
      </c>
      <c r="F40" s="4" t="inlineStr">
        <is>
          <t>Depth: writes clear task updates, commit messages, and questions with enough context that responders don't have to ask for it, summarizing eval results without overstating them. Scope: their team's channels.</t>
        </is>
      </c>
      <c r="G40" s="4" t="inlineStr">
        <is>
          <t>Depth: writes design notes and runbooks peers act on without follow-up questions, and explains model behavior and its limits to non-experts without jargon or overclaiming. Scope: a component's stakeholders.</t>
        </is>
      </c>
      <c r="H40" s="4" t="inlineStr">
        <is>
          <t>Depth: writes the docs that settle decisions - options, evidence, recommendation - and translates eval results and AI trade-offs so accurately that product decisions built on their word hold up. Scope: a capability's decision record.</t>
        </is>
      </c>
      <c r="I40" s="4" t="inlineStr">
        <is>
          <t>Depth: aligns multiple teams through writing - RFCs, strategies, decision records cited months later as the reference - and presents AI capability and risk to leadership without dumbing it down. Scope: multiple teams.</t>
        </is>
      </c>
      <c r="J40" s="4" t="inlineStr">
        <is>
          <t>Depth: communicates org-level technical direction upward and outward, translating between executive and engineering registers without loss, including bad news early. Scope: organization.</t>
        </is>
      </c>
      <c r="K40" s="4" t="inlineStr">
        <is>
          <t>Depth: is the company's technical voice on AI internally and externally - talks, publications, customer and regulator conversations that move the company's position. Scope: company and industry.</t>
        </is>
      </c>
    </row>
    <row r="41">
      <c r="A41" s="4" t="inlineStr">
        <is>
          <t>Delivery, Impact &amp; Leadership</t>
        </is>
      </c>
      <c r="B41" s="4" t="inlineStr">
        <is>
          <t>Communication &amp; Collaboration</t>
        </is>
      </c>
      <c r="C41" s="4" t="inlineStr">
        <is>
          <t>Cross-functional collaboration</t>
        </is>
      </c>
      <c r="D41" s="6" t="inlineStr">
        <is>
          <t>CC-03</t>
        </is>
      </c>
      <c r="E41" s="4" t="inlineStr">
        <is>
          <t>Skelton &amp; Pais, *Team Topologies* (2019)</t>
        </is>
      </c>
      <c r="F41" s="4" t="inlineStr">
        <is>
          <t>Depth: works effectively with designer and PM counterparts on task details, surfacing AI-specific constraints - latency, failure modes - early, and incorporates feedback without churn. Scope: their team.</t>
        </is>
      </c>
      <c r="G41" s="4" t="inlineStr">
        <is>
          <t>Depth: partners with product and design on what the model can and can't support, involving them before the prompt is final and prototyping to resolve disagreements with evidence. Scope: a component's cross-functional loop.</t>
        </is>
      </c>
      <c r="H41" s="4" t="inlineStr">
        <is>
          <t>Depth: runs the cross-functional process for a capability - brings legal, security, and support in before launch, turns product intent into evaluable requirements - and resolves conflicts between functions without escalation. Scope: a capability's stakeholder set; peers in other functions seek them out.</t>
        </is>
      </c>
      <c r="I41" s="4" t="inlineStr">
        <is>
          <t>Depth: fixes broken cross-team interfaces - ownership gaps, handoff friction - building the review forums, interface agreements, and shared vocabularies several teams use. Scope: multiple teams' seams.</t>
        </is>
      </c>
      <c r="J41" s="4" t="inlineStr">
        <is>
          <t>Depth: builds the org's operating model between AI engineering and other functions - data, platform, trust, product - so work flows without heroics. Scope: organization.</t>
        </is>
      </c>
      <c r="K41" s="4" t="inlineStr">
        <is>
          <t>Depth: brokers company-level alignment on AI initiatives across executive functions with durable results. Scope: company.</t>
        </is>
      </c>
    </row>
    <row r="42">
      <c r="A42" s="4" t="inlineStr">
        <is>
          <t>Delivery, Impact &amp; Leadership</t>
        </is>
      </c>
      <c r="B42" s="4" t="inlineStr">
        <is>
          <t>Communication &amp; Collaboration</t>
        </is>
      </c>
      <c r="C42" s="4" t="inlineStr">
        <is>
          <t>Documentation &amp; knowledge sharing</t>
        </is>
      </c>
      <c r="D42" s="6" t="inlineStr">
        <is>
          <t>CC-02</t>
        </is>
      </c>
      <c r="E42" s="4" t="inlineStr">
        <is>
          <t>Mitchell et al., "Model Cards for Model Reporting" (FAT* 2019)</t>
        </is>
      </c>
      <c r="F42" s="4" t="inlineStr">
        <is>
          <t>Depth: keeps the docs for what they build current - setup, known limits, gotchas - and files gaps they find in others'. Scope: their own work.</t>
        </is>
      </c>
      <c r="G42" s="4" t="inlineStr">
        <is>
          <t>Depth: documents a feature's behavior contract - intended use, eval results, failure modes, escalation paths - findable by the next engineer without asking. Scope: one component.</t>
        </is>
      </c>
      <c r="H42" s="4" t="inlineStr">
        <is>
          <t>Depth: maintains the canonical documentation for a capability - architecture, prompt rationale, eval history, runbooks - and prunes stale docs as ruthlessly as stale code. Scope: a capability; new joiners onboard from their docs alone.</t>
        </is>
      </c>
      <c r="I42" s="4" t="inlineStr">
        <is>
          <t>Depth: drives documentation standards for AI systems across teams - behavior cards, decision records - and reviews for compliance. Scope: multiple teams.</t>
        </is>
      </c>
      <c r="J42" s="4" t="inlineStr">
        <is>
          <t>Depth: builds the org's AI knowledge base as infrastructure, making internal expertise discoverable. Scope: organization.</t>
        </is>
      </c>
      <c r="K42" s="4" t="inlineStr">
        <is>
          <t>Depth: externalizes company knowledge deliberately - publications, standards participation - where it compounds the company's position. Scope: company.</t>
        </is>
      </c>
    </row>
    <row r="43">
      <c r="A43" s="4" t="inlineStr">
        <is>
          <t>Delivery, Impact &amp; Leadership</t>
        </is>
      </c>
      <c r="B43" s="4" t="inlineStr">
        <is>
          <t>Mentoring &amp; Technical Leadership</t>
        </is>
      </c>
      <c r="C43" s="4" t="inlineStr">
        <is>
          <t>Mentoring &amp; knowledge sharing</t>
        </is>
      </c>
      <c r="D43" s="6" t="inlineStr">
        <is>
          <t>LI-01</t>
        </is>
      </c>
      <c r="E43" s="4" t="inlineStr">
        <is>
          <t>Fournier, *The Manager's Path* (2017), mentoring chapters</t>
        </is>
      </c>
      <c r="F43" s="4" t="inlineStr">
        <is>
          <t>Depth: asks for help effectively and pays it forward, documenting what they learned where the next person will find it. Scope: their immediate peers.</t>
        </is>
      </c>
      <c r="G43" s="4" t="inlineStr">
        <is>
          <t>Depth: onboards new teammates onto the AI stack and pairs generously, turning their own review comments and repeated questions into reusable explanations. Scope: their team.</t>
        </is>
      </c>
      <c r="H43" s="4" t="inlineStr">
        <is>
          <t>Depth: mentors engineers deliberately - stretch tasks matched to gaps, feedback that names behavior and impact - and levels a team up on AI-specific craft (evals, prompting, agent design) it didn't have before; mentees ship independently sooner. Scope: a capability's engineers; the terminal-level expectation, sustainable indefinitely.</t>
        </is>
      </c>
      <c r="I43" s="4" t="inlineStr">
        <is>
          <t>Depth: grows senior engineers across teams, sponsoring others into leading work they would have led, and builds the guilds and curricula that scale beyond one-on-ones. Scope: multiple teams' talent.</t>
        </is>
      </c>
      <c r="J43" s="4" t="inlineStr">
        <is>
          <t>Depth: builds the org's AI-engineering bench - hiring bar, growth paths, promotion evidence, succession for critical systems. Scope: organization.</t>
        </is>
      </c>
      <c r="K43" s="4" t="inlineStr">
        <is>
          <t>Depth: develops the company's next generation of principal-level technical leaders, largely through others, and shapes how the company is known to candidates. Scope: company.</t>
        </is>
      </c>
    </row>
    <row r="44">
      <c r="A44" s="4" t="inlineStr">
        <is>
          <t>Delivery, Impact &amp; Leadership</t>
        </is>
      </c>
      <c r="B44" s="4" t="inlineStr">
        <is>
          <t>Mentoring &amp; Technical Leadership</t>
        </is>
      </c>
      <c r="C44" s="4" t="inlineStr">
        <is>
          <t>Technical leadership &amp; direction setting</t>
        </is>
      </c>
      <c r="D44" s="6" t="inlineStr">
        <is>
          <t>LI-03</t>
        </is>
      </c>
      <c r="E44" s="4" t="inlineStr">
        <is>
          <t>Larson, *Staff Engineer* (2021) and StaffEng archetypes</t>
        </is>
      </c>
      <c r="F44" s="4" t="inlineStr">
        <is>
          <t>Depth: volunteers for unglamorous work that unblocks others and raises risks early instead of waiting to be asked. Scope: their team's day-to-day.</t>
        </is>
      </c>
      <c r="G44" s="4" t="inlineStr">
        <is>
          <t>Depth: leads small technical efforts end to end - a migration, an integration - coordinating the people involved without formal authority or escalation. Scope: a component-sized effort.</t>
        </is>
      </c>
      <c r="H44" s="4" t="inlineStr">
        <is>
          <t>Depth: sets technical direction for a capability - making and documenting the contentious calls, taking responsibility when wrong - and is the engineer others seek out when an AI decision is stuck. Scope: a capability; the terminal-level leadership bar.</t>
        </is>
      </c>
      <c r="I44" s="4" t="inlineStr">
        <is>
          <t>Depth: creates alignment across teams that don't report to them, landing multi-team initiatives - platform migrations, model transitions - through writing, relationships, and demonstrated judgment. Scope: multiple teams' roadmaps.</t>
        </is>
      </c>
      <c r="J44" s="4" t="inlineStr">
        <is>
          <t>Depth: drives the org's technical strategy for AI, choosing the few bets that matter and getting leadership and teams genuinely behind them. Scope: organization.</t>
        </is>
      </c>
      <c r="K44" s="4" t="inlineStr">
        <is>
          <t>Depth: sets the company's long-term technical direction for AI, accountable for the bets years before they resolve. Scope: company.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9" customWidth="1" min="3" max="3"/>
    <col width="7" customWidth="1" min="4" max="4"/>
    <col width="7" customWidth="1" min="5" max="5"/>
    <col width="9" customWidth="1" min="6" max="6"/>
    <col width="7" customWidth="1" min="7" max="7"/>
    <col width="7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Target level</t>
        </is>
      </c>
      <c r="B1" s="7" t="inlineStr">
        <is>
          <t>E3</t>
        </is>
      </c>
      <c r="D1" s="2" t="inlineStr">
        <is>
          <t>Enter one of: E1, E2, E3, E4, E5, E6. Blue cells are inputs (1-6, the P number).</t>
        </is>
      </c>
    </row>
    <row r="3">
      <c r="A3" s="1" t="inlineStr">
        <is>
          <t>Key Area</t>
        </is>
      </c>
      <c r="B3" s="1" t="inlineStr">
        <is>
          <t>Competency</t>
        </is>
      </c>
      <c r="C3" s="1" t="inlineStr">
        <is>
          <t>Target P</t>
        </is>
      </c>
      <c r="D3" s="1" t="inlineStr">
        <is>
          <t>Self</t>
        </is>
      </c>
      <c r="E3" s="1" t="inlineStr">
        <is>
          <t>Peer</t>
        </is>
      </c>
      <c r="F3" s="1" t="inlineStr">
        <is>
          <t>Manager</t>
        </is>
      </c>
      <c r="G3" s="1" t="inlineStr">
        <is>
          <t>Avg</t>
        </is>
      </c>
      <c r="H3" s="1" t="inlineStr">
        <is>
          <t>Gap</t>
        </is>
      </c>
      <c r="J3" s="1" t="inlineStr">
        <is>
          <t>E1</t>
        </is>
      </c>
      <c r="K3" s="1" t="inlineStr">
        <is>
          <t>E2</t>
        </is>
      </c>
      <c r="L3" s="1" t="inlineStr">
        <is>
          <t>E3</t>
        </is>
      </c>
      <c r="M3" s="1" t="inlineStr">
        <is>
          <t>E4</t>
        </is>
      </c>
      <c r="N3" s="1" t="inlineStr">
        <is>
          <t>E5</t>
        </is>
      </c>
      <c r="O3" s="1" t="inlineStr">
        <is>
          <t>E6</t>
        </is>
      </c>
    </row>
    <row r="4">
      <c r="A4" s="2" t="inlineStr">
        <is>
          <t>Software Engineering Craft</t>
        </is>
      </c>
      <c r="B4" s="2" t="inlineStr">
        <is>
          <t>System design &amp; architecture</t>
        </is>
      </c>
      <c r="C4" s="2">
        <f>IFERROR(INDEX(J4:O4,MATCH($B$1,$J$3:$O$3,0)),"")</f>
        <v/>
      </c>
      <c r="D4" s="7" t="n"/>
      <c r="E4" s="7" t="n"/>
      <c r="F4" s="7" t="n"/>
      <c r="G4" s="2">
        <f>IFERROR(AVERAGE(D4:F4),"")</f>
        <v/>
      </c>
      <c r="H4" s="2">
        <f>IFERROR(G4-C4,"")</f>
        <v/>
      </c>
      <c r="J4" s="2" t="n">
        <v>1</v>
      </c>
      <c r="K4" s="2" t="n">
        <v>2</v>
      </c>
      <c r="L4" s="2" t="n">
        <v>3</v>
      </c>
      <c r="M4" s="2" t="n">
        <v>4</v>
      </c>
      <c r="N4" s="2" t="n">
        <v>5</v>
      </c>
      <c r="O4" s="2" t="n">
        <v>6</v>
      </c>
    </row>
    <row r="5">
      <c r="A5" s="2" t="inlineStr">
        <is>
          <t>Software Engineering Craft</t>
        </is>
      </c>
      <c r="B5" s="2" t="inlineStr">
        <is>
          <t>API &amp; service design</t>
        </is>
      </c>
      <c r="C5" s="2">
        <f>IFERROR(INDEX(J5:O5,MATCH($B$1,$J$3:$O$3,0)),"")</f>
        <v/>
      </c>
      <c r="D5" s="7" t="n"/>
      <c r="E5" s="7" t="n"/>
      <c r="F5" s="7" t="n"/>
      <c r="G5" s="2">
        <f>IFERROR(AVERAGE(D5:F5),"")</f>
        <v/>
      </c>
      <c r="H5" s="2">
        <f>IFERROR(G5-C5,"")</f>
        <v/>
      </c>
      <c r="J5" s="2" t="n">
        <v>1</v>
      </c>
      <c r="K5" s="2" t="n">
        <v>2</v>
      </c>
      <c r="L5" s="2" t="n">
        <v>3</v>
      </c>
      <c r="M5" s="2" t="n">
        <v>4</v>
      </c>
      <c r="N5" s="2" t="n">
        <v>5</v>
      </c>
      <c r="O5" s="2" t="n">
        <v>6</v>
      </c>
    </row>
    <row r="6">
      <c r="A6" s="2" t="inlineStr">
        <is>
          <t>Software Engineering Craft</t>
        </is>
      </c>
      <c r="B6" s="2" t="inlineStr">
        <is>
          <t>Coding &amp; implementation</t>
        </is>
      </c>
      <c r="C6" s="2">
        <f>IFERROR(INDEX(J6:O6,MATCH($B$1,$J$3:$O$3,0)),"")</f>
        <v/>
      </c>
      <c r="D6" s="7" t="n"/>
      <c r="E6" s="7" t="n"/>
      <c r="F6" s="7" t="n"/>
      <c r="G6" s="2">
        <f>IFERROR(AVERAGE(D6:F6),"")</f>
        <v/>
      </c>
      <c r="H6" s="2">
        <f>IFERROR(G6-C6,"")</f>
        <v/>
      </c>
      <c r="J6" s="2" t="n">
        <v>1</v>
      </c>
      <c r="K6" s="2" t="n">
        <v>2</v>
      </c>
      <c r="L6" s="2" t="n">
        <v>3</v>
      </c>
      <c r="M6" s="2" t="n">
        <v>4</v>
      </c>
      <c r="N6" s="2" t="n">
        <v>5</v>
      </c>
      <c r="O6" s="2" t="n">
        <v>6</v>
      </c>
    </row>
    <row r="7">
      <c r="A7" s="2" t="inlineStr">
        <is>
          <t>Software Engineering Craft</t>
        </is>
      </c>
      <c r="B7" s="2" t="inlineStr">
        <is>
          <t>Code quality &amp; review</t>
        </is>
      </c>
      <c r="C7" s="2">
        <f>IFERROR(INDEX(J7:O7,MATCH($B$1,$J$3:$O$3,0)),"")</f>
        <v/>
      </c>
      <c r="D7" s="7" t="n"/>
      <c r="E7" s="7" t="n"/>
      <c r="F7" s="7" t="n"/>
      <c r="G7" s="2">
        <f>IFERROR(AVERAGE(D7:F7),"")</f>
        <v/>
      </c>
      <c r="H7" s="2">
        <f>IFERROR(G7-C7,"")</f>
        <v/>
      </c>
      <c r="J7" s="2" t="n">
        <v>1</v>
      </c>
      <c r="K7" s="2" t="n">
        <v>2</v>
      </c>
      <c r="L7" s="2" t="n">
        <v>3</v>
      </c>
      <c r="M7" s="2" t="n">
        <v>4</v>
      </c>
      <c r="N7" s="2" t="n">
        <v>5</v>
      </c>
      <c r="O7" s="2" t="n">
        <v>6</v>
      </c>
    </row>
    <row r="8">
      <c r="A8" s="2" t="inlineStr">
        <is>
          <t>Software Engineering Craft</t>
        </is>
      </c>
      <c r="B8" s="2" t="inlineStr">
        <is>
          <t>Debugging &amp; systems diagnosis</t>
        </is>
      </c>
      <c r="C8" s="2">
        <f>IFERROR(INDEX(J8:O8,MATCH($B$1,$J$3:$O$3,0)),"")</f>
        <v/>
      </c>
      <c r="D8" s="7" t="n"/>
      <c r="E8" s="7" t="n"/>
      <c r="F8" s="7" t="n"/>
      <c r="G8" s="2">
        <f>IFERROR(AVERAGE(D8:F8),"")</f>
        <v/>
      </c>
      <c r="H8" s="2">
        <f>IFERROR(G8-C8,"")</f>
        <v/>
      </c>
      <c r="J8" s="2" t="n">
        <v>1</v>
      </c>
      <c r="K8" s="2" t="n">
        <v>2</v>
      </c>
      <c r="L8" s="2" t="n">
        <v>3</v>
      </c>
      <c r="M8" s="2" t="n">
        <v>4</v>
      </c>
      <c r="N8" s="2" t="n">
        <v>5</v>
      </c>
      <c r="O8" s="2" t="n">
        <v>6</v>
      </c>
    </row>
    <row r="9">
      <c r="A9" s="2" t="inlineStr">
        <is>
          <t>Software Engineering Craft</t>
        </is>
      </c>
      <c r="B9" s="2" t="inlineStr">
        <is>
          <t>Deterministic tests vs evals</t>
        </is>
      </c>
      <c r="C9" s="2">
        <f>IFERROR(INDEX(J9:O9,MATCH($B$1,$J$3:$O$3,0)),"")</f>
        <v/>
      </c>
      <c r="D9" s="7" t="n"/>
      <c r="E9" s="7" t="n"/>
      <c r="F9" s="7" t="n"/>
      <c r="G9" s="2">
        <f>IFERROR(AVERAGE(D9:F9),"")</f>
        <v/>
      </c>
      <c r="H9" s="2">
        <f>IFERROR(G9-C9,"")</f>
        <v/>
      </c>
      <c r="J9" s="2" t="n">
        <v>1</v>
      </c>
      <c r="K9" s="2" t="n">
        <v>2</v>
      </c>
      <c r="L9" s="2" t="n">
        <v>3</v>
      </c>
      <c r="M9" s="2" t="n">
        <v>4</v>
      </c>
      <c r="N9" s="2" t="n">
        <v>5</v>
      </c>
      <c r="O9" s="2" t="n">
        <v>6</v>
      </c>
    </row>
    <row r="10">
      <c r="A10" s="2" t="inlineStr">
        <is>
          <t>Software Engineering Craft</t>
        </is>
      </c>
      <c r="B10" s="2" t="inlineStr">
        <is>
          <t>AI-augmented development judgment</t>
        </is>
      </c>
      <c r="C10" s="2">
        <f>IFERROR(INDEX(J10:O10,MATCH($B$1,$J$3:$O$3,0)),"")</f>
        <v/>
      </c>
      <c r="D10" s="7" t="n"/>
      <c r="E10" s="7" t="n"/>
      <c r="F10" s="7" t="n"/>
      <c r="G10" s="2">
        <f>IFERROR(AVERAGE(D10:F10),"")</f>
        <v/>
      </c>
      <c r="H10" s="2">
        <f>IFERROR(G10-C10,"")</f>
        <v/>
      </c>
      <c r="J10" s="2" t="n">
        <v>1</v>
      </c>
      <c r="K10" s="2" t="n">
        <v>2</v>
      </c>
      <c r="L10" s="2" t="n">
        <v>3</v>
      </c>
      <c r="M10" s="2" t="n">
        <v>4</v>
      </c>
      <c r="N10" s="2" t="n">
        <v>5</v>
      </c>
      <c r="O10" s="2" t="n">
        <v>6</v>
      </c>
    </row>
    <row r="11">
      <c r="A11" s="2" t="inlineStr">
        <is>
          <t>LLM Integration &amp; Context Engineering</t>
        </is>
      </c>
      <c r="B11" s="2" t="inlineStr">
        <is>
          <t>Prompt design &amp; iteration</t>
        </is>
      </c>
      <c r="C11" s="2">
        <f>IFERROR(INDEX(J11:O11,MATCH($B$1,$J$3:$O$3,0)),"")</f>
        <v/>
      </c>
      <c r="D11" s="7" t="n"/>
      <c r="E11" s="7" t="n"/>
      <c r="F11" s="7" t="n"/>
      <c r="G11" s="2">
        <f>IFERROR(AVERAGE(D11:F11),"")</f>
        <v/>
      </c>
      <c r="H11" s="2">
        <f>IFERROR(G11-C11,"")</f>
        <v/>
      </c>
      <c r="J11" s="2" t="n">
        <v>1</v>
      </c>
      <c r="K11" s="2" t="n">
        <v>2</v>
      </c>
      <c r="L11" s="2" t="n">
        <v>3</v>
      </c>
      <c r="M11" s="2" t="n">
        <v>4</v>
      </c>
      <c r="N11" s="2" t="n">
        <v>5</v>
      </c>
      <c r="O11" s="2" t="n">
        <v>6</v>
      </c>
    </row>
    <row r="12">
      <c r="A12" s="2" t="inlineStr">
        <is>
          <t>LLM Integration &amp; Context Engineering</t>
        </is>
      </c>
      <c r="B12" s="2" t="inlineStr">
        <is>
          <t>Model selection &amp; integration</t>
        </is>
      </c>
      <c r="C12" s="2">
        <f>IFERROR(INDEX(J12:O12,MATCH($B$1,$J$3:$O$3,0)),"")</f>
        <v/>
      </c>
      <c r="D12" s="7" t="n"/>
      <c r="E12" s="7" t="n"/>
      <c r="F12" s="7" t="n"/>
      <c r="G12" s="2">
        <f>IFERROR(AVERAGE(D12:F12),"")</f>
        <v/>
      </c>
      <c r="H12" s="2">
        <f>IFERROR(G12-C12,"")</f>
        <v/>
      </c>
      <c r="J12" s="2" t="n">
        <v>1</v>
      </c>
      <c r="K12" s="2" t="n">
        <v>2</v>
      </c>
      <c r="L12" s="2" t="n">
        <v>3</v>
      </c>
      <c r="M12" s="2" t="n">
        <v>4</v>
      </c>
      <c r="N12" s="2" t="n">
        <v>5</v>
      </c>
      <c r="O12" s="2" t="n">
        <v>6</v>
      </c>
    </row>
    <row r="13">
      <c r="A13" s="2" t="inlineStr">
        <is>
          <t>LLM Integration &amp; Context Engineering</t>
        </is>
      </c>
      <c r="B13" s="2" t="inlineStr">
        <is>
          <t>Structured output &amp; schema design</t>
        </is>
      </c>
      <c r="C13" s="2">
        <f>IFERROR(INDEX(J13:O13,MATCH($B$1,$J$3:$O$3,0)),"")</f>
        <v/>
      </c>
      <c r="D13" s="7" t="n"/>
      <c r="E13" s="7" t="n"/>
      <c r="F13" s="7" t="n"/>
      <c r="G13" s="2">
        <f>IFERROR(AVERAGE(D13:F13),"")</f>
        <v/>
      </c>
      <c r="H13" s="2">
        <f>IFERROR(G13-C13,"")</f>
        <v/>
      </c>
      <c r="J13" s="2" t="n">
        <v>1</v>
      </c>
      <c r="K13" s="2" t="n">
        <v>2</v>
      </c>
      <c r="L13" s="2" t="n">
        <v>3</v>
      </c>
      <c r="M13" s="2" t="n">
        <v>4</v>
      </c>
      <c r="N13" s="2" t="n">
        <v>5</v>
      </c>
      <c r="O13" s="2" t="n">
        <v>6</v>
      </c>
    </row>
    <row r="14">
      <c r="A14" s="2" t="inlineStr">
        <is>
          <t>LLM Integration &amp; Context Engineering</t>
        </is>
      </c>
      <c r="B14" s="2" t="inlineStr">
        <is>
          <t>Retrieval &amp; grounding pipelines</t>
        </is>
      </c>
      <c r="C14" s="2">
        <f>IFERROR(INDEX(J14:O14,MATCH($B$1,$J$3:$O$3,0)),"")</f>
        <v/>
      </c>
      <c r="D14" s="7" t="n"/>
      <c r="E14" s="7" t="n"/>
      <c r="F14" s="7" t="n"/>
      <c r="G14" s="2">
        <f>IFERROR(AVERAGE(D14:F14),"")</f>
        <v/>
      </c>
      <c r="H14" s="2">
        <f>IFERROR(G14-C14,"")</f>
        <v/>
      </c>
      <c r="J14" s="2" t="n">
        <v>1</v>
      </c>
      <c r="K14" s="2" t="n">
        <v>2</v>
      </c>
      <c r="L14" s="2" t="n">
        <v>3</v>
      </c>
      <c r="M14" s="2" t="n">
        <v>4</v>
      </c>
      <c r="N14" s="2" t="n">
        <v>5</v>
      </c>
      <c r="O14" s="2" t="n">
        <v>6</v>
      </c>
    </row>
    <row r="15">
      <c r="A15" s="2" t="inlineStr">
        <is>
          <t>LLM Integration &amp; Context Engineering</t>
        </is>
      </c>
      <c r="B15" s="2" t="inlineStr">
        <is>
          <t>Embeddings &amp; semantic search</t>
        </is>
      </c>
      <c r="C15" s="2">
        <f>IFERROR(INDEX(J15:O15,MATCH($B$1,$J$3:$O$3,0)),"")</f>
        <v/>
      </c>
      <c r="D15" s="7" t="n"/>
      <c r="E15" s="7" t="n"/>
      <c r="F15" s="7" t="n"/>
      <c r="G15" s="2">
        <f>IFERROR(AVERAGE(D15:F15),"")</f>
        <v/>
      </c>
      <c r="H15" s="2">
        <f>IFERROR(G15-C15,"")</f>
        <v/>
      </c>
      <c r="J15" s="2" t="n">
        <v>1</v>
      </c>
      <c r="K15" s="2" t="n">
        <v>2</v>
      </c>
      <c r="L15" s="2" t="n">
        <v>3</v>
      </c>
      <c r="M15" s="2" t="n">
        <v>4</v>
      </c>
      <c r="N15" s="2" t="n">
        <v>5</v>
      </c>
      <c r="O15" s="2" t="n">
        <v>6</v>
      </c>
    </row>
    <row r="16">
      <c r="A16" s="2" t="inlineStr">
        <is>
          <t>LLM Integration &amp; Context Engineering</t>
        </is>
      </c>
      <c r="B16" s="2" t="inlineStr">
        <is>
          <t>Context budget &amp; memory management</t>
        </is>
      </c>
      <c r="C16" s="2">
        <f>IFERROR(INDEX(J16:O16,MATCH($B$1,$J$3:$O$3,0)),"")</f>
        <v/>
      </c>
      <c r="D16" s="7" t="n"/>
      <c r="E16" s="7" t="n"/>
      <c r="F16" s="7" t="n"/>
      <c r="G16" s="2">
        <f>IFERROR(AVERAGE(D16:F16),"")</f>
        <v/>
      </c>
      <c r="H16" s="2">
        <f>IFERROR(G16-C16,"")</f>
        <v/>
      </c>
      <c r="J16" s="2" t="n">
        <v>1</v>
      </c>
      <c r="K16" s="2" t="n">
        <v>2</v>
      </c>
      <c r="L16" s="2" t="n">
        <v>3</v>
      </c>
      <c r="M16" s="2" t="n">
        <v>4</v>
      </c>
      <c r="N16" s="2" t="n">
        <v>5</v>
      </c>
      <c r="O16" s="2" t="n">
        <v>6</v>
      </c>
    </row>
    <row r="17">
      <c r="A17" s="2" t="inlineStr">
        <is>
          <t>Agentic Systems</t>
        </is>
      </c>
      <c r="B17" s="2" t="inlineStr">
        <is>
          <t>Agent architecture &amp; orchestration</t>
        </is>
      </c>
      <c r="C17" s="2">
        <f>IFERROR(INDEX(J17:O17,MATCH($B$1,$J$3:$O$3,0)),"")</f>
        <v/>
      </c>
      <c r="D17" s="7" t="n"/>
      <c r="E17" s="7" t="n"/>
      <c r="F17" s="7" t="n"/>
      <c r="G17" s="2">
        <f>IFERROR(AVERAGE(D17:F17),"")</f>
        <v/>
      </c>
      <c r="H17" s="2">
        <f>IFERROR(G17-C17,"")</f>
        <v/>
      </c>
      <c r="J17" s="2" t="n">
        <v>1</v>
      </c>
      <c r="K17" s="2" t="n">
        <v>2</v>
      </c>
      <c r="L17" s="2" t="n">
        <v>3</v>
      </c>
      <c r="M17" s="2" t="n">
        <v>4</v>
      </c>
      <c r="N17" s="2" t="n">
        <v>5</v>
      </c>
      <c r="O17" s="2" t="n">
        <v>6</v>
      </c>
    </row>
    <row r="18">
      <c r="A18" s="2" t="inlineStr">
        <is>
          <t>Agentic Systems</t>
        </is>
      </c>
      <c r="B18" s="2" t="inlineStr">
        <is>
          <t>Tool &amp; function design for agents</t>
        </is>
      </c>
      <c r="C18" s="2">
        <f>IFERROR(INDEX(J18:O18,MATCH($B$1,$J$3:$O$3,0)),"")</f>
        <v/>
      </c>
      <c r="D18" s="7" t="n"/>
      <c r="E18" s="7" t="n"/>
      <c r="F18" s="7" t="n"/>
      <c r="G18" s="2">
        <f>IFERROR(AVERAGE(D18:F18),"")</f>
        <v/>
      </c>
      <c r="H18" s="2">
        <f>IFERROR(G18-C18,"")</f>
        <v/>
      </c>
      <c r="J18" s="2" t="n">
        <v>1</v>
      </c>
      <c r="K18" s="2" t="n">
        <v>2</v>
      </c>
      <c r="L18" s="2" t="n">
        <v>3</v>
      </c>
      <c r="M18" s="2" t="n">
        <v>4</v>
      </c>
      <c r="N18" s="2" t="n">
        <v>5</v>
      </c>
      <c r="O18" s="2" t="n">
        <v>6</v>
      </c>
    </row>
    <row r="19">
      <c r="A19" s="2" t="inlineStr">
        <is>
          <t>Agentic Systems</t>
        </is>
      </c>
      <c r="B19" s="2" t="inlineStr">
        <is>
          <t>Human oversight &amp; autonomy boundaries</t>
        </is>
      </c>
      <c r="C19" s="2">
        <f>IFERROR(INDEX(J19:O19,MATCH($B$1,$J$3:$O$3,0)),"")</f>
        <v/>
      </c>
      <c r="D19" s="7" t="n"/>
      <c r="E19" s="7" t="n"/>
      <c r="F19" s="7" t="n"/>
      <c r="G19" s="2">
        <f>IFERROR(AVERAGE(D19:F19),"")</f>
        <v/>
      </c>
      <c r="H19" s="2">
        <f>IFERROR(G19-C19,"")</f>
        <v/>
      </c>
      <c r="J19" s="2" t="n">
        <v>1</v>
      </c>
      <c r="K19" s="2" t="n">
        <v>2</v>
      </c>
      <c r="L19" s="2" t="n">
        <v>3</v>
      </c>
      <c r="M19" s="2" t="n">
        <v>4</v>
      </c>
      <c r="N19" s="2" t="n">
        <v>5</v>
      </c>
      <c r="O19" s="2" t="n">
        <v>6</v>
      </c>
    </row>
    <row r="20">
      <c r="A20" s="2" t="inlineStr">
        <is>
          <t>Agentic Systems</t>
        </is>
      </c>
      <c r="B20" s="2" t="inlineStr">
        <is>
          <t>Agent state &amp; failure recovery</t>
        </is>
      </c>
      <c r="C20" s="2">
        <f>IFERROR(INDEX(J20:O20,MATCH($B$1,$J$3:$O$3,0)),"")</f>
        <v/>
      </c>
      <c r="D20" s="7" t="n"/>
      <c r="E20" s="7" t="n"/>
      <c r="F20" s="7" t="n"/>
      <c r="G20" s="2">
        <f>IFERROR(AVERAGE(D20:F20),"")</f>
        <v/>
      </c>
      <c r="H20" s="2">
        <f>IFERROR(G20-C20,"")</f>
        <v/>
      </c>
      <c r="J20" s="2" t="n">
        <v>1</v>
      </c>
      <c r="K20" s="2" t="n">
        <v>2</v>
      </c>
      <c r="L20" s="2" t="n">
        <v>3</v>
      </c>
      <c r="M20" s="2" t="n">
        <v>4</v>
      </c>
      <c r="N20" s="2" t="n">
        <v>5</v>
      </c>
      <c r="O20" s="2" t="n">
        <v>6</v>
      </c>
    </row>
    <row r="21">
      <c r="A21" s="2" t="inlineStr">
        <is>
          <t>Agentic Systems</t>
        </is>
      </c>
      <c r="B21" s="2" t="inlineStr">
        <is>
          <t>Agent containment &amp; blast-radius control</t>
        </is>
      </c>
      <c r="C21" s="2">
        <f>IFERROR(INDEX(J21:O21,MATCH($B$1,$J$3:$O$3,0)),"")</f>
        <v/>
      </c>
      <c r="D21" s="7" t="n"/>
      <c r="E21" s="7" t="n"/>
      <c r="F21" s="7" t="n"/>
      <c r="G21" s="2">
        <f>IFERROR(AVERAGE(D21:F21),"")</f>
        <v/>
      </c>
      <c r="H21" s="2">
        <f>IFERROR(G21-C21,"")</f>
        <v/>
      </c>
      <c r="J21" s="2" t="n">
        <v>1</v>
      </c>
      <c r="K21" s="2" t="n">
        <v>2</v>
      </c>
      <c r="L21" s="2" t="n">
        <v>3</v>
      </c>
      <c r="M21" s="2" t="n">
        <v>4</v>
      </c>
      <c r="N21" s="2" t="n">
        <v>5</v>
      </c>
      <c r="O21" s="2" t="n">
        <v>6</v>
      </c>
    </row>
    <row r="22">
      <c r="A22" s="2" t="inlineStr">
        <is>
          <t>Evaluation &amp; Observability</t>
        </is>
      </c>
      <c r="B22" s="2" t="inlineStr">
        <is>
          <t>Eval sets &amp; golden data</t>
        </is>
      </c>
      <c r="C22" s="2">
        <f>IFERROR(INDEX(J22:O22,MATCH($B$1,$J$3:$O$3,0)),"")</f>
        <v/>
      </c>
      <c r="D22" s="7" t="n"/>
      <c r="E22" s="7" t="n"/>
      <c r="F22" s="7" t="n"/>
      <c r="G22" s="2">
        <f>IFERROR(AVERAGE(D22:F22),"")</f>
        <v/>
      </c>
      <c r="H22" s="2">
        <f>IFERROR(G22-C22,"")</f>
        <v/>
      </c>
      <c r="J22" s="2" t="n">
        <v>1</v>
      </c>
      <c r="K22" s="2" t="n">
        <v>2</v>
      </c>
      <c r="L22" s="2" t="n">
        <v>3</v>
      </c>
      <c r="M22" s="2" t="n">
        <v>4</v>
      </c>
      <c r="N22" s="2" t="n">
        <v>5</v>
      </c>
      <c r="O22" s="2" t="n">
        <v>6</v>
      </c>
    </row>
    <row r="23">
      <c r="A23" s="2" t="inlineStr">
        <is>
          <t>Evaluation &amp; Observability</t>
        </is>
      </c>
      <c r="B23" s="2" t="inlineStr">
        <is>
          <t>Eval metrics &amp; judge design</t>
        </is>
      </c>
      <c r="C23" s="2">
        <f>IFERROR(INDEX(J23:O23,MATCH($B$1,$J$3:$O$3,0)),"")</f>
        <v/>
      </c>
      <c r="D23" s="7" t="n"/>
      <c r="E23" s="7" t="n"/>
      <c r="F23" s="7" t="n"/>
      <c r="G23" s="2">
        <f>IFERROR(AVERAGE(D23:F23),"")</f>
        <v/>
      </c>
      <c r="H23" s="2">
        <f>IFERROR(G23-C23,"")</f>
        <v/>
      </c>
      <c r="J23" s="2" t="n">
        <v>1</v>
      </c>
      <c r="K23" s="2" t="n">
        <v>2</v>
      </c>
      <c r="L23" s="2" t="n">
        <v>3</v>
      </c>
      <c r="M23" s="2" t="n">
        <v>4</v>
      </c>
      <c r="N23" s="2" t="n">
        <v>5</v>
      </c>
      <c r="O23" s="2" t="n">
        <v>6</v>
      </c>
    </row>
    <row r="24">
      <c r="A24" s="2" t="inlineStr">
        <is>
          <t>Evaluation &amp; Observability</t>
        </is>
      </c>
      <c r="B24" s="2" t="inlineStr">
        <is>
          <t>Measurement-gated shipping</t>
        </is>
      </c>
      <c r="C24" s="2">
        <f>IFERROR(INDEX(J24:O24,MATCH($B$1,$J$3:$O$3,0)),"")</f>
        <v/>
      </c>
      <c r="D24" s="7" t="n"/>
      <c r="E24" s="7" t="n"/>
      <c r="F24" s="7" t="n"/>
      <c r="G24" s="2">
        <f>IFERROR(AVERAGE(D24:F24),"")</f>
        <v/>
      </c>
      <c r="H24" s="2">
        <f>IFERROR(G24-C24,"")</f>
        <v/>
      </c>
      <c r="J24" s="2" t="n">
        <v>1</v>
      </c>
      <c r="K24" s="2" t="n">
        <v>2</v>
      </c>
      <c r="L24" s="2" t="n">
        <v>3</v>
      </c>
      <c r="M24" s="2" t="n">
        <v>4</v>
      </c>
      <c r="N24" s="2" t="n">
        <v>5</v>
      </c>
      <c r="O24" s="2" t="n">
        <v>6</v>
      </c>
    </row>
    <row r="25">
      <c r="A25" s="2" t="inlineStr">
        <is>
          <t>Evaluation &amp; Observability</t>
        </is>
      </c>
      <c r="B25" s="2" t="inlineStr">
        <is>
          <t>Tracing &amp; instrumentation of AI systems</t>
        </is>
      </c>
      <c r="C25" s="2">
        <f>IFERROR(INDEX(J25:O25,MATCH($B$1,$J$3:$O$3,0)),"")</f>
        <v/>
      </c>
      <c r="D25" s="7" t="n"/>
      <c r="E25" s="7" t="n"/>
      <c r="F25" s="7" t="n"/>
      <c r="G25" s="2">
        <f>IFERROR(AVERAGE(D25:F25),"")</f>
        <v/>
      </c>
      <c r="H25" s="2">
        <f>IFERROR(G25-C25,"")</f>
        <v/>
      </c>
      <c r="J25" s="2" t="n">
        <v>1</v>
      </c>
      <c r="K25" s="2" t="n">
        <v>2</v>
      </c>
      <c r="L25" s="2" t="n">
        <v>3</v>
      </c>
      <c r="M25" s="2" t="n">
        <v>4</v>
      </c>
      <c r="N25" s="2" t="n">
        <v>5</v>
      </c>
      <c r="O25" s="2" t="n">
        <v>6</v>
      </c>
    </row>
    <row r="26">
      <c r="A26" s="2" t="inlineStr">
        <is>
          <t>Evaluation &amp; Observability</t>
        </is>
      </c>
      <c r="B26" s="2" t="inlineStr">
        <is>
          <t>Production monitoring &amp; drift detection</t>
        </is>
      </c>
      <c r="C26" s="2">
        <f>IFERROR(INDEX(J26:O26,MATCH($B$1,$J$3:$O$3,0)),"")</f>
        <v/>
      </c>
      <c r="D26" s="7" t="n"/>
      <c r="E26" s="7" t="n"/>
      <c r="F26" s="7" t="n"/>
      <c r="G26" s="2">
        <f>IFERROR(AVERAGE(D26:F26),"")</f>
        <v/>
      </c>
      <c r="H26" s="2">
        <f>IFERROR(G26-C26,"")</f>
        <v/>
      </c>
      <c r="J26" s="2" t="n">
        <v>1</v>
      </c>
      <c r="K26" s="2" t="n">
        <v>2</v>
      </c>
      <c r="L26" s="2" t="n">
        <v>3</v>
      </c>
      <c r="M26" s="2" t="n">
        <v>4</v>
      </c>
      <c r="N26" s="2" t="n">
        <v>5</v>
      </c>
      <c r="O26" s="2" t="n">
        <v>6</v>
      </c>
    </row>
    <row r="27">
      <c r="A27" s="2" t="inlineStr">
        <is>
          <t>Reliability, Cost &amp; Performance</t>
        </is>
      </c>
      <c r="B27" s="2" t="inlineStr">
        <is>
          <t>Fallbacks &amp; graceful degradation</t>
        </is>
      </c>
      <c r="C27" s="2">
        <f>IFERROR(INDEX(J27:O27,MATCH($B$1,$J$3:$O$3,0)),"")</f>
        <v/>
      </c>
      <c r="D27" s="7" t="n"/>
      <c r="E27" s="7" t="n"/>
      <c r="F27" s="7" t="n"/>
      <c r="G27" s="2">
        <f>IFERROR(AVERAGE(D27:F27),"")</f>
        <v/>
      </c>
      <c r="H27" s="2">
        <f>IFERROR(G27-C27,"")</f>
        <v/>
      </c>
      <c r="J27" s="2" t="n">
        <v>1</v>
      </c>
      <c r="K27" s="2" t="n">
        <v>2</v>
      </c>
      <c r="L27" s="2" t="n">
        <v>3</v>
      </c>
      <c r="M27" s="2" t="n">
        <v>4</v>
      </c>
      <c r="N27" s="2" t="n">
        <v>5</v>
      </c>
      <c r="O27" s="2" t="n">
        <v>6</v>
      </c>
    </row>
    <row r="28">
      <c r="A28" s="2" t="inlineStr">
        <is>
          <t>Reliability, Cost &amp; Performance</t>
        </is>
      </c>
      <c r="B28" s="2" t="inlineStr">
        <is>
          <t>Incident response for AI systems</t>
        </is>
      </c>
      <c r="C28" s="2">
        <f>IFERROR(INDEX(J28:O28,MATCH($B$1,$J$3:$O$3,0)),"")</f>
        <v/>
      </c>
      <c r="D28" s="7" t="n"/>
      <c r="E28" s="7" t="n"/>
      <c r="F28" s="7" t="n"/>
      <c r="G28" s="2">
        <f>IFERROR(AVERAGE(D28:F28),"")</f>
        <v/>
      </c>
      <c r="H28" s="2">
        <f>IFERROR(G28-C28,"")</f>
        <v/>
      </c>
      <c r="J28" s="2" t="n">
        <v>1</v>
      </c>
      <c r="K28" s="2" t="n">
        <v>2</v>
      </c>
      <c r="L28" s="2" t="n">
        <v>3</v>
      </c>
      <c r="M28" s="2" t="n">
        <v>4</v>
      </c>
      <c r="N28" s="2" t="n">
        <v>5</v>
      </c>
      <c r="O28" s="2" t="n">
        <v>6</v>
      </c>
    </row>
    <row r="29">
      <c r="A29" s="2" t="inlineStr">
        <is>
          <t>Reliability, Cost &amp; Performance</t>
        </is>
      </c>
      <c r="B29" s="2" t="inlineStr">
        <is>
          <t>Provider &amp; capacity management</t>
        </is>
      </c>
      <c r="C29" s="2">
        <f>IFERROR(INDEX(J29:O29,MATCH($B$1,$J$3:$O$3,0)),"")</f>
        <v/>
      </c>
      <c r="D29" s="7" t="n"/>
      <c r="E29" s="7" t="n"/>
      <c r="F29" s="7" t="n"/>
      <c r="G29" s="2">
        <f>IFERROR(AVERAGE(D29:F29),"")</f>
        <v/>
      </c>
      <c r="H29" s="2">
        <f>IFERROR(G29-C29,"")</f>
        <v/>
      </c>
      <c r="J29" s="2" t="n">
        <v>1</v>
      </c>
      <c r="K29" s="2" t="n">
        <v>2</v>
      </c>
      <c r="L29" s="2" t="n">
        <v>3</v>
      </c>
      <c r="M29" s="2" t="n">
        <v>4</v>
      </c>
      <c r="N29" s="2" t="n">
        <v>5</v>
      </c>
      <c r="O29" s="2" t="n">
        <v>6</v>
      </c>
    </row>
    <row r="30">
      <c r="A30" s="2" t="inlineStr">
        <is>
          <t>Reliability, Cost &amp; Performance</t>
        </is>
      </c>
      <c r="B30" s="2" t="inlineStr">
        <is>
          <t>Token economics &amp; cost optimization</t>
        </is>
      </c>
      <c r="C30" s="2">
        <f>IFERROR(INDEX(J30:O30,MATCH($B$1,$J$3:$O$3,0)),"")</f>
        <v/>
      </c>
      <c r="D30" s="7" t="n"/>
      <c r="E30" s="7" t="n"/>
      <c r="F30" s="7" t="n"/>
      <c r="G30" s="2">
        <f>IFERROR(AVERAGE(D30:F30),"")</f>
        <v/>
      </c>
      <c r="H30" s="2">
        <f>IFERROR(G30-C30,"")</f>
        <v/>
      </c>
      <c r="J30" s="2" t="n">
        <v>1</v>
      </c>
      <c r="K30" s="2" t="n">
        <v>2</v>
      </c>
      <c r="L30" s="2" t="n">
        <v>3</v>
      </c>
      <c r="M30" s="2" t="n">
        <v>4</v>
      </c>
      <c r="N30" s="2" t="n">
        <v>5</v>
      </c>
      <c r="O30" s="2" t="n">
        <v>6</v>
      </c>
    </row>
    <row r="31">
      <c r="A31" s="2" t="inlineStr">
        <is>
          <t>Reliability, Cost &amp; Performance</t>
        </is>
      </c>
      <c r="B31" s="2" t="inlineStr">
        <is>
          <t>Latency &amp; model right-sizing</t>
        </is>
      </c>
      <c r="C31" s="2">
        <f>IFERROR(INDEX(J31:O31,MATCH($B$1,$J$3:$O$3,0)),"")</f>
        <v/>
      </c>
      <c r="D31" s="7" t="n"/>
      <c r="E31" s="7" t="n"/>
      <c r="F31" s="7" t="n"/>
      <c r="G31" s="2">
        <f>IFERROR(AVERAGE(D31:F31),"")</f>
        <v/>
      </c>
      <c r="H31" s="2">
        <f>IFERROR(G31-C31,"")</f>
        <v/>
      </c>
      <c r="J31" s="2" t="n">
        <v>1</v>
      </c>
      <c r="K31" s="2" t="n">
        <v>2</v>
      </c>
      <c r="L31" s="2" t="n">
        <v>3</v>
      </c>
      <c r="M31" s="2" t="n">
        <v>4</v>
      </c>
      <c r="N31" s="2" t="n">
        <v>5</v>
      </c>
      <c r="O31" s="2" t="n">
        <v>6</v>
      </c>
    </row>
    <row r="32">
      <c r="A32" s="2" t="inlineStr">
        <is>
          <t>Safety, Security &amp; Responsible AI</t>
        </is>
      </c>
      <c r="B32" s="2" t="inlineStr">
        <is>
          <t>Prompt injection &amp; untrusted model I/O</t>
        </is>
      </c>
      <c r="C32" s="2">
        <f>IFERROR(INDEX(J32:O32,MATCH($B$1,$J$3:$O$3,0)),"")</f>
        <v/>
      </c>
      <c r="D32" s="7" t="n"/>
      <c r="E32" s="7" t="n"/>
      <c r="F32" s="7" t="n"/>
      <c r="G32" s="2">
        <f>IFERROR(AVERAGE(D32:F32),"")</f>
        <v/>
      </c>
      <c r="H32" s="2">
        <f>IFERROR(G32-C32,"")</f>
        <v/>
      </c>
      <c r="J32" s="2" t="n">
        <v>1</v>
      </c>
      <c r="K32" s="2" t="n">
        <v>2</v>
      </c>
      <c r="L32" s="2" t="n">
        <v>3</v>
      </c>
      <c r="M32" s="2" t="n">
        <v>4</v>
      </c>
      <c r="N32" s="2" t="n">
        <v>5</v>
      </c>
      <c r="O32" s="2" t="n">
        <v>6</v>
      </c>
    </row>
    <row r="33">
      <c r="A33" s="2" t="inlineStr">
        <is>
          <t>Safety, Security &amp; Responsible AI</t>
        </is>
      </c>
      <c r="B33" s="2" t="inlineStr">
        <is>
          <t>Data privacy &amp; PII handling</t>
        </is>
      </c>
      <c r="C33" s="2">
        <f>IFERROR(INDEX(J33:O33,MATCH($B$1,$J$3:$O$3,0)),"")</f>
        <v/>
      </c>
      <c r="D33" s="7" t="n"/>
      <c r="E33" s="7" t="n"/>
      <c r="F33" s="7" t="n"/>
      <c r="G33" s="2">
        <f>IFERROR(AVERAGE(D33:F33),"")</f>
        <v/>
      </c>
      <c r="H33" s="2">
        <f>IFERROR(G33-C33,"")</f>
        <v/>
      </c>
      <c r="J33" s="2" t="n">
        <v>1</v>
      </c>
      <c r="K33" s="2" t="n">
        <v>2</v>
      </c>
      <c r="L33" s="2" t="n">
        <v>3</v>
      </c>
      <c r="M33" s="2" t="n">
        <v>4</v>
      </c>
      <c r="N33" s="2" t="n">
        <v>5</v>
      </c>
      <c r="O33" s="2" t="n">
        <v>6</v>
      </c>
    </row>
    <row r="34">
      <c r="A34" s="2" t="inlineStr">
        <is>
          <t>Safety, Security &amp; Responsible AI</t>
        </is>
      </c>
      <c r="B34" s="2" t="inlineStr">
        <is>
          <t>Guardrails &amp; output safety</t>
        </is>
      </c>
      <c r="C34" s="2">
        <f>IFERROR(INDEX(J34:O34,MATCH($B$1,$J$3:$O$3,0)),"")</f>
        <v/>
      </c>
      <c r="D34" s="7" t="n"/>
      <c r="E34" s="7" t="n"/>
      <c r="F34" s="7" t="n"/>
      <c r="G34" s="2">
        <f>IFERROR(AVERAGE(D34:F34),"")</f>
        <v/>
      </c>
      <c r="H34" s="2">
        <f>IFERROR(G34-C34,"")</f>
        <v/>
      </c>
      <c r="J34" s="2" t="n">
        <v>1</v>
      </c>
      <c r="K34" s="2" t="n">
        <v>2</v>
      </c>
      <c r="L34" s="2" t="n">
        <v>3</v>
      </c>
      <c r="M34" s="2" t="n">
        <v>4</v>
      </c>
      <c r="N34" s="2" t="n">
        <v>5</v>
      </c>
      <c r="O34" s="2" t="n">
        <v>6</v>
      </c>
    </row>
    <row r="35">
      <c r="A35" s="2" t="inlineStr">
        <is>
          <t>Safety, Security &amp; Responsible AI</t>
        </is>
      </c>
      <c r="B35" s="2" t="inlineStr">
        <is>
          <t>Harm mitigation &amp; safety behavior</t>
        </is>
      </c>
      <c r="C35" s="2">
        <f>IFERROR(INDEX(J35:O35,MATCH($B$1,$J$3:$O$3,0)),"")</f>
        <v/>
      </c>
      <c r="D35" s="7" t="n"/>
      <c r="E35" s="7" t="n"/>
      <c r="F35" s="7" t="n"/>
      <c r="G35" s="2">
        <f>IFERROR(AVERAGE(D35:F35),"")</f>
        <v/>
      </c>
      <c r="H35" s="2">
        <f>IFERROR(G35-C35,"")</f>
        <v/>
      </c>
      <c r="J35" s="2" t="n">
        <v>1</v>
      </c>
      <c r="K35" s="2" t="n">
        <v>2</v>
      </c>
      <c r="L35" s="2" t="n">
        <v>3</v>
      </c>
      <c r="M35" s="2" t="n">
        <v>4</v>
      </c>
      <c r="N35" s="2" t="n">
        <v>5</v>
      </c>
      <c r="O35" s="2" t="n">
        <v>6</v>
      </c>
    </row>
    <row r="36">
      <c r="A36" s="2" t="inlineStr">
        <is>
          <t>Safety, Security &amp; Responsible AI</t>
        </is>
      </c>
      <c r="B36" s="2" t="inlineStr">
        <is>
          <t>AI risk assessment &amp; governance</t>
        </is>
      </c>
      <c r="C36" s="2">
        <f>IFERROR(INDEX(J36:O36,MATCH($B$1,$J$3:$O$3,0)),"")</f>
        <v/>
      </c>
      <c r="D36" s="7" t="n"/>
      <c r="E36" s="7" t="n"/>
      <c r="F36" s="7" t="n"/>
      <c r="G36" s="2">
        <f>IFERROR(AVERAGE(D36:F36),"")</f>
        <v/>
      </c>
      <c r="H36" s="2">
        <f>IFERROR(G36-C36,"")</f>
        <v/>
      </c>
      <c r="J36" s="2" t="n">
        <v>1</v>
      </c>
      <c r="K36" s="2" t="n">
        <v>2</v>
      </c>
      <c r="L36" s="2" t="n">
        <v>3</v>
      </c>
      <c r="M36" s="2" t="n">
        <v>4</v>
      </c>
      <c r="N36" s="2" t="n">
        <v>5</v>
      </c>
      <c r="O36" s="2" t="n">
        <v>6</v>
      </c>
    </row>
    <row r="37">
      <c r="A37" s="2" t="inlineStr">
        <is>
          <t>Delivery, Impact &amp; Leadership</t>
        </is>
      </c>
      <c r="B37" s="2" t="inlineStr">
        <is>
          <t>Problem framing &amp; solution fit</t>
        </is>
      </c>
      <c r="C37" s="2">
        <f>IFERROR(INDEX(J37:O37,MATCH($B$1,$J$3:$O$3,0)),"")</f>
        <v/>
      </c>
      <c r="D37" s="7" t="n"/>
      <c r="E37" s="7" t="n"/>
      <c r="F37" s="7" t="n"/>
      <c r="G37" s="2">
        <f>IFERROR(AVERAGE(D37:F37),"")</f>
        <v/>
      </c>
      <c r="H37" s="2">
        <f>IFERROR(G37-C37,"")</f>
        <v/>
      </c>
      <c r="J37" s="2" t="n">
        <v>1</v>
      </c>
      <c r="K37" s="2" t="n">
        <v>2</v>
      </c>
      <c r="L37" s="2" t="n">
        <v>3</v>
      </c>
      <c r="M37" s="2" t="n">
        <v>4</v>
      </c>
      <c r="N37" s="2" t="n">
        <v>5</v>
      </c>
      <c r="O37" s="2" t="n">
        <v>6</v>
      </c>
    </row>
    <row r="38">
      <c r="A38" s="2" t="inlineStr">
        <is>
          <t>Delivery, Impact &amp; Leadership</t>
        </is>
      </c>
      <c r="B38" s="2" t="inlineStr">
        <is>
          <t>Outcome measurement &amp; business value</t>
        </is>
      </c>
      <c r="C38" s="2">
        <f>IFERROR(INDEX(J38:O38,MATCH($B$1,$J$3:$O$3,0)),"")</f>
        <v/>
      </c>
      <c r="D38" s="7" t="n"/>
      <c r="E38" s="7" t="n"/>
      <c r="F38" s="7" t="n"/>
      <c r="G38" s="2">
        <f>IFERROR(AVERAGE(D38:F38),"")</f>
        <v/>
      </c>
      <c r="H38" s="2">
        <f>IFERROR(G38-C38,"")</f>
        <v/>
      </c>
      <c r="J38" s="2" t="n">
        <v>1</v>
      </c>
      <c r="K38" s="2" t="n">
        <v>2</v>
      </c>
      <c r="L38" s="2" t="n">
        <v>3</v>
      </c>
      <c r="M38" s="2" t="n">
        <v>4</v>
      </c>
      <c r="N38" s="2" t="n">
        <v>5</v>
      </c>
      <c r="O38" s="2" t="n">
        <v>6</v>
      </c>
    </row>
    <row r="39">
      <c r="A39" s="2" t="inlineStr">
        <is>
          <t>Delivery, Impact &amp; Leadership</t>
        </is>
      </c>
      <c r="B39" s="2" t="inlineStr">
        <is>
          <t>Planning under model uncertainty</t>
        </is>
      </c>
      <c r="C39" s="2">
        <f>IFERROR(INDEX(J39:O39,MATCH($B$1,$J$3:$O$3,0)),"")</f>
        <v/>
      </c>
      <c r="D39" s="7" t="n"/>
      <c r="E39" s="7" t="n"/>
      <c r="F39" s="7" t="n"/>
      <c r="G39" s="2">
        <f>IFERROR(AVERAGE(D39:F39),"")</f>
        <v/>
      </c>
      <c r="H39" s="2">
        <f>IFERROR(G39-C39,"")</f>
        <v/>
      </c>
      <c r="J39" s="2" t="n">
        <v>1</v>
      </c>
      <c r="K39" s="2" t="n">
        <v>2</v>
      </c>
      <c r="L39" s="2" t="n">
        <v>3</v>
      </c>
      <c r="M39" s="2" t="n">
        <v>4</v>
      </c>
      <c r="N39" s="2" t="n">
        <v>5</v>
      </c>
      <c r="O39" s="2" t="n">
        <v>6</v>
      </c>
    </row>
    <row r="40">
      <c r="A40" s="2" t="inlineStr">
        <is>
          <t>Delivery, Impact &amp; Leadership</t>
        </is>
      </c>
      <c r="B40" s="2" t="inlineStr">
        <is>
          <t>Incremental delivery &amp; de-risking</t>
        </is>
      </c>
      <c r="C40" s="2">
        <f>IFERROR(INDEX(J40:O40,MATCH($B$1,$J$3:$O$3,0)),"")</f>
        <v/>
      </c>
      <c r="D40" s="7" t="n"/>
      <c r="E40" s="7" t="n"/>
      <c r="F40" s="7" t="n"/>
      <c r="G40" s="2">
        <f>IFERROR(AVERAGE(D40:F40),"")</f>
        <v/>
      </c>
      <c r="H40" s="2">
        <f>IFERROR(G40-C40,"")</f>
        <v/>
      </c>
      <c r="J40" s="2" t="n">
        <v>1</v>
      </c>
      <c r="K40" s="2" t="n">
        <v>2</v>
      </c>
      <c r="L40" s="2" t="n">
        <v>3</v>
      </c>
      <c r="M40" s="2" t="n">
        <v>4</v>
      </c>
      <c r="N40" s="2" t="n">
        <v>5</v>
      </c>
      <c r="O40" s="2" t="n">
        <v>6</v>
      </c>
    </row>
    <row r="41">
      <c r="A41" s="2" t="inlineStr">
        <is>
          <t>Delivery, Impact &amp; Leadership</t>
        </is>
      </c>
      <c r="B41" s="2" t="inlineStr">
        <is>
          <t>Ownership &amp; delivery accountability</t>
        </is>
      </c>
      <c r="C41" s="2">
        <f>IFERROR(INDEX(J41:O41,MATCH($B$1,$J$3:$O$3,0)),"")</f>
        <v/>
      </c>
      <c r="D41" s="7" t="n"/>
      <c r="E41" s="7" t="n"/>
      <c r="F41" s="7" t="n"/>
      <c r="G41" s="2">
        <f>IFERROR(AVERAGE(D41:F41),"")</f>
        <v/>
      </c>
      <c r="H41" s="2">
        <f>IFERROR(G41-C41,"")</f>
        <v/>
      </c>
      <c r="J41" s="2" t="n">
        <v>1</v>
      </c>
      <c r="K41" s="2" t="n">
        <v>2</v>
      </c>
      <c r="L41" s="2" t="n">
        <v>3</v>
      </c>
      <c r="M41" s="2" t="n">
        <v>4</v>
      </c>
      <c r="N41" s="2" t="n">
        <v>5</v>
      </c>
      <c r="O41" s="2" t="n">
        <v>6</v>
      </c>
    </row>
    <row r="42">
      <c r="A42" s="2" t="inlineStr">
        <is>
          <t>Delivery, Impact &amp; Leadership</t>
        </is>
      </c>
      <c r="B42" s="2" t="inlineStr">
        <is>
          <t>Technical communication &amp; writing</t>
        </is>
      </c>
      <c r="C42" s="2">
        <f>IFERROR(INDEX(J42:O42,MATCH($B$1,$J$3:$O$3,0)),"")</f>
        <v/>
      </c>
      <c r="D42" s="7" t="n"/>
      <c r="E42" s="7" t="n"/>
      <c r="F42" s="7" t="n"/>
      <c r="G42" s="2">
        <f>IFERROR(AVERAGE(D42:F42),"")</f>
        <v/>
      </c>
      <c r="H42" s="2">
        <f>IFERROR(G42-C42,"")</f>
        <v/>
      </c>
      <c r="J42" s="2" t="n">
        <v>1</v>
      </c>
      <c r="K42" s="2" t="n">
        <v>2</v>
      </c>
      <c r="L42" s="2" t="n">
        <v>3</v>
      </c>
      <c r="M42" s="2" t="n">
        <v>4</v>
      </c>
      <c r="N42" s="2" t="n">
        <v>5</v>
      </c>
      <c r="O42" s="2" t="n">
        <v>6</v>
      </c>
    </row>
    <row r="43">
      <c r="A43" s="2" t="inlineStr">
        <is>
          <t>Delivery, Impact &amp; Leadership</t>
        </is>
      </c>
      <c r="B43" s="2" t="inlineStr">
        <is>
          <t>Cross-functional collaboration</t>
        </is>
      </c>
      <c r="C43" s="2">
        <f>IFERROR(INDEX(J43:O43,MATCH($B$1,$J$3:$O$3,0)),"")</f>
        <v/>
      </c>
      <c r="D43" s="7" t="n"/>
      <c r="E43" s="7" t="n"/>
      <c r="F43" s="7" t="n"/>
      <c r="G43" s="2">
        <f>IFERROR(AVERAGE(D43:F43),"")</f>
        <v/>
      </c>
      <c r="H43" s="2">
        <f>IFERROR(G43-C43,"")</f>
        <v/>
      </c>
      <c r="J43" s="2" t="n">
        <v>1</v>
      </c>
      <c r="K43" s="2" t="n">
        <v>2</v>
      </c>
      <c r="L43" s="2" t="n">
        <v>3</v>
      </c>
      <c r="M43" s="2" t="n">
        <v>4</v>
      </c>
      <c r="N43" s="2" t="n">
        <v>5</v>
      </c>
      <c r="O43" s="2" t="n">
        <v>6</v>
      </c>
    </row>
    <row r="44">
      <c r="A44" s="2" t="inlineStr">
        <is>
          <t>Delivery, Impact &amp; Leadership</t>
        </is>
      </c>
      <c r="B44" s="2" t="inlineStr">
        <is>
          <t>Documentation &amp; knowledge sharing</t>
        </is>
      </c>
      <c r="C44" s="2">
        <f>IFERROR(INDEX(J44:O44,MATCH($B$1,$J$3:$O$3,0)),"")</f>
        <v/>
      </c>
      <c r="D44" s="7" t="n"/>
      <c r="E44" s="7" t="n"/>
      <c r="F44" s="7" t="n"/>
      <c r="G44" s="2">
        <f>IFERROR(AVERAGE(D44:F44),"")</f>
        <v/>
      </c>
      <c r="H44" s="2">
        <f>IFERROR(G44-C44,"")</f>
        <v/>
      </c>
      <c r="J44" s="2" t="n">
        <v>1</v>
      </c>
      <c r="K44" s="2" t="n">
        <v>2</v>
      </c>
      <c r="L44" s="2" t="n">
        <v>3</v>
      </c>
      <c r="M44" s="2" t="n">
        <v>4</v>
      </c>
      <c r="N44" s="2" t="n">
        <v>5</v>
      </c>
      <c r="O44" s="2" t="n">
        <v>6</v>
      </c>
    </row>
    <row r="45">
      <c r="A45" s="2" t="inlineStr">
        <is>
          <t>Delivery, Impact &amp; Leadership</t>
        </is>
      </c>
      <c r="B45" s="2" t="inlineStr">
        <is>
          <t>Mentoring &amp; knowledge sharing</t>
        </is>
      </c>
      <c r="C45" s="2">
        <f>IFERROR(INDEX(J45:O45,MATCH($B$1,$J$3:$O$3,0)),"")</f>
        <v/>
      </c>
      <c r="D45" s="7" t="n"/>
      <c r="E45" s="7" t="n"/>
      <c r="F45" s="7" t="n"/>
      <c r="G45" s="2">
        <f>IFERROR(AVERAGE(D45:F45),"")</f>
        <v/>
      </c>
      <c r="H45" s="2">
        <f>IFERROR(G45-C45,"")</f>
        <v/>
      </c>
      <c r="J45" s="2" t="n">
        <v>1</v>
      </c>
      <c r="K45" s="2" t="n">
        <v>2</v>
      </c>
      <c r="L45" s="2" t="n">
        <v>3</v>
      </c>
      <c r="M45" s="2" t="n">
        <v>4</v>
      </c>
      <c r="N45" s="2" t="n">
        <v>5</v>
      </c>
      <c r="O45" s="2" t="n">
        <v>6</v>
      </c>
    </row>
    <row r="46">
      <c r="A46" s="2" t="inlineStr">
        <is>
          <t>Delivery, Impact &amp; Leadership</t>
        </is>
      </c>
      <c r="B46" s="2" t="inlineStr">
        <is>
          <t>Technical leadership &amp; direction setting</t>
        </is>
      </c>
      <c r="C46" s="2">
        <f>IFERROR(INDEX(J46:O46,MATCH($B$1,$J$3:$O$3,0)),"")</f>
        <v/>
      </c>
      <c r="D46" s="7" t="n"/>
      <c r="E46" s="7" t="n"/>
      <c r="F46" s="7" t="n"/>
      <c r="G46" s="2">
        <f>IFERROR(AVERAGE(D46:F46),"")</f>
        <v/>
      </c>
      <c r="H46" s="2">
        <f>IFERROR(G46-C46,"")</f>
        <v/>
      </c>
      <c r="J46" s="2" t="n">
        <v>1</v>
      </c>
      <c r="K46" s="2" t="n">
        <v>2</v>
      </c>
      <c r="L46" s="2" t="n">
        <v>3</v>
      </c>
      <c r="M46" s="2" t="n">
        <v>4</v>
      </c>
      <c r="N46" s="2" t="n">
        <v>5</v>
      </c>
      <c r="O46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2026-07-03T05:13:11Z</dcterms:created>
  <dcterms:modified xsi:type="dcterms:W3CDTF">2026-07-03T05:13:11Z</dcterms:modified>
</cp:coreProperties>
</file>