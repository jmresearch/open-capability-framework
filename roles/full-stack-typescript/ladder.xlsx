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e-01" TargetMode="External" Id="rId1" /><Relationship Type="http://schemas.openxmlformats.org/officeDocument/2006/relationships/hyperlink" Target="https://github.com/jmresearch/open-capability-framework/blob/main/data/capabilities.md#fe-09" TargetMode="External" Id="rId2" /><Relationship Type="http://schemas.openxmlformats.org/officeDocument/2006/relationships/hyperlink" Target="https://github.com/jmresearch/open-capability-framework/blob/main/data/capabilities.md#fe-05" TargetMode="External" Id="rId3" /><Relationship Type="http://schemas.openxmlformats.org/officeDocument/2006/relationships/hyperlink" Target="https://github.com/jmresearch/open-capability-framework/blob/main/data/capabilities.md#fe-06" TargetMode="External" Id="rId4" /><Relationship Type="http://schemas.openxmlformats.org/officeDocument/2006/relationships/hyperlink" Target="https://github.com/jmresearch/open-capability-framework/blob/main/data/capabilities.md#fe-12" TargetMode="External" Id="rId5" /><Relationship Type="http://schemas.openxmlformats.org/officeDocument/2006/relationships/hyperlink" Target="https://github.com/jmresearch/open-capability-framework/blob/main/data/capabilities.md#fe-13" TargetMode="External" Id="rId6" /><Relationship Type="http://schemas.openxmlformats.org/officeDocument/2006/relationships/hyperlink" Target="https://github.com/jmresearch/open-capability-framework/blob/main/data/capabilities.md#arc-02" TargetMode="External" Id="rId7" /><Relationship Type="http://schemas.openxmlformats.org/officeDocument/2006/relationships/hyperlink" Target="https://github.com/jmresearch/open-capability-framework/blob/main/data/capabilities.md#cs-04" TargetMode="External" Id="rId8" /><Relationship Type="http://schemas.openxmlformats.org/officeDocument/2006/relationships/hyperlink" Target="https://github.com/jmresearch/open-capability-framework/blob/main/data/capabilities.md#swe-07" TargetMode="External" Id="rId9" /><Relationship Type="http://schemas.openxmlformats.org/officeDocument/2006/relationships/hyperlink" Target="https://github.com/jmresearch/open-capability-framework/blob/main/data/capabilities.md#be-13" TargetMode="External" Id="rId10" /><Relationship Type="http://schemas.openxmlformats.org/officeDocument/2006/relationships/hyperlink" Target="https://github.com/jmresearch/open-capability-framework/blob/main/data/capabilities.md#be-01" TargetMode="External" Id="rId11" /><Relationship Type="http://schemas.openxmlformats.org/officeDocument/2006/relationships/hyperlink" Target="https://github.com/jmresearch/open-capability-framework/blob/main/data/capabilities.md#be-04" TargetMode="External" Id="rId12" /><Relationship Type="http://schemas.openxmlformats.org/officeDocument/2006/relationships/hyperlink" Target="https://github.com/jmresearch/open-capability-framework/blob/main/data/capabilities.md#be-09" TargetMode="External" Id="rId13" /><Relationship Type="http://schemas.openxmlformats.org/officeDocument/2006/relationships/hyperlink" Target="https://github.com/jmresearch/open-capability-framework/blob/main/data/capabilities.md#be-18" TargetMode="External" Id="rId14" /><Relationship Type="http://schemas.openxmlformats.org/officeDocument/2006/relationships/hyperlink" Target="https://github.com/jmresearch/open-capability-framework/blob/main/data/capabilities.md#swe-08" TargetMode="External" Id="rId15" /><Relationship Type="http://schemas.openxmlformats.org/officeDocument/2006/relationships/hyperlink" Target="https://github.com/jmresearch/open-capability-framework/blob/main/data/capabilities.md#swe-09" TargetMode="External" Id="rId16" /><Relationship Type="http://schemas.openxmlformats.org/officeDocument/2006/relationships/hyperlink" Target="https://github.com/jmresearch/open-capability-framework/blob/main/data/capabilities.md#swe-01" TargetMode="External" Id="rId17" /><Relationship Type="http://schemas.openxmlformats.org/officeDocument/2006/relationships/hyperlink" Target="https://github.com/jmresearch/open-capability-framework/blob/main/data/capabilities.md#swe-05" TargetMode="External" Id="rId18" /><Relationship Type="http://schemas.openxmlformats.org/officeDocument/2006/relationships/hyperlink" Target="https://github.com/jmresearch/open-capability-framework/blob/main/data/capabilities.md#swe-02" TargetMode="External" Id="rId19" /><Relationship Type="http://schemas.openxmlformats.org/officeDocument/2006/relationships/hyperlink" Target="https://github.com/jmresearch/open-capability-framework/blob/main/data/capabilities.md#em-15" TargetMode="External" Id="rId20" /><Relationship Type="http://schemas.openxmlformats.org/officeDocument/2006/relationships/hyperlink" Target="https://github.com/jmresearch/open-capability-framework/blob/main/data/capabilities.md#swe-04" TargetMode="External" Id="rId21" /><Relationship Type="http://schemas.openxmlformats.org/officeDocument/2006/relationships/hyperlink" Target="https://github.com/jmresearch/open-capability-framework/blob/main/data/capabilities.md#qa-01" TargetMode="External" Id="rId22" /><Relationship Type="http://schemas.openxmlformats.org/officeDocument/2006/relationships/hyperlink" Target="https://github.com/jmresearch/open-capability-framework/blob/main/data/capabilities.md#swe-03" TargetMode="External" Id="rId23" /><Relationship Type="http://schemas.openxmlformats.org/officeDocument/2006/relationships/hyperlink" Target="https://github.com/jmresearch/open-capability-framework/blob/main/data/capabilities.md#qa-06" TargetMode="External" Id="rId24" /><Relationship Type="http://schemas.openxmlformats.org/officeDocument/2006/relationships/hyperlink" Target="https://github.com/jmresearch/open-capability-framework/blob/main/data/capabilities.md#swe-06" TargetMode="External" Id="rId25" /><Relationship Type="http://schemas.openxmlformats.org/officeDocument/2006/relationships/hyperlink" Target="https://github.com/jmresearch/open-capability-framework/blob/main/data/capabilities.md#qa-14" TargetMode="External" Id="rId26" /><Relationship Type="http://schemas.openxmlformats.org/officeDocument/2006/relationships/hyperlink" Target="https://github.com/jmresearch/open-capability-framework/blob/main/data/capabilities.md#ops-02" TargetMode="External" Id="rId27" /><Relationship Type="http://schemas.openxmlformats.org/officeDocument/2006/relationships/hyperlink" Target="https://github.com/jmresearch/open-capability-framework/blob/main/data/capabilities.md#ops-30" TargetMode="External" Id="rId28" /><Relationship Type="http://schemas.openxmlformats.org/officeDocument/2006/relationships/hyperlink" Target="https://github.com/jmresearch/open-capability-framework/blob/main/data/capabilities.md#ops-27" TargetMode="External" Id="rId29" /><Relationship Type="http://schemas.openxmlformats.org/officeDocument/2006/relationships/hyperlink" Target="https://github.com/jmresearch/open-capability-framework/blob/main/data/capabilities.md#ops-05" TargetMode="External" Id="rId30" /><Relationship Type="http://schemas.openxmlformats.org/officeDocument/2006/relationships/hyperlink" Target="https://github.com/jmresearch/open-capability-framework/blob/main/data/capabilities.md#ops-06" TargetMode="External" Id="rId31" /><Relationship Type="http://schemas.openxmlformats.org/officeDocument/2006/relationships/hyperlink" Target="https://github.com/jmresearch/open-capability-framework/blob/main/data/capabilities.md#ops-08" TargetMode="External" Id="rId32" /><Relationship Type="http://schemas.openxmlformats.org/officeDocument/2006/relationships/hyperlink" Target="https://github.com/jmresearch/open-capability-framework/blob/main/data/capabilities.md#be-15" TargetMode="External" Id="rId33" /><Relationship Type="http://schemas.openxmlformats.org/officeDocument/2006/relationships/hyperlink" Target="https://github.com/jmresearch/open-capability-framework/blob/main/data/capabilities.md#sec-05" TargetMode="External" Id="rId34" /><Relationship Type="http://schemas.openxmlformats.org/officeDocument/2006/relationships/hyperlink" Target="https://github.com/jmresearch/open-capability-framework/blob/main/data/capabilities.md#sec-09" TargetMode="External" Id="rId35" /><Relationship Type="http://schemas.openxmlformats.org/officeDocument/2006/relationships/hyperlink" Target="https://github.com/jmresearch/open-capability-framework/blob/main/data/capabilities.md#ops-09" TargetMode="External" Id="rId36" /><Relationship Type="http://schemas.openxmlformats.org/officeDocument/2006/relationships/hyperlink" Target="https://github.com/jmresearch/open-capability-framework/blob/main/data/capabilities.md#cc-02" TargetMode="External" Id="rId37" /><Relationship Type="http://schemas.openxmlformats.org/officeDocument/2006/relationships/hyperlink" Target="https://github.com/jmresearch/open-capability-framework/blob/main/data/capabilities.md#cc-01" TargetMode="External" Id="rId38" /><Relationship Type="http://schemas.openxmlformats.org/officeDocument/2006/relationships/hyperlink" Target="https://github.com/jmresearch/open-capability-framework/blob/main/data/capabilities.md#cc-05" TargetMode="External" Id="rId39" /><Relationship Type="http://schemas.openxmlformats.org/officeDocument/2006/relationships/hyperlink" Target="https://github.com/jmresearch/open-capability-framework/blob/main/data/capabilities.md#cc-04" TargetMode="External" Id="rId40" /><Relationship Type="http://schemas.openxmlformats.org/officeDocument/2006/relationships/hyperlink" Target="https://github.com/jmresearch/open-capability-framework/blob/main/data/capabilities.md#cc-03" TargetMode="External" Id="rId41" /><Relationship Type="http://schemas.openxmlformats.org/officeDocument/2006/relationships/hyperlink" Target="https://github.com/jmresearch/open-capability-framework/blob/main/data/capabilities.md#li-01" TargetMode="External" Id="rId42" /><Relationship Type="http://schemas.openxmlformats.org/officeDocument/2006/relationships/hyperlink" Target="https://github.com/jmresearch/open-capability-framework/blob/main/data/capabilities.md#li-03" TargetMode="External" Id="rId43" /><Relationship Type="http://schemas.openxmlformats.org/officeDocument/2006/relationships/hyperlink" Target="https://github.com/jmresearch/open-capability-framework/blob/main/data/capabilities.md#pd-06" TargetMode="External" Id="rId44" /><Relationship Type="http://schemas.openxmlformats.org/officeDocument/2006/relationships/hyperlink" Target="https://github.com/jmresearch/open-capability-framework/blob/main/data/capabilities.md#pd-02" TargetMode="External" Id="rId45" /><Relationship Type="http://schemas.openxmlformats.org/officeDocument/2006/relationships/hyperlink" Target="https://github.com/jmresearch/open-capability-framework/blob/main/data/capabilities.md#pd-07" TargetMode="External" Id="rId46" /><Relationship Type="http://schemas.openxmlformats.org/officeDocument/2006/relationships/hyperlink" Target="https://github.com/jmresearch/open-capability-framework/blob/main/data/capabilities.md#pd-05" TargetMode="External" Id="rId4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Full Stack TypeScript Engineer</t>
        </is>
      </c>
    </row>
    <row r="2">
      <c r="A2" s="1" t="inlineStr">
        <is>
          <t>Slug</t>
        </is>
      </c>
      <c r="B2" s="2" t="inlineStr">
        <is>
          <t>full-stack-typescript</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Full Stack Engineer</t>
        </is>
      </c>
      <c r="C7" s="4" t="inlineStr">
        <is>
          <t>task</t>
        </is>
      </c>
      <c r="D7" s="4" t="inlineStr">
        <is>
          <t>ships well-defined tasks across the stack with guidance and learns the stack</t>
        </is>
      </c>
    </row>
    <row r="8">
      <c r="A8" s="3" t="inlineStr">
        <is>
          <t>E2</t>
        </is>
      </c>
      <c r="B8" s="3" t="inlineStr">
        <is>
          <t>Full Stack Engineer</t>
        </is>
      </c>
      <c r="C8" s="4" t="inlineStr">
        <is>
          <t>component</t>
        </is>
      </c>
      <c r="D8" s="4" t="inlineStr">
        <is>
          <t>independently delivers complete features spanning UI, API, and data layers</t>
        </is>
      </c>
    </row>
    <row r="9">
      <c r="A9" s="3" t="inlineStr">
        <is>
          <t>E3</t>
        </is>
      </c>
      <c r="B9" s="3" t="inlineStr">
        <is>
          <t>Senior Full Stack Engineer</t>
        </is>
      </c>
      <c r="C9" s="4" t="inlineStr">
        <is>
          <t>capability / domain (terminal level)</t>
        </is>
      </c>
      <c r="D9" s="4" t="inlineStr">
        <is>
          <t>owns a product capability across the stack and sets the local bar</t>
        </is>
      </c>
    </row>
    <row r="10">
      <c r="A10" s="3" t="inlineStr">
        <is>
          <t>E4</t>
        </is>
      </c>
      <c r="B10" s="3" t="inlineStr">
        <is>
          <t>Staff Full Stack Engineer</t>
        </is>
      </c>
      <c r="C10" s="4" t="inlineStr">
        <is>
          <t>multiple teams</t>
        </is>
      </c>
      <c r="D10" s="4" t="inlineStr">
        <is>
          <t>drives technical outcomes across multiple teams and multiplies other engineers</t>
        </is>
      </c>
    </row>
    <row r="11">
      <c r="A11" s="3" t="inlineStr">
        <is>
          <t>E5</t>
        </is>
      </c>
      <c r="B11" s="3" t="inlineStr">
        <is>
          <t>Senior Staff Full Stack Engineer</t>
        </is>
      </c>
      <c r="C11" s="4" t="inlineStr">
        <is>
          <t>organization</t>
        </is>
      </c>
      <c r="D11" s="4" t="inlineStr">
        <is>
          <t>sets technical direction and standards for the organization</t>
        </is>
      </c>
    </row>
    <row r="12">
      <c r="A12" s="3" t="inlineStr">
        <is>
          <t>E6</t>
        </is>
      </c>
      <c r="B12" s="3" t="inlineStr">
        <is>
          <t>Principal Full Stack Engineer</t>
        </is>
      </c>
      <c r="C12" s="4" t="inlineStr">
        <is>
          <t>company</t>
        </is>
      </c>
      <c r="D12" s="4" t="inlineStr">
        <is>
          <t>shapes company-level technical strategy and represents engineering externally</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E1</t>
        </is>
      </c>
      <c r="G1" s="1" t="inlineStr">
        <is>
          <t>E2</t>
        </is>
      </c>
      <c r="H1" s="1" t="inlineStr">
        <is>
          <t>E3</t>
        </is>
      </c>
      <c r="I1" s="1" t="inlineStr">
        <is>
          <t>E4</t>
        </is>
      </c>
      <c r="J1" s="1" t="inlineStr">
        <is>
          <t>E5</t>
        </is>
      </c>
      <c r="K1" s="1" t="inlineStr">
        <is>
          <t>E6</t>
        </is>
      </c>
    </row>
    <row r="2">
      <c r="A2" s="4" t="inlineStr">
        <is>
          <t>Frontend Engineering</t>
        </is>
      </c>
      <c r="B2" s="4" t="inlineStr">
        <is>
          <t>UI Implementation</t>
        </is>
      </c>
      <c r="C2" s="4" t="inlineStr">
        <is>
          <t>Component design &amp; composition</t>
        </is>
      </c>
      <c r="D2" s="6" t="inlineStr">
        <is>
          <t>FE-01</t>
        </is>
      </c>
      <c r="E2" s="4" t="inlineStr">
        <is>
          <t>React documentation, Thinking in React (react.dev)</t>
        </is>
      </c>
      <c r="F2" s="4" t="inlineStr">
        <is>
          <t>Depth: Builds components from an existing design system to spec, following the patterns in neighboring code and asking when a mockup is ambiguous. Scope: implements single components inside a feature someone else has decomposed.</t>
        </is>
      </c>
      <c r="G2" s="4" t="inlineStr">
        <is>
          <t>Depth: Decomposes a feature into a sensible component hierarchy without being handed the breakdown, choosing props vs. composition deliberately and reusing shared components rather than forking them. Scope: owns the UI of a component or feature area end to end.</t>
        </is>
      </c>
      <c r="H2" s="4" t="inlineStr">
        <is>
          <t>Depth: Designs the component APIs a capability's UI is built from, catching prop-drilling, leaky abstractions, and reuse-hostile boundaries in review before they ship, and extends the design system with primitives that get reused. Scope: owns UI architecture for a product capability; other engineers build within the structure they set.</t>
        </is>
      </c>
      <c r="I2" s="4" t="inlineStr">
        <is>
          <t>Depth: Establishes the shared component and design-system patterns several teams build against, deprecating divergent one-offs with migration paths. Scope: UI conventions across multiple teams trace to structures they authored.</t>
        </is>
      </c>
      <c r="J2" s="4" t="inlineStr">
        <is>
          <t>Depth: Sets the organization's frontend architecture direction — design-system governance, framework and rendering-model choices — and removes the systemic obstacles blocking it. Scope: org-wide UI platform.</t>
        </is>
      </c>
      <c r="K2" s="4" t="inlineStr">
        <is>
          <t>Depth: Makes the company-level frontend bets (platform, framework generation, build-vs-buy for the design system) and is the named authority when they're contested. Scope: every product surface in the company.</t>
        </is>
      </c>
    </row>
    <row r="3">
      <c r="A3" s="4" t="inlineStr">
        <is>
          <t>Frontend Engineering</t>
        </is>
      </c>
      <c r="B3" s="4" t="inlineStr">
        <is>
          <t>UI Implementation</t>
        </is>
      </c>
      <c r="C3" s="4" t="inlineStr">
        <is>
          <t>Styling &amp; responsive layout</t>
        </is>
      </c>
      <c r="D3" s="6" t="inlineStr">
        <is>
          <t>FE-09</t>
        </is>
      </c>
      <c r="E3" s="4" t="inlineStr">
        <is>
          <t>MDN Web Docs, CSS layout guides (Mozilla)</t>
        </is>
      </c>
      <c r="F3" s="4" t="inlineStr">
        <is>
          <t>Depth: Implements designs to match mockups at standard breakpoints using the project's styling approach; fixes visual bugs with guidance on cascade and specificity issues. Scope: assigned screens.</t>
        </is>
      </c>
      <c r="G3" s="4" t="inlineStr">
        <is>
          <t>Depth: Builds layouts that hold up across viewports and content lengths without per-case hacks, choosing flexbox and grid appropriately and using design tokens consistently. Scope: the styling of features they own.</t>
        </is>
      </c>
      <c r="H3" s="4" t="inlineStr">
        <is>
          <t>Depth: Untangles specificity and layout problems others are stuck on and establishes styling conventions (tokens, layering, theming) that keep the capability's CSS predictable. Scope: styling architecture for a capability.</t>
        </is>
      </c>
      <c r="I3" s="4" t="inlineStr">
        <is>
          <t>Depth: Consolidates styling approaches across teams into one system, retiring duplicated patterns and writing the migration guide teams actually follow. Scope: multiple teams' styling stacks.</t>
        </is>
      </c>
      <c r="J3" s="4" t="inlineStr">
        <is>
          <t>Depth: Owns the org's theming and visual-consistency strategy, deciding tooling and token architecture and measuring adoption. Scope: organization-wide.</t>
        </is>
      </c>
      <c r="K3" s="4" t="inlineStr">
        <is>
          <t>Depth: Directs company-level presentation-layer strategy, including brand-scale theming, white-labeling, or multi-product visual platforms. Scope: company-wide.</t>
        </is>
      </c>
    </row>
    <row r="4">
      <c r="A4" s="4" t="inlineStr">
        <is>
          <t>Frontend Engineering</t>
        </is>
      </c>
      <c r="B4" s="4" t="inlineStr">
        <is>
          <t>State &amp; Data Flow</t>
        </is>
      </c>
      <c r="C4" s="4" t="inlineStr">
        <is>
          <t>Client state management &amp; data flow</t>
        </is>
      </c>
      <c r="D4" s="6" t="inlineStr">
        <is>
          <t>FE-05</t>
        </is>
      </c>
      <c r="E4" s="4" t="inlineStr">
        <is>
          <t>Redux documentation, Three Principles (redux.js.org)</t>
        </is>
      </c>
      <c r="F4" s="4" t="inlineStr">
        <is>
          <t>Depth: Uses the codebase's existing state patterns correctly — local state vs. shared store vs. server cache — and traces where a given piece of state lives and why. Scope: state within a single component or screen.</t>
        </is>
      </c>
      <c r="G4" s="4" t="inlineStr">
        <is>
          <t>Depth: Chooses the right home for each piece of state (local, lifted, global, URL, server-cache) and keeps derived state computed rather than duplicated, with loading, error, and stale states honest in the UI. Scope: state design for the features they own.</t>
        </is>
      </c>
      <c r="H4" s="4" t="inlineStr">
        <is>
          <t>Depth: Designs the state architecture for a capability — cache invalidation, optimistic updates, real-time sync — and spots stale-data, race-condition, and re-render-prone flows in others' code before they ship. Scope: state conventions for a capability; others copy their patterns.</t>
        </is>
      </c>
      <c r="I4" s="4" t="inlineStr">
        <is>
          <t>Depth: Converges divergent state approaches across teams into shared patterns, writing the decision record and unwinding the worst legacy state tangles personally. Scope: shared data-flow architecture spanning multiple teams.</t>
        </is>
      </c>
      <c r="J4" s="4" t="inlineStr">
        <is>
          <t>Depth: Sets the org's client-data architecture (caching strategy, offline posture, real-time sync) and arbitrates when teams' needs conflict. Scope: organization-wide.</t>
        </is>
      </c>
      <c r="K4" s="4" t="inlineStr">
        <is>
          <t>Depth: Owns the long-horizon client-data strategy — the model the company's products converge on — and sponsors the platform work to get there. Scope: company-wide.</t>
        </is>
      </c>
    </row>
    <row r="5">
      <c r="A5" s="4" t="inlineStr">
        <is>
          <t>Frontend Engineering</t>
        </is>
      </c>
      <c r="B5" s="4" t="inlineStr">
        <is>
          <t>State &amp; Data Flow</t>
        </is>
      </c>
      <c r="C5" s="4" t="inlineStr">
        <is>
          <t>Data fetching &amp; caching</t>
        </is>
      </c>
      <c r="D5" s="6" t="inlineStr">
        <is>
          <t>FE-06</t>
        </is>
      </c>
      <c r="E5" s="4" t="inlineStr">
        <is>
          <t>TanStack Query documentation (Tanner Linsley and maintainers)</t>
        </is>
      </c>
      <c r="F5" s="4" t="inlineStr">
        <is>
          <t>Depth: Fetches data through the codebase's established client and hooks and renders loading and error states; reproduces a stale-data bug with guidance. Scope: assigned screens.</t>
        </is>
      </c>
      <c r="G5" s="4" t="inlineStr">
        <is>
          <t>Depth: Implements fetching with correct cache keys, invalidation, and race handling, and handles pagination and optimistic updates using established patterns. Scope: data flow of features they own.</t>
        </is>
      </c>
      <c r="H5" s="4" t="inlineStr">
        <is>
          <t>Depth: Designs the fetching and caching strategy for a capability — what is cached, for how long, and what invalidates it — and spots request waterfalls and N+1 patterns in review. Scope: capability-wide client data strategy.</t>
        </is>
      </c>
      <c r="I5" s="4" t="inlineStr">
        <is>
          <t>Depth: Standardizes data-access patterns across teams, building or selecting the shared data layer and deprecating ad-hoc fetching. Scope: multiple teams' client data layers.</t>
        </is>
      </c>
      <c r="J5" s="4" t="inlineStr">
        <is>
          <t>Depth: Owns the org's client-server data strategy, including SSR and streaming trade-offs and cache coherence across products. Scope: organization-wide.</t>
        </is>
      </c>
      <c r="K5" s="4" t="inlineStr">
        <is>
          <t>Depth: Sets company-level direction for how clients consume data at scale, shaping platform investments and vendor-versus-build decisions. Scope: company-wide.</t>
        </is>
      </c>
    </row>
    <row r="6">
      <c r="A6" s="4" t="inlineStr">
        <is>
          <t>Frontend Engineering</t>
        </is>
      </c>
      <c r="B6" s="4" t="inlineStr">
        <is>
          <t>Frontend Quality</t>
        </is>
      </c>
      <c r="C6" s="4" t="inlineStr">
        <is>
          <t>Accessibility</t>
        </is>
      </c>
      <c r="D6" s="6" t="inlineStr">
        <is>
          <t>FE-12</t>
        </is>
      </c>
      <c r="E6" s="4" t="inlineStr">
        <is>
          <t>W3C WCAG 2.2 and WAI-ARIA Authoring Practices</t>
        </is>
      </c>
      <c r="F6" s="4" t="inlineStr">
        <is>
          <t>Depth: Uses semantic HTML and design-system components rather than div soup, and runs the team's accessibility checks before requesting review. Scope: the elements they touch.</t>
        </is>
      </c>
      <c r="G6" s="4" t="inlineStr">
        <is>
          <t>Depth: Builds keyboard-navigable, screen-reader-usable features — focus management, labels, ARIA only where semantics fall short — verifying with assistive tech before merge. Scope: the features they own meet WCAG AA.</t>
        </is>
      </c>
      <c r="H6" s="4" t="inlineStr">
        <is>
          <t>Depth: Catches accessibility regressions in review that automated tools miss (focus traps, reading order, announced state changes) and teaches the patterns that prevent them. Scope: the accessibility bar for a capability; the reviewer teams pull in.</t>
        </is>
      </c>
      <c r="I6" s="4" t="inlineStr">
        <is>
          <t>Depth: Builds accessibility into shared components and CI gates so teams inherit conformance by default, and drives remediation across surfaces no one team owns. Scope: multiple teams.</t>
        </is>
      </c>
      <c r="J6" s="4" t="inlineStr">
        <is>
          <t>Depth: Owns the org's accessibility standard and audit posture, reporting conformance to leadership and prioritizing systemic fixes. Scope: organization-wide.</t>
        </is>
      </c>
      <c r="K6" s="4" t="inlineStr">
        <is>
          <t>Depth: Sets company accessibility policy and represents it externally (compliance commitments, procurement, public conformance statements). Scope: company-wide.</t>
        </is>
      </c>
    </row>
    <row r="7">
      <c r="A7" s="4" t="inlineStr">
        <is>
          <t>Frontend Engineering</t>
        </is>
      </c>
      <c r="B7" s="4" t="inlineStr">
        <is>
          <t>Frontend Quality</t>
        </is>
      </c>
      <c r="C7" s="4" t="inlineStr">
        <is>
          <t>Web performance</t>
        </is>
      </c>
      <c r="D7" s="6" t="inlineStr">
        <is>
          <t>FE-13</t>
        </is>
      </c>
      <c r="E7" s="4" t="inlineStr">
        <is>
          <t>Google web.dev Core Web Vitals (LCP, INP, CLS)</t>
        </is>
      </c>
      <c r="F7" s="4" t="inlineStr">
        <is>
          <t>Depth: Reads a Lighthouse or devtools performance report and fixes the flagged issues in their task — oversized images, blocking scripts, unnecessary re-renders — with guidance on trade-offs. Scope: the pages they touch.</t>
        </is>
      </c>
      <c r="G7" s="4" t="inlineStr">
        <is>
          <t>Depth: Keeps the features they ship within the team's performance budget, profiling render and bundle cost before merge and lazy-loading what the critical path doesn't need. Scope: their components' contribution to page metrics.</t>
        </is>
      </c>
      <c r="H7" s="4" t="inlineStr">
        <is>
          <t>Depth: Owns Core Web Vitals for a capability, diagnosing field regressions from RUM data to root cause — hydration cost, main-thread contention, layout shift — and rejecting designs that can't hit budget. Scope: a capability's user-facing performance; consulted by neighboring teams.</t>
        </is>
      </c>
      <c r="I7" s="4" t="inlineStr">
        <is>
          <t>Depth: Builds the performance budgets, CI gates, and monitoring several teams run on, and leads the cross-team efforts that move p75 metrics. Scope: multiple teams.</t>
        </is>
      </c>
      <c r="J7" s="4" t="inlineStr">
        <is>
          <t>Depth: Sets org-wide performance targets and the platform investments to hit them — rendering architecture, edge/CDN posture — tied to business metrics leadership acts on. Scope: organization-wide.</t>
        </is>
      </c>
      <c r="K7" s="4" t="inlineStr">
        <is>
          <t>Depth: Makes the company-level performance-architecture bets and is accountable for user-experience speed as a competitive property of the product. Scope: company-wide.</t>
        </is>
      </c>
    </row>
    <row r="8">
      <c r="A8" s="4" t="inlineStr">
        <is>
          <t>Backend &amp; API Engineering</t>
        </is>
      </c>
      <c r="B8" s="4" t="inlineStr">
        <is>
          <t>Services &amp; Runtime</t>
        </is>
      </c>
      <c r="C8" s="4" t="inlineStr">
        <is>
          <t>Service design &amp; boundaries</t>
        </is>
      </c>
      <c r="D8" s="6" t="inlineStr">
        <is>
          <t>ARC-02</t>
        </is>
      </c>
      <c r="E8" s="4" t="inlineStr">
        <is>
          <t>Newman, Building Microservices, 2nd ed. (2021)</t>
        </is>
      </c>
      <c r="F8" s="4" t="inlineStr">
        <is>
          <t>Depth: Adds endpoints and handlers to an existing Node/TypeScript service following its layering, error-handling, and config conventions; explains the request path through the service in their own words. Scope: assigned tasks in one service.</t>
        </is>
      </c>
      <c r="G8" s="4" t="inlineStr">
        <is>
          <t>Depth: Designs and ships a well-factored module or small service independently, separating transport, domain logic, and persistence, and handling errors, timeouts, and idempotency deliberately. Scope: a service component end to end.</t>
        </is>
      </c>
      <c r="H8" s="4" t="inlineStr">
        <is>
          <t>Depth: Draws service boundaries by trade-off in design docs that name the alternatives considered, designing for failure (retries, idempotency, backpressure) and catching coupling and hidden-dependency problems in others' designs before build. Scope: owns the services behind a capability; runs its design reviews.</t>
        </is>
      </c>
      <c r="I8" s="4" t="inlineStr">
        <is>
          <t>Depth: Restructures the service landscape across teams — splitting, merging, or extracting services with migration plans that ship incrementally — without stopping delivery. Scope: service architecture spanning multiple teams.</t>
        </is>
      </c>
      <c r="J8" s="4" t="inlineStr">
        <is>
          <t>Depth: Sets the org's service architecture direction (runtime choices, communication patterns, platform primitives) and retires the patterns that no longer serve it. Scope: organization-wide.</t>
        </is>
      </c>
      <c r="K8" s="4" t="inlineStr">
        <is>
          <t>Depth: Makes company-level backend platform bets and is the tie-breaking authority on architecture decisions with decade-scale consequences. Scope: company-wide.</t>
        </is>
      </c>
    </row>
    <row r="9">
      <c r="A9" s="4" t="inlineStr">
        <is>
          <t>Backend &amp; API Engineering</t>
        </is>
      </c>
      <c r="B9" s="4" t="inlineStr">
        <is>
          <t>Services &amp; Runtime</t>
        </is>
      </c>
      <c r="C9" s="4" t="inlineStr">
        <is>
          <t>Runtime &amp; async correctness</t>
        </is>
      </c>
      <c r="D9" s="6" t="inlineStr">
        <is>
          <t>CS-04</t>
        </is>
      </c>
      <c r="E9" s="4" t="inlineStr">
        <is>
          <t>Node.js official guide, Don't Block the Event Loop</t>
        </is>
      </c>
      <c r="F9" s="4" t="inlineStr">
        <is>
          <t>Depth: Uses async/await correctly — awaits promises, handles rejections, avoids sequential awaits where work is parallel — with review catching the misses. Scope: assigned tasks.</t>
        </is>
      </c>
      <c r="G9" s="4" t="inlineStr">
        <is>
          <t>Depth: Keeps the event loop healthy in code they own, moving CPU-heavy work off the hot path, bounding concurrency, and adding timeouts and cancellation to outbound calls. Scope: components they own.</t>
        </is>
      </c>
      <c r="H9" s="4" t="inlineStr">
        <is>
          <t>Depth: Diagnoses production event-loop stalls, memory leaks, and race conditions from traces and heap snapshots, and designs backpressure and retry behavior for a capability's services. Scope: runtime health of a capability.</t>
        </is>
      </c>
      <c r="I9" s="4" t="inlineStr">
        <is>
          <t>Depth: Sets the concurrency, timeout, and resilience defaults multiple teams inherit through shared libraries and service templates. Scope: multiple teams' services.</t>
        </is>
      </c>
      <c r="J9" s="4" t="inlineStr">
        <is>
          <t>Depth: Drives org-wide runtime strategy — Node versions, worker models, resource limits — from fleet-level performance data. Scope: organization-wide.</t>
        </is>
      </c>
      <c r="K9" s="4" t="inlineStr">
        <is>
          <t>Depth: Owns company-level runtime and platform bets and is the escalation point for the hardest production mysteries. Scope: company-wide.</t>
        </is>
      </c>
    </row>
    <row r="10">
      <c r="A10" s="4" t="inlineStr">
        <is>
          <t>Backend &amp; API Engineering</t>
        </is>
      </c>
      <c r="B10" s="4" t="inlineStr">
        <is>
          <t>API Contracts</t>
        </is>
      </c>
      <c r="C10" s="4" t="inlineStr">
        <is>
          <t>API contract design</t>
        </is>
      </c>
      <c r="D10" s="6" t="inlineStr">
        <is>
          <t>SWE-07</t>
        </is>
      </c>
      <c r="E10" s="4" t="inlineStr">
        <is>
          <t>Fielding (2000) and the OpenAPI Specification</t>
        </is>
      </c>
      <c r="F10" s="4" t="inlineStr">
        <is>
          <t>Depth: Implements endpoints against a specified contract, returning correct status codes and error shapes, and updates the OpenAPI or schema definition alongside the code. Scope: assigned endpoints.</t>
        </is>
      </c>
      <c r="G10" s="4" t="inlineStr">
        <is>
          <t>Depth: Designs consistent, versionable endpoints for their feature — naming, pagination, error envelopes — and shares typed clients or generated types so frontend and backend agree by construction. Scope: their component's API surface.</t>
        </is>
      </c>
      <c r="H10" s="4" t="inlineStr">
        <is>
          <t>Depth: Owns the API contract for a capability, writing the schema first, folding consumers' integration pain back into the design, and rejecting designs in review that leak internals or paint consumers into corners. Scope: a capability's public contracts and their consumers.</t>
        </is>
      </c>
      <c r="I10" s="4" t="inlineStr">
        <is>
          <t>Depth: Sets the API conventions multiple teams follow (style guide, error taxonomy, schema registry, review gates) and arbitrates contract disputes between producing and consuming teams. Scope: cross-team API governance.</t>
        </is>
      </c>
      <c r="J10" s="4" t="inlineStr">
        <is>
          <t>Depth: Owns the org's API strategy — REST/GraphQL/RPC posture, gateway, contract-testing infrastructure — and its governance mechanisms. Scope: organization-wide.</t>
        </is>
      </c>
      <c r="K10" s="4" t="inlineStr">
        <is>
          <t>Depth: Shapes the company's external API as a product, making the compatibility promises the business sells against. Scope: company-wide and partner ecosystem.</t>
        </is>
      </c>
    </row>
    <row r="11">
      <c r="A11" s="4" t="inlineStr">
        <is>
          <t>Backend &amp; API Engineering</t>
        </is>
      </c>
      <c r="B11" s="4" t="inlineStr">
        <is>
          <t>API Contracts</t>
        </is>
      </c>
      <c r="C11" s="4" t="inlineStr">
        <is>
          <t>Compatibility &amp; versioning</t>
        </is>
      </c>
      <c r="D11" s="6" t="inlineStr">
        <is>
          <t>BE-13</t>
        </is>
      </c>
      <c r="E11" s="4" t="inlineStr">
        <is>
          <t>Hyrum's Law (Winters et al., 2020); Preston-Werner, Semantic Versioning</t>
        </is>
      </c>
      <c r="F11" s="4" t="inlineStr">
        <is>
          <t>Depth: Asks before changing a response shape or shared type, and explains why deployed clients constrain the server. Scope: assigned changes.</t>
        </is>
      </c>
      <c r="G11" s="4" t="inlineStr">
        <is>
          <t>Depth: Ships additive, backward-compatible changes by default, coordinating deploy order between client and server and gating risky changes behind flags. Scope: components they own.</t>
        </is>
      </c>
      <c r="H11" s="4" t="inlineStr">
        <is>
          <t>Depth: Designs the deprecation and migration paths for a capability's contracts — versioning scheme, sunset timelines, consumer comms — and catches silent breaking changes in review. Scope: a capability's contract lifecycle; consumers trust their deprecation notes.</t>
        </is>
      </c>
      <c r="I11" s="4" t="inlineStr">
        <is>
          <t>Depth: Runs breaking-change processes across teams, with contract tests and migration tooling that make deprecations routine rather than heroic. Scope: multiple teams' seams.</t>
        </is>
      </c>
      <c r="J11" s="4" t="inlineStr">
        <is>
          <t>Depth: Sets the org's compatibility policy and the tooling that enforces it automatically. Scope: organization-wide.</t>
        </is>
      </c>
      <c r="K11" s="4" t="inlineStr">
        <is>
          <t>Depth: Owns compatibility strategy for company-critical and external surfaces, where mistakes are front-page incidents. Scope: company-wide.</t>
        </is>
      </c>
    </row>
    <row r="12">
      <c r="A12" s="4" t="inlineStr">
        <is>
          <t>Backend &amp; API Engineering</t>
        </is>
      </c>
      <c r="B12" s="4" t="inlineStr">
        <is>
          <t>Data &amp; Persistence</t>
        </is>
      </c>
      <c r="C12" s="4" t="inlineStr">
        <is>
          <t>Data modeling</t>
        </is>
      </c>
      <c r="D12" s="6" t="inlineStr">
        <is>
          <t>BE-01</t>
        </is>
      </c>
      <c r="E12" s="4" t="inlineStr">
        <is>
          <t>Kleppmann, Designing Data-Intensive Applications (2017)</t>
        </is>
      </c>
      <c r="F12" s="4" t="inlineStr">
        <is>
          <t>Depth: Writes correct queries and simple schema changes against an existing model, explaining the main entities and their relationships in their own words. Scope: the data their task reads and writes.</t>
        </is>
      </c>
      <c r="G12" s="4" t="inlineStr">
        <is>
          <t>Depth: Designs sound schemas for their features — keys, constraints, indexes, normalization judged by access pattern — encoding invariants in the database rather than in application hope, with reversible migrations. Scope: their component's data model.</t>
        </is>
      </c>
      <c r="H12" s="4" t="inlineStr">
        <is>
          <t>Depth: Models a capability's domain so that invalid states are hard to represent, choosing consistency and transaction boundaries deliberately, designing for schema evolution, and catching modeling errors in others' designs before they calcify. Scope: the capability's data model; the person others consult before touching it.</t>
        </is>
      </c>
      <c r="I12" s="4" t="inlineStr">
        <is>
          <t>Depth: Untangles data models entangled across teams — ownership of shared entities, duplication vs. reference, event contracts — and lands the migrations. Scope: data architecture spanning multiple teams.</t>
        </is>
      </c>
      <c r="J12" s="4" t="inlineStr">
        <is>
          <t>Depth: Sets the org's data architecture (store selection, consistency posture, canonical sources of truth) and kills duplicate sources of truth. Scope: organization-wide.</t>
        </is>
      </c>
      <c r="K12" s="4" t="inlineStr">
        <is>
          <t>Depth: Owns company-level data strategy bets — the storage and consistency platform products build on for years, including regulatory and multi-region posture. Scope: company-wide.</t>
        </is>
      </c>
    </row>
    <row r="13">
      <c r="A13" s="4" t="inlineStr">
        <is>
          <t>Backend &amp; API Engineering</t>
        </is>
      </c>
      <c r="B13" s="4" t="inlineStr">
        <is>
          <t>Data &amp; Persistence</t>
        </is>
      </c>
      <c r="C13" s="4" t="inlineStr">
        <is>
          <t>Query performance &amp; safe migrations</t>
        </is>
      </c>
      <c r="D13" s="6" t="inlineStr">
        <is>
          <t>BE-04</t>
        </is>
      </c>
      <c r="E13" s="4" t="inlineStr">
        <is>
          <t>Winand, SQL Performance Explained; Sadalage &amp; Fowler, Evolutionary Database Design</t>
        </is>
      </c>
      <c r="F13" s="4" t="inlineStr">
        <is>
          <t>Depth: Reads a query plan with help and fixes flagged N+1s, running schema changes only through the migration tooling with review. Scope: queries in their own changes.</t>
        </is>
      </c>
      <c r="G13" s="4" t="inlineStr">
        <is>
          <t>Depth: Reads execution plans unprompted and designs indexes for the access patterns of features they own, checking query cost against realistic data volumes and rehearsing the rollback before deploying. Scope: their component's persistence layer.</t>
        </is>
      </c>
      <c r="H13" s="4" t="inlineStr">
        <is>
          <t>Depth: Diagnoses production database performance to root cause — plans, locks, connection pools — and designs zero-downtime migrations (expand/contract, backfill strategy, dual-write windows), reviewing others' migrations for lock and rollback risk. Scope: the capability's database health; on-call escalation point.</t>
        </is>
      </c>
      <c r="I13" s="4" t="inlineStr">
        <is>
          <t>Depth: Leads the multi-team data moves — resharding, datastore swaps, hot-table decomposition — with staged rollout plans others execute against, and builds the guardrails preventing recurrence. Scope: multiple teams' data stores.</t>
        </is>
      </c>
      <c r="J13" s="4" t="inlineStr">
        <is>
          <t>Depth: Owns org-level capacity and scaling strategy for persistence, deciding when to shard, replicate, or re-platform, with cost explicitly in the trade-off. Scope: organization-wide.</t>
        </is>
      </c>
      <c r="K13" s="4" t="inlineStr">
        <is>
          <t>Depth: Makes the company's long-horizon storage bets and is the final technical voice on the migrations where failure is existential. Scope: company-wide.</t>
        </is>
      </c>
    </row>
    <row r="14">
      <c r="A14" s="4" t="inlineStr">
        <is>
          <t>Backend &amp; API Engineering</t>
        </is>
      </c>
      <c r="B14" s="4" t="inlineStr">
        <is>
          <t>Integration &amp; Resilience</t>
        </is>
      </c>
      <c r="C14" s="4" t="inlineStr">
        <is>
          <t>Asynchronous processing &amp; messaging</t>
        </is>
      </c>
      <c r="D14" s="6" t="inlineStr">
        <is>
          <t>BE-09</t>
        </is>
      </c>
      <c r="E14" s="4" t="inlineStr">
        <is>
          <t>Hohpe &amp; Woolf, Enterprise Integration Patterns (2003)</t>
        </is>
      </c>
      <c r="F14" s="4" t="inlineStr">
        <is>
          <t>Depth: Adds jobs or event handlers to an existing queue and worker setup following team patterns; explains at-least-once delivery and why handlers must tolerate retries. Scope: assigned tasks.</t>
        </is>
      </c>
      <c r="G14" s="4" t="inlineStr">
        <is>
          <t>Depth: Builds idempotent async workflows with dead-letter handling and visibility into failures; chooses sync-versus-async deliberately for their feature. Scope: their component's async work.</t>
        </is>
      </c>
      <c r="H14" s="4" t="inlineStr">
        <is>
          <t>Depth: Designs the event and job architecture for a capability, reasoning explicitly about ordering, exactly-once illusions, and poison messages, and catches these gaps in others' designs. Scope: capability-wide async architecture.</t>
        </is>
      </c>
      <c r="I14" s="4" t="inlineStr">
        <is>
          <t>Depth: Standardizes messaging patterns across teams, owning shared schemas and topics and the contract between producers and consumers. Scope: multi-team eventing.</t>
        </is>
      </c>
      <c r="J14" s="4" t="inlineStr">
        <is>
          <t>Depth: Sets the org's async and eventing strategy, including platform selection and the delivery-guarantee posture teams inherit. Scope: organization-wide.</t>
        </is>
      </c>
      <c r="K14" s="4" t="inlineStr">
        <is>
          <t>Depth: Directs company-scale event architecture, making the platform bets that determine how the company's systems compose. Scope: company-wide.</t>
        </is>
      </c>
    </row>
    <row r="15">
      <c r="A15" s="4" t="inlineStr">
        <is>
          <t>Backend &amp; API Engineering</t>
        </is>
      </c>
      <c r="B15" s="4" t="inlineStr">
        <is>
          <t>Integration &amp; Resilience</t>
        </is>
      </c>
      <c r="C15" s="4" t="inlineStr">
        <is>
          <t>Third-party &amp; cross-service resilience</t>
        </is>
      </c>
      <c r="D15" s="6" t="inlineStr">
        <is>
          <t>BE-18</t>
        </is>
      </c>
      <c r="E15" s="4" t="inlineStr">
        <is>
          <t>Nygard, Release It!, 2nd ed. (2018)</t>
        </is>
      </c>
      <c r="F15" s="4" t="inlineStr">
        <is>
          <t>Depth: Sets timeouts and handles error paths in their changes as the team's patterns prescribe, and explains what happens to their code when a dependency is down. Scope: failure handling in their tasks.</t>
        </is>
      </c>
      <c r="G15" s="4" t="inlineStr">
        <is>
          <t>Depth: Wraps every external dependency with timeouts, retries with backoff, and failure fallbacks — graceful degradation in the UI when the API stutters — and writes the runbook entry for when the dependency degrades. Scope: resilience of components they own.</t>
        </is>
      </c>
      <c r="H15" s="4" t="inlineStr">
        <is>
          <t>Depth: Designs the resilience posture for a capability — circuit breakers, bulkheads, dependency criticality tiers, load-testing before launches and sizing for projected growth — and rejects designs in review that fail closed on non-critical dependencies. Scope: a capability's stability under stress.</t>
        </is>
      </c>
      <c r="I15" s="4" t="inlineStr">
        <is>
          <t>Depth: Hardens the seams between teams' systems — shared dependencies, cascading-failure paths — running failure-injection and game-day exercises and fixing the systemic weak points they expose. Scope: multiple teams' dependency graph.</t>
        </is>
      </c>
      <c r="J15" s="4" t="inlineStr">
        <is>
          <t>Depth: Sets org resilience standards and capacity strategy, including vendor criticality tiers, exit strategies, and disaster-recovery posture. Scope: organization-wide.</t>
        </is>
      </c>
      <c r="K15" s="4" t="inlineStr">
        <is>
          <t>Depth: Accountable for company-level systemic resilience, shaping architecture and vendor strategy so no single dependency can take the business down. Scope: company-wide.</t>
        </is>
      </c>
    </row>
    <row r="16">
      <c r="A16" s="4" t="inlineStr">
        <is>
          <t>TypeScript &amp; Software Design</t>
        </is>
      </c>
      <c r="B16" s="4" t="inlineStr">
        <is>
          <t>Type System as a Design Tool</t>
        </is>
      </c>
      <c r="C16" s="4" t="inlineStr">
        <is>
          <t>Type-driven domain modeling</t>
        </is>
      </c>
      <c r="D16" s="6" t="inlineStr">
        <is>
          <t>SWE-08</t>
        </is>
      </c>
      <c r="E16" s="4" t="inlineStr">
        <is>
          <t>Vanderkam, Effective TypeScript, 2nd ed. (2024); Wlaschin, Domain Modeling Made Functional (2018)</t>
        </is>
      </c>
      <c r="F16" s="4" t="inlineStr">
        <is>
          <t>Depth: Writes correctly typed code without resorting to `any`, using the codebase's interfaces, unions, and generics correctly and reading compiler errors to the actual cause. Scope: their own tasks compile clean under strict mode.</t>
        </is>
      </c>
      <c r="G16" s="4" t="inlineStr">
        <is>
          <t>Depth: Models feature domains so invalid states don't type-check — discriminated unions over boolean flags, literal types over strings, narrowing over assertions. Scope: the types of components they own.</t>
        </is>
      </c>
      <c r="H16" s="4" t="inlineStr">
        <is>
          <t>Depth: Designs the shared domain types a capability is built on, using generics and inference so call sites stay simple, judging when type-level sophistication pays and when it obscures, and unwinding `any`-creep others have accumulated. Scope: the capability's type architecture; the review stop for tricky types.</t>
        </is>
      </c>
      <c r="I16" s="4" t="inlineStr">
        <is>
          <t>Depth: Sets type-design conventions multiple teams adopt — branded IDs, result types, strictness policy, shared type libraries — and leads the migrations that raise strictness without halting delivery. Scope: multiple teams' shared type infrastructure.</t>
        </is>
      </c>
      <c r="J16" s="4" t="inlineStr">
        <is>
          <t>Depth: Owns the org's TypeScript platform posture — compiler-option baselines, monorepo type architecture, upgrade cadence — measured by defect and velocity outcomes. Scope: organization-wide.</t>
        </is>
      </c>
      <c r="K16" s="4" t="inlineStr">
        <is>
          <t>Depth: Makes the company's language and type-platform bets and represents the company's practice in the external TypeScript community. Scope: company-wide.</t>
        </is>
      </c>
    </row>
    <row r="17">
      <c r="A17" s="4" t="inlineStr">
        <is>
          <t>TypeScript &amp; Software Design</t>
        </is>
      </c>
      <c r="B17" s="4" t="inlineStr">
        <is>
          <t>Type System as a Design Tool</t>
        </is>
      </c>
      <c r="C17" s="4" t="inlineStr">
        <is>
          <t>Type safety at boundaries</t>
        </is>
      </c>
      <c r="D17" s="6" t="inlineStr">
        <is>
          <t>SWE-09</t>
        </is>
      </c>
      <c r="E17" s="4" t="inlineStr">
        <is>
          <t>King, Parse, Don't Validate (2019)</t>
        </is>
      </c>
      <c r="F17" s="4" t="inlineStr">
        <is>
          <t>Depth: Uses the codebase's shared API types and schema validators at boundaries rather than hand-casting responses, and explains why an `as` cast is a smell. Scope: the boundaries their task crosses.</t>
        </is>
      </c>
      <c r="G17" s="4" t="inlineStr">
        <is>
          <t>Depth: Puts runtime validation at every I/O boundary they touch — requests, webhooks, queue messages, env config — deriving static types from the schemas so runtime and compile time can't drift. Scope: their features' edges.</t>
        </is>
      </c>
      <c r="H17" s="4" t="inlineStr">
        <is>
          <t>Depth: Designs end-to-end type safety for a capability — shared contract types or clients generated from schema, contract drift caught in CI — so a server change breaks the client build, not production; flags unsound casts and unvalidated edges in review as blocking. Scope: the capability's inbound and outbound contracts; teams copy their setup.</t>
        </is>
      </c>
      <c r="I17" s="4" t="inlineStr">
        <is>
          <t>Depth: Builds the codegen and contract-typing infrastructure multiple teams inherit, making boundary safety the default rather than a discipline, and resolves cross-team type drift at its source. Scope: multiple teams.</t>
        </is>
      </c>
      <c r="J17" s="4" t="inlineStr">
        <is>
          <t>Depth: Sets the org's boundary-safety standard and the platform tooling that enforces it, with incident data showing the failure classes it removed. Scope: organization-wide.</t>
        </is>
      </c>
      <c r="K17" s="4" t="inlineStr">
        <is>
          <t>Depth: Owns the company's contract-integrity strategy including partner and public-API boundaries where a break is a business event. Scope: company-wide.</t>
        </is>
      </c>
    </row>
    <row r="18">
      <c r="A18" s="4" t="inlineStr">
        <is>
          <t>TypeScript &amp; Software Design</t>
        </is>
      </c>
      <c r="B18" s="4" t="inlineStr">
        <is>
          <t>Type System as a Design Tool</t>
        </is>
      </c>
      <c r="C18" s="4" t="inlineStr">
        <is>
          <t>Advanced types &amp; inference</t>
        </is>
      </c>
      <c r="D18" s="6" t="inlineStr">
        <is>
          <t>SWE-01</t>
        </is>
      </c>
      <c r="E18" s="4" t="inlineStr">
        <is>
          <t>The TypeScript Handbook (Microsoft TypeScript team)</t>
        </is>
      </c>
      <c r="F18" s="4" t="inlineStr">
        <is>
          <t>Depth: Uses generic functions and utility types (Pick, Omit, Partial) correctly in everyday code; asks for help when inference surprises them. Scope: assigned tasks.</t>
        </is>
      </c>
      <c r="G18" s="4" t="inlineStr">
        <is>
          <t>Depth: Writes their own generic functions and constraints that infer cleanly at call sites, and debugs inference failures by reading the types rather than adding casts. Scope: their component.</t>
        </is>
      </c>
      <c r="H18" s="4" t="inlineStr">
        <is>
          <t>Depth: Builds the typed utilities and library boundaries others rely on — mapped and conditional types where they pay for themselves — and pushes back in review on cleverness that hurts readability or compile times. Scope: capability-wide shared code.</t>
        </is>
      </c>
      <c r="I18" s="4" t="inlineStr">
        <is>
          <t>Depth: Owns the hardest type-level infrastructure across teams (codegen, typed clients, framework glue) and teaches the patterns so they don't bottleneck on one person. Scope: multiple teams.</t>
        </is>
      </c>
      <c r="J18" s="4" t="inlineStr">
        <is>
          <t>Depth: Sets the org's bar for type-level engineering, balancing expressiveness against build performance and onboarding cost. Scope: organization-wide.</t>
        </is>
      </c>
      <c r="K18" s="4" t="inlineStr">
        <is>
          <t>Depth: Influences the practice beyond the company — upstream contributions, published patterns — and directs internal investment accordingly. Scope: company-wide and industry.</t>
        </is>
      </c>
    </row>
    <row r="19">
      <c r="A19" s="4" t="inlineStr">
        <is>
          <t>TypeScript &amp; Software Design</t>
        </is>
      </c>
      <c r="B19" s="4" t="inlineStr">
        <is>
          <t>Architecture &amp; Code Health</t>
        </is>
      </c>
      <c r="C19" s="4" t="inlineStr">
        <is>
          <t>Software design &amp; architecture</t>
        </is>
      </c>
      <c r="D19" s="6" t="inlineStr">
        <is>
          <t>SWE-05</t>
        </is>
      </c>
      <c r="E19" s="4" t="inlineStr">
        <is>
          <t>Ousterhout, A Philosophy of Software Design (2018); Parnas (1972)</t>
        </is>
      </c>
      <c r="F19" s="4" t="inlineStr">
        <is>
          <t>Depth: Explains the system's architecture in their own words and navigates its diagrams to find where a change belongs, implementing designs specified by others. Scope: implements within a given design.</t>
        </is>
      </c>
      <c r="G19" s="4" t="inlineStr">
        <is>
          <t>Depth: Designs their features within the existing architecture with clear module boundaries and hidden internals, writing a short design note for anything non-obvious and naming at least one alternative. Scope: design of their component.</t>
        </is>
      </c>
      <c r="H19" s="4" t="inlineStr">
        <is>
          <t>Depth: Selects patterns by trade-off in design docs that name the alternatives considered, designs for evolution, and catches coupling and scaling problems in others' designs before build. Scope: owns architecture for a capability; runs its design reviews.</t>
        </is>
      </c>
      <c r="I19" s="4" t="inlineStr">
        <is>
          <t>Depth: Produces the designs that resolve problems spanning multiple teams, and gets them adopted through review and persuasion rather than mandate. Scope: multi-team architecture.</t>
        </is>
      </c>
      <c r="J19" s="4" t="inlineStr">
        <is>
          <t>Depth: Sets the architectural direction multiple teams build against and removes the systemic obstacles that block it. Scope: organization-wide.</t>
        </is>
      </c>
      <c r="K19" s="4" t="inlineStr">
        <is>
          <t>Depth: Owns the company's technical architecture narrative — where the platform is going and why — making the irreversible calls and being publicly accountable for them. Scope: company-wide.</t>
        </is>
      </c>
    </row>
    <row r="20">
      <c r="A20" s="4" t="inlineStr">
        <is>
          <t>TypeScript &amp; Software Design</t>
        </is>
      </c>
      <c r="B20" s="4" t="inlineStr">
        <is>
          <t>Architecture &amp; Code Health</t>
        </is>
      </c>
      <c r="C20" s="4" t="inlineStr">
        <is>
          <t>Readable, maintainable code</t>
        </is>
      </c>
      <c r="D20" s="6" t="inlineStr">
        <is>
          <t>SWE-02</t>
        </is>
      </c>
      <c r="E20" s="4" t="inlineStr">
        <is>
          <t>Fowler, Refactoring, 2nd ed. (2018)</t>
        </is>
      </c>
      <c r="F20" s="4" t="inlineStr">
        <is>
          <t>Depth: Writes small, clearly named functions that match the codebase's conventions, and incorporates review feedback without repeating the same class of issue. Scope: assigned tasks.</t>
        </is>
      </c>
      <c r="G20" s="4" t="inlineStr">
        <is>
          <t>Depth: Leaves code simpler than found as a matter of course — refactors as part of feature work, keeps modules cohesive, writes comments that explain why, not what; review comments on their PRs trend toward design, not cleanup. Scope: components they own.</t>
        </is>
      </c>
      <c r="H20" s="4" t="inlineStr">
        <is>
          <t>Depth: Sets the maintainability bar for a capability through review — names the smell and the refactoring, suggests the simplification rather than the workaround, and articulates why a design is too complicated, not just that it is. Scope: a capability's codebase health.</t>
        </is>
      </c>
      <c r="I20" s="4" t="inlineStr">
        <is>
          <t>Depth: Drives code-health initiatives across teams — dead-code deletion, module restructuring, convention alignment — with before/after evidence. Scope: multiple teams' codebases.</t>
        </is>
      </c>
      <c r="J20" s="4" t="inlineStr">
        <is>
          <t>Depth: Owns org-level code-health strategy, making maintainability a funded, tracked property rather than a virtue, legible to leadership as risk and velocity. Scope: organization-wide.</t>
        </is>
      </c>
      <c r="K20" s="4" t="inlineStr">
        <is>
          <t>Depth: Sets company engineering-quality standards and models them in the code they still write. Scope: company-wide.</t>
        </is>
      </c>
    </row>
    <row r="21">
      <c r="A21" s="4" t="inlineStr">
        <is>
          <t>TypeScript &amp; Software Design</t>
        </is>
      </c>
      <c r="B21" s="4" t="inlineStr">
        <is>
          <t>Architecture &amp; Code Health</t>
        </is>
      </c>
      <c r="C21" s="4" t="inlineStr">
        <is>
          <t>Refactoring &amp; technical debt</t>
        </is>
      </c>
      <c r="D21" s="6" t="inlineStr">
        <is>
          <t>EM-15</t>
        </is>
      </c>
      <c r="E21" s="4" t="inlineStr">
        <is>
          <t>Fowler, Refactoring, 2nd ed. (2018); Cunningham's debt metaphor (OOPSLA 1992)</t>
        </is>
      </c>
      <c r="F21" s="4" t="inlineStr">
        <is>
          <t>Depth: Leaves touched code cleaner than found within the task's footprint — naming, dead code, small extractions under existing tests — and flags debt they notice rather than working around it silently. Scope: their own diffs.</t>
        </is>
      </c>
      <c r="G21" s="4" t="inlineStr">
        <is>
          <t>Depth: Refactors opportunistically within features and structures larger changes as reviewable, behavior-preserving steps, recording debt they take on with the reason and the exit path. Scope: the health of their component.</t>
        </is>
      </c>
      <c r="H21" s="4" t="inlineStr">
        <is>
          <t>Depth: Plans and lands multi-week refactors of a capability without stopping feature delivery, choosing strangler-style migrations over rewrites, and maintains a costed debt register — distinguishing debt that compounds from debt that can sit — with priorities stakeholders accept. Scope: a capability's long-term structural health.</t>
        </is>
      </c>
      <c r="I21" s="4" t="inlineStr">
        <is>
          <t>Depth: Leads the cross-team refactors and deprecations no single team can justify alone, with migration tooling that makes following cheap. Scope: multiple teams' codebases.</t>
        </is>
      </c>
      <c r="J21" s="4" t="inlineStr">
        <is>
          <t>Depth: Owns the org's code-health investment strategy — what gets modernized, deleted, or frozen — and reports the return in delivery terms. Scope: organization-wide.</t>
        </is>
      </c>
      <c r="K21" s="4" t="inlineStr">
        <is>
          <t>Depth: Decides the company's platform modernization bets (rewrite vs. strangle vs. sunset) with company-level cost consequences. Scope: company-wide.</t>
        </is>
      </c>
    </row>
    <row r="22">
      <c r="A22" s="4" t="inlineStr">
        <is>
          <t>TypeScript &amp; Software Design</t>
        </is>
      </c>
      <c r="B22" s="4" t="inlineStr">
        <is>
          <t>Architecture &amp; Code Health</t>
        </is>
      </c>
      <c r="C22" s="4" t="inlineStr">
        <is>
          <t>Code review practice</t>
        </is>
      </c>
      <c r="D22" s="6" t="inlineStr">
        <is>
          <t>SWE-04</t>
        </is>
      </c>
      <c r="E22" s="4" t="inlineStr">
        <is>
          <t>Winters, Manshreck &amp; Wright, Software Engineering at Google (2020), code-review chapters</t>
        </is>
      </c>
      <c r="F22" s="4" t="inlineStr">
        <is>
          <t>Depth: Responds to review feedback promptly and without defensiveness, applies it beyond the flagged line, and reviews small changes for readability and test presence. Scope: their own PRs plus starter reviews.</t>
        </is>
      </c>
      <c r="G22" s="4" t="inlineStr">
        <is>
          <t>Depth: Gives reviews that catch real defects, not just style — edge cases, type holes, missing tests — distinguishing blocking issues from preferences and phrasing comments about the code, not the coder. Scope: dependable reviewer for their component.</t>
        </is>
      </c>
      <c r="H22" s="4" t="inlineStr">
        <is>
          <t>Depth: Reviews for design, failure modes, and long-term cost — and teaches through review comments others save and share. Turns recurring review comments into lint rules or docs, and calibrates comment severity so authors know what blocks. Scope: the review bar for a capability; the requested reviewer for hard changes.</t>
        </is>
      </c>
      <c r="I22" s="4" t="inlineStr">
        <is>
          <t>Depth: Calibrates review standards across teams so the bar is consistent, reviewing the cross-cutting changes nobody else can judge and coaching senior engineers on how they review. Scope: multiple teams' review culture.</t>
        </is>
      </c>
      <c r="J22" s="4" t="inlineStr">
        <is>
          <t>Depth: Designs the org's review system itself — ownership rules, required checks, review SLAs, automation — measured by defect escape and flow metrics. Scope: organization-wide.</t>
        </is>
      </c>
      <c r="K22" s="4" t="inlineStr">
        <is>
          <t>Depth: Sets the company's engineering-rigor expectations, personally reviewing the changes with company-level blast radius. Scope: company-wide.</t>
        </is>
      </c>
    </row>
    <row r="23">
      <c r="A23" s="4" t="inlineStr">
        <is>
          <t>Quality &amp; Testing</t>
        </is>
      </c>
      <c r="B23" s="4" t="inlineStr">
        <is>
          <t>Testing Across the Stack</t>
        </is>
      </c>
      <c r="C23" s="4" t="inlineStr">
        <is>
          <t>Test strategy &amp; the pyramid</t>
        </is>
      </c>
      <c r="D23" s="6" t="inlineStr">
        <is>
          <t>QA-01</t>
        </is>
      </c>
      <c r="E23" s="4" t="inlineStr">
        <is>
          <t>Cohn (2009) as refined by Vocke, The Practical Test Pyramid (2018)</t>
        </is>
      </c>
      <c r="F23" s="4" t="inlineStr">
        <is>
          <t>Depth: Writes unit tests for every change following the team's patterns, and explains what each layer of the pyramid is for in their own words. Scope: coverage of their own tasks.</t>
        </is>
      </c>
      <c r="G23" s="4" t="inlineStr">
        <is>
          <t>Depth: Chooses the right test layer per risk — unit for logic, integration for seams, few end-to-end — covering the frontend, API, and data layers rather than just the easiest one. Scope: test strategy for their component.</t>
        </is>
      </c>
      <c r="H23" s="4" t="inlineStr">
        <is>
          <t>Depth: Owns the test strategy for a capability and kills tests that cost more than they catch, rebalancing an inverted pyramid, deciding coverage targets by risk, and defining which user journeys warrant end-to-end coverage — with the data to justify it. Scope: the capability's confidence posture; consulted on what to test where.</t>
        </is>
      </c>
      <c r="I23" s="4" t="inlineStr">
        <is>
          <t>Depth: Aligns test strategy across teams that share seams — contract tests where E2E suites were the crutch, shared fixtures, flake budgets — so cross-team changes are safe to make. Scope: multiple teams' suites.</t>
        </is>
      </c>
      <c r="J23" s="4" t="inlineStr">
        <is>
          <t>Depth: Sets the organization's testing standards and investment level, backed by data on escape rates and suite cost. Scope: organization-wide.</t>
        </is>
      </c>
      <c r="K23" s="4" t="inlineStr">
        <is>
          <t>Depth: Owns the company's release-confidence posture, deciding the quality bar that ships and answering for it when it fails. Scope: company-wide.</t>
        </is>
      </c>
    </row>
    <row r="24">
      <c r="A24" s="4" t="inlineStr">
        <is>
          <t>Quality &amp; Testing</t>
        </is>
      </c>
      <c r="B24" s="4" t="inlineStr">
        <is>
          <t>Testing Across the Stack</t>
        </is>
      </c>
      <c r="C24" s="4" t="inlineStr">
        <is>
          <t>Test authoring &amp; implementation quality</t>
        </is>
      </c>
      <c r="D24" s="6" t="inlineStr">
        <is>
          <t>SWE-03</t>
        </is>
      </c>
      <c r="E24" s="4" t="inlineStr">
        <is>
          <t>Dodds, Testing Library guiding principles; Meszaros, xUnit Test Patterns (2007)</t>
        </is>
      </c>
      <c r="F24" s="4" t="inlineStr">
        <is>
          <t>Depth: Writes readable arrange-act-assert tests that assert behavior, not implementation, using the team's harnesses correctly and fixing a failing test by understanding it rather than snapshot-updating past it. Scope: tests within their tasks.</t>
        </is>
      </c>
      <c r="G24" s="4" t="inlineStr">
        <is>
          <t>Depth: Writes tests that survive refactoring — queries UI the way a user would, isolates external systems with typed fakes at the right boundary, covers error paths and keeps tests deterministic. Scope: their component's suites stay green and fast.</t>
        </is>
      </c>
      <c r="H24" s="4" t="inlineStr">
        <is>
          <t>Depth: Builds the test infrastructure others write tests with — factories, fixtures, network mocking — making good tests the path of least resistance, and diagnoses the deep flake causes (async races, shared state, clock) to root cause. Scope: test tooling for a capability; the person paged when the suite lies.</t>
        </is>
      </c>
      <c r="I24" s="4" t="inlineStr">
        <is>
          <t>Depth: Fixes the systemic testing problems across teams — flake sources, slow suites, mock sprawl — providing shared harnesses and coaching teams out of brittle-test patterns. Scope: multiple teams.</t>
        </is>
      </c>
      <c r="J24" s="4" t="inlineStr">
        <is>
          <t>Depth: Sets org-wide test-authoring standards and the tooling that enforces them, keeping suite runtime and reliability inside explicit budgets. Scope: organization-wide.</t>
        </is>
      </c>
      <c r="K24" s="4" t="inlineStr">
        <is>
          <t>Depth: Directs company-level test-infrastructure investment as a productivity multiplier, with authored practice visible in the highest-stakes systems. Scope: company-wide.</t>
        </is>
      </c>
    </row>
    <row r="25">
      <c r="A25" s="4" t="inlineStr">
        <is>
          <t>Quality &amp; Testing</t>
        </is>
      </c>
      <c r="B25" s="4" t="inlineStr">
        <is>
          <t>Testing Across the Stack</t>
        </is>
      </c>
      <c r="C25" s="4" t="inlineStr">
        <is>
          <t>Integration &amp; end-to-end confidence</t>
        </is>
      </c>
      <c r="D25" s="6" t="inlineStr">
        <is>
          <t>QA-06</t>
        </is>
      </c>
      <c r="E25" s="4" t="inlineStr">
        <is>
          <t>Fowler, ContractTest / consumer-driven contracts (Pact)</t>
        </is>
      </c>
      <c r="F25" s="4" t="inlineStr">
        <is>
          <t>Depth: Runs the end-to-end suite locally and reads its failures to the failing step, updating existing journey tests when their change breaks one, with guidance. Scope: tests for their task.</t>
        </is>
      </c>
      <c r="G25" s="4" t="inlineStr">
        <is>
          <t>Depth: Writes stable integration and end-to-end tests for their features' critical paths — user-facing selectors, controlled test data, no arbitrary sleeps — and quarantines flake rather than retrying it blind. Scope: their features' journeys.</t>
        </is>
      </c>
      <c r="H25" s="4" t="inlineStr">
        <is>
          <t>Depth: Decides what a capability verifies at which layer — contract tests at API seams, a thin E2E set for revenue paths — keeping the suite's runtime and flake rate inside budget. Scope: a capability's integration confidence.</t>
        </is>
      </c>
      <c r="I25" s="4" t="inlineStr">
        <is>
          <t>Depth: Establishes contract-testing and integration infrastructure across team boundaries — environments, seeded data, contract-test governance — so teams deploy independently without integration freezes. Scope: multiple teams' seams.</t>
        </is>
      </c>
      <c r="J25" s="4" t="inlineStr">
        <is>
          <t>Depth: Owns the org's pre-production confidence strategy, deciding the environment topology and what may only be verified in production behind flags. Scope: organization-wide.</t>
        </is>
      </c>
      <c r="K25" s="4" t="inlineStr">
        <is>
          <t>Depth: Accountable for company-level release-confidence architecture, including the economics of environments versus production-testing investment. Scope: company-wide.</t>
        </is>
      </c>
    </row>
    <row r="26">
      <c r="A26" s="4" t="inlineStr">
        <is>
          <t>Quality &amp; Testing</t>
        </is>
      </c>
      <c r="B26" s="4" t="inlineStr">
        <is>
          <t>Defect Response &amp; Prevention</t>
        </is>
      </c>
      <c r="C26" s="4" t="inlineStr">
        <is>
          <t>Debugging &amp; root-cause analysis</t>
        </is>
      </c>
      <c r="D26" s="6" t="inlineStr">
        <is>
          <t>SWE-06</t>
        </is>
      </c>
      <c r="E26" s="4" t="inlineStr">
        <is>
          <t>Zeller, Why Programs Fail (2009)</t>
        </is>
      </c>
      <c r="F26" s="4" t="inlineStr">
        <is>
          <t>Depth: Reproduces a bug reliably before changing code, isolating with logs, breakpoints, and browser devtools in either runtime, and asks for help with a written summary of what's ruled out. Scope: defects in their own changes.</t>
        </is>
      </c>
      <c r="G26" s="4" t="inlineStr">
        <is>
          <t>Depth: Traces defects across the stack unaided — UI symptom to network to service to query — stating a hypothesis before each experiment and using profilers to find hot paths instead of guessing. Scope: their component, wherever the cause lives.</t>
        </is>
      </c>
      <c r="H26" s="4" t="inlineStr">
        <is>
          <t>Depth: Is the debugger of last resort for a capability, cracking the intermittent, race-condition, and heisenbug class from heap snapshots, CPU profiles, and traces, and turns each root cause into a regression test and a prevention. Scope: the capability's hardest defects; others bring them the hard ones.</t>
        </is>
      </c>
      <c r="I26" s="4" t="inlineStr">
        <is>
          <t>Depth: Leads cross-team investigations where no single team can see the whole failure, building or standardizing the diagnostic tooling that shortens everyone's time-to-cause, and teaches the method while doing it. Scope: multiple teams' systems.</t>
        </is>
      </c>
      <c r="J26" s="4" t="inlineStr">
        <is>
          <t>Depth: Raises the organization's debugging capability — runbooks, tooling, teaching — so hard problems stop requiring them personally. Scope: organization-wide.</t>
        </is>
      </c>
      <c r="K26" s="4" t="inlineStr">
        <is>
          <t>Depth: Handles the company-critical unknowns — the defects with existential stakes — and grows the org's capacity to handle the next one without them. Scope: company-wide.</t>
        </is>
      </c>
    </row>
    <row r="27">
      <c r="A27" s="4" t="inlineStr">
        <is>
          <t>Quality &amp; Testing</t>
        </is>
      </c>
      <c r="B27" s="4" t="inlineStr">
        <is>
          <t>Defect Response &amp; Prevention</t>
        </is>
      </c>
      <c r="C27" s="4" t="inlineStr">
        <is>
          <t>Quality ownership &amp; prevention</t>
        </is>
      </c>
      <c r="D27" s="6" t="inlineStr">
        <is>
          <t>QA-14</t>
        </is>
      </c>
      <c r="E27" s="4" t="inlineStr">
        <is>
          <t>Forsgren, Humble &amp; Kim, Accelerate (2018) / DORA</t>
        </is>
      </c>
      <c r="F27" s="4" t="inlineStr">
        <is>
          <t>Depth: Verifies their own work before review — runs it, tests the unhappy paths, checks the acceptance criteria — rather than relying on reviewers to catch problems. Scope: their tasks.</t>
        </is>
      </c>
      <c r="G27" s="4" t="inlineStr">
        <is>
          <t>Depth: Monitors their changes after deploy and fixes what they broke without being asked, tracking their defects to closure. Scope: their features in production.</t>
        </is>
      </c>
      <c r="H27" s="4" t="inlineStr">
        <is>
          <t>Depth: Owns a capability's quality metrics — escaped defects, change failure rate — and changes the process, not just the code, when they slip. Scope: a capability's quality bar.</t>
        </is>
      </c>
      <c r="I27" s="4" t="inlineStr">
        <is>
          <t>Depth: Builds the quality gates and review standards several teams operate, and intervenes with data when a team's failure rate drifts. Scope: multiple teams.</t>
        </is>
      </c>
      <c r="J27" s="4" t="inlineStr">
        <is>
          <t>Depth: Owns org-level quality outcomes, reporting DORA-style metrics to leadership and directing the practice changes they imply. Scope: organization-wide.</t>
        </is>
      </c>
      <c r="K27" s="4" t="inlineStr">
        <is>
          <t>Depth: Sets the company's quality-vs-speed posture and is answerable for it in front of customers. Scope: company-wide.</t>
        </is>
      </c>
    </row>
    <row r="28">
      <c r="A28" s="4" t="inlineStr">
        <is>
          <t>Delivery &amp; Operations</t>
        </is>
      </c>
      <c r="B28" s="4" t="inlineStr">
        <is>
          <t>Delivery Pipeline</t>
        </is>
      </c>
      <c r="C28" s="4" t="inlineStr">
        <is>
          <t>Build &amp; CI pipelines</t>
        </is>
      </c>
      <c r="D28" s="6" t="inlineStr">
        <is>
          <t>OPS-02</t>
        </is>
      </c>
      <c r="E28" s="4" t="inlineStr">
        <is>
          <t>Forsgren, Humble &amp; Kim, Accelerate (2018) / DORA</t>
        </is>
      </c>
      <c r="F28" s="4" t="inlineStr">
        <is>
          <t>Depth: Keeps their branch green — reads CI failures to the root cause, reproduces them locally, and fixes them before asking for review; never merges on red. Scope: their own changes through the pipeline.</t>
        </is>
      </c>
      <c r="G28" s="4" t="inlineStr">
        <is>
          <t>Depth: Integrates small and often and fixes pipeline config for their area — adds checks, caches dependencies, parallelizes slow stages — treating a broken main build as their interrupt. Scope: their component's pipeline health.</t>
        </is>
      </c>
      <c r="H28" s="4" t="inlineStr">
        <is>
          <t>Depth: Owns pipeline health for a capability and keeps it fast — build times within budget, flakes quarantined with follow-through, gating on the checks that matter (types, lint, tests, bundle size) — treating a slow pipeline as an incident, not a fact of life. Scope: the capability's build/CI; consulted on pipeline design.</t>
        </is>
      </c>
      <c r="I28" s="4" t="inlineStr">
        <is>
          <t>Depth: Builds or overhauls the shared build platform (monorepo task graphs, remote caching, merge queues, affected-only builds) that keeps CI fast for many teams at once, measurably improving their lead time. Scope: multiple teams' delivery speed.</t>
        </is>
      </c>
      <c r="J28" s="4" t="inlineStr">
        <is>
          <t>Depth: Owns the org's delivery metrics and pipeline strategy, reporting DORA-style measures to leadership and directing investment at the biggest bottleneck. Scope: organization-wide.</t>
        </is>
      </c>
      <c r="K28" s="4" t="inlineStr">
        <is>
          <t>Depth: Sets company delivery strategy — build-vs-buy on CI, engineering-productivity investment — with the business case attached. Scope: company-wide.</t>
        </is>
      </c>
    </row>
    <row r="29">
      <c r="A29" s="4" t="inlineStr">
        <is>
          <t>Delivery &amp; Operations</t>
        </is>
      </c>
      <c r="B29" s="4" t="inlineStr">
        <is>
          <t>Delivery Pipeline</t>
        </is>
      </c>
      <c r="C29" s="4" t="inlineStr">
        <is>
          <t>Release &amp; deployment practices</t>
        </is>
      </c>
      <c r="D29" s="6" t="inlineStr">
        <is>
          <t>OPS-30</t>
        </is>
      </c>
      <c r="E29" s="4" t="inlineStr">
        <is>
          <t>Humble &amp; Farley, Continuous Delivery (2010)</t>
        </is>
      </c>
      <c r="F29" s="4" t="inlineStr">
        <is>
          <t>Depth: Follows the release process exactly — feature flags, staged rollout steps, verification checklists — and watches their change land in production, rolling back with guidance when needed. Scope: their own deploys.</t>
        </is>
      </c>
      <c r="G29" s="4" t="inlineStr">
        <is>
          <t>Depth: Ships behind feature flags with a rollback plan by default, monitors the rollout dashboards, rolls back on their own judgment when signals degrade, and writes migrations that tolerate both code versions running. Scope: releases of their component.</t>
        </is>
      </c>
      <c r="H29" s="4" t="inlineStr">
        <is>
          <t>Depth: Designs the rollout for risky changes — canary and progressive rollout criteria, migration sequencing, flag lifecycle, kill switches — and reviews others' rollout plans for blast radius; the person teams ask "how do we ship this safely?" Scope: release safety for a capability.</t>
        </is>
      </c>
      <c r="I29" s="4" t="inlineStr">
        <is>
          <t>Depth: Builds progressive-delivery machinery multiple teams release through (flag platform, automated canary analysis, automated rollback), retiring the deploy patterns that cause repeat incidents and raising deploy frequency measurably. Scope: multiple teams.</t>
        </is>
      </c>
      <c r="J29" s="4" t="inlineStr">
        <is>
          <t>Depth: Owns org release policy and its DORA metrics — freeze rules, rollout standards, environment strategy — and dismantles the process that adds ceremony without safety. Scope: organization-wide.</t>
        </is>
      </c>
      <c r="K29" s="4" t="inlineStr">
        <is>
          <t>Depth: Sets company policy for how software reaches customers — the risk posture products ship under — and defends it to executives, auditors, and regulators. Scope: company-wide.</t>
        </is>
      </c>
    </row>
    <row r="30">
      <c r="A30" s="4" t="inlineStr">
        <is>
          <t>Delivery &amp; Operations</t>
        </is>
      </c>
      <c r="B30" s="4" t="inlineStr">
        <is>
          <t>Delivery Pipeline</t>
        </is>
      </c>
      <c r="C30" s="4" t="inlineStr">
        <is>
          <t>Developer tooling &amp; environment</t>
        </is>
      </c>
      <c r="D30" s="6" t="inlineStr">
        <is>
          <t>OPS-27</t>
        </is>
      </c>
      <c r="E30" s="4" t="inlineStr">
        <is>
          <t>Winters, Manshreck &amp; Wright, Software Engineering at Google (2020)</t>
        </is>
      </c>
      <c r="F30" s="4" t="inlineStr">
        <is>
          <t>Depth: Sets up and operates the local dev environment from the docs, fixing their own environment problems before escalating and filing reproducible reports when tooling breaks. Scope: their own workflow.</t>
        </is>
      </c>
      <c r="G30" s="4" t="inlineStr">
        <is>
          <t>Depth: Improves the tooling friction they personally hit — a slow build, a missing lint rule, a stale README, a tsconfig fix — and upstreams the fix instead of working around it, upgrading dependencies safely with changelogs read before major bumps. Scope: their team's inner loop.</t>
        </is>
      </c>
      <c r="H30" s="4" t="inlineStr">
        <is>
          <t>Depth: Owns the developer experience of a capability's codebase — TS project references, bundler config, CI caching, lint/format automation, upgrade cadence — measuring dev-loop time before and after changes; new engineers ship in days because of it. Scope: a capability's toolchain.</t>
        </is>
      </c>
      <c r="I30" s="4" t="inlineStr">
        <is>
          <t>Depth: Designs the monorepo and shared-tooling layer multiple teams work inside, landing the risky upgrades (TypeScript majors, bundler swaps) with codemods and migration docs, and measures adoption rather than assuming it. Scope: multiple teams' toolchain.</t>
        </is>
      </c>
      <c r="J30" s="4" t="inlineStr">
        <is>
          <t>Depth: Drives org developer-productivity strategy with survey and telemetry data, owning the platform roadmap and its DX metrics. Scope: organization-wide.</t>
        </is>
      </c>
      <c r="K30" s="4" t="inlineStr">
        <is>
          <t>Depth: Makes the company's foundational tooling bets (build systems, repo topology, language and runtime upgrades, AI-assisted development posture). Scope: company-wide.</t>
        </is>
      </c>
    </row>
    <row r="31">
      <c r="A31" s="4" t="inlineStr">
        <is>
          <t>Delivery &amp; Operations</t>
        </is>
      </c>
      <c r="B31" s="4" t="inlineStr">
        <is>
          <t>Production Operations</t>
        </is>
      </c>
      <c r="C31" s="4" t="inlineStr">
        <is>
          <t>Observability &amp; monitoring</t>
        </is>
      </c>
      <c r="D31" s="6" t="inlineStr">
        <is>
          <t>OPS-05</t>
        </is>
      </c>
      <c r="E31" s="4" t="inlineStr">
        <is>
          <t>Beyer et al., Site Reliability Engineering (Google, 2016); Majors et al., Observability Engineering (2022)</t>
        </is>
      </c>
      <c r="F31" s="4" t="inlineStr">
        <is>
          <t>Depth: Finds their change's logs, metrics, traces, and browser error reports in the standard dashboards, and adds structured log lines with useful context per team conventions. Scope: observability of their own changes.</t>
        </is>
      </c>
      <c r="G31" s="4" t="inlineStr">
        <is>
          <t>Depth: Instruments their features across the stack before shipping — structured logs, metrics, trace spans that cross the client/server boundary — and answers "is it working?" from telemetry, not vibes. Scope: their component is debuggable from telemetry alone.</t>
        </is>
      </c>
      <c r="H31" s="4" t="inlineStr">
        <is>
          <t>Depth: Defines the SLIs/SLOs for a capability and builds alerts on symptoms, not causes — dashboards on-call actually uses — deleting noisy alerts as deliberately as adding signal, and rejects unobservable designs in review. Scope: the capability's observability posture; the person who makes outages diagnosable.</t>
        </is>
      </c>
      <c r="I31" s="4" t="inlineStr">
        <is>
          <t>Depth: Standardizes observability across teams — shared instrumentation libraries, trace propagation, log schema, alert-quality reviews — so cross-team incidents are traceable end to end, with measured pager-load reductions. Scope: multiple teams.</t>
        </is>
      </c>
      <c r="J31" s="4" t="inlineStr">
        <is>
          <t>Depth: Owns the org's observability strategy and SLO program, including its cost curve, making reliability legible to leadership. Scope: organization-wide.</t>
        </is>
      </c>
      <c r="K31" s="4" t="inlineStr">
        <is>
          <t>Depth: Sets company reliability-measurement standards and the external commitments (SLAs) grounded in them, answering for the telemetry bill and its value. Scope: company-wide.</t>
        </is>
      </c>
    </row>
    <row r="32">
      <c r="A32" s="4" t="inlineStr">
        <is>
          <t>Delivery &amp; Operations</t>
        </is>
      </c>
      <c r="B32" s="4" t="inlineStr">
        <is>
          <t>Production Operations</t>
        </is>
      </c>
      <c r="C32" s="4" t="inlineStr">
        <is>
          <t>Incident response &amp; postmortems</t>
        </is>
      </c>
      <c r="D32" s="6" t="inlineStr">
        <is>
          <t>OPS-06</t>
        </is>
      </c>
      <c r="E32" s="4" t="inlineStr">
        <is>
          <t>Beyer et al., Site Reliability Engineering (Google, 2016); Allspaw, blameless postmortems (2012)</t>
        </is>
      </c>
      <c r="F32" s="4" t="inlineStr">
        <is>
          <t>Depth: Follows the runbook during incidents, escalates early with a clear symptom report, and narrates what they see in the incident channel rather than debugging silently; contributes accurate timelines to postmortems while shadowing on-call. Scope: assists on incidents touching their tasks.</t>
        </is>
      </c>
      <c r="G32" s="4" t="inlineStr">
        <is>
          <t>Depth: Takes on-call for their component and mitigates common failures unaided, prioritizing user impact over root cause in the moment, communicating status on the expected cadence, and writing postmortems that name contributing causes, not culprits. Scope: first responder for their component.</t>
        </is>
      </c>
      <c r="H32" s="4" t="inlineStr">
        <is>
          <t>Depth: Runs incident command for a capability's severe incidents — coordinates responders, makes the mitigate-vs-diagnose call under pressure, communicates to stakeholders in their language — and drives postmortem actions to actual completion, not just filed. Scope: incident leadership for a capability; the calm one on the bridge.</t>
        </is>
      </c>
      <c r="I32" s="4" t="inlineStr">
        <is>
          <t>Depth: Commands incidents that cross team boundaries and fixes the systemic reliability problems recurring across teams' postmortems, coaching new incident commanders and upgrading the practice itself (severity taxonomy, review quality, on-call health). Scope: multi-team incidents and follow-through.</t>
        </is>
      </c>
      <c r="J32" s="4" t="inlineStr">
        <is>
          <t>Depth: Owns the org's incident program and learning loop — readiness, postmortem culture, error-budget policy — reviewing severity trends with leadership and directing reliability investment. Scope: organization-wide.</t>
        </is>
      </c>
      <c r="K32" s="4" t="inlineStr">
        <is>
          <t>Depth: Is accountable for company-level major-incident handling, including executive and customer communication and the credibility of the postmortem process after the worst days. Scope: company-wide.</t>
        </is>
      </c>
    </row>
    <row r="33">
      <c r="A33" s="4" t="inlineStr">
        <is>
          <t>Security</t>
        </is>
      </c>
      <c r="B33" s="4" t="inlineStr">
        <is>
          <t>Application Security</t>
        </is>
      </c>
      <c r="C33" s="4" t="inlineStr">
        <is>
          <t>Secure coding &amp; vulnerability prevention</t>
        </is>
      </c>
      <c r="D33" s="6" t="inlineStr">
        <is>
          <t>OPS-08</t>
        </is>
      </c>
      <c r="E33" s="4" t="inlineStr">
        <is>
          <t>OWASP Top 10 (2021) and the OWASP Cheat Sheet Series</t>
        </is>
      </c>
      <c r="F33" s="4" t="inlineStr">
        <is>
          <t>Depth: Uses the framework's safe defaults and never bypasses them — parameterized queries, escaping-by-default templates, no unreviewed `dangerouslySetInnerHTML`, no secrets in code, logs, or client bundles — and names the OWASP Top 10 risks their change touches. Scope: their own changes.</t>
        </is>
      </c>
      <c r="G33" s="4" t="inlineStr">
        <is>
          <t>Depth: Prevents the common vulnerability classes by construction — XSS, injection, CSRF, SSRF — validating input at trust boundaries with schemas, handling tokens and cookies correctly (HttpOnly/SameSite), and fixing scanner findings without being chased. Scope: their component's attack surface.</t>
        </is>
      </c>
      <c r="H33" s="4" t="inlineStr">
        <is>
          <t>Depth: Catches vulnerabilities in review that scanners miss — authz gaps, unsafe deserialization, SSRF paths, XSS-shaped patterns — turning each finding into a guardrail (lint rule, safe wrapper, doc), and owns the capability's browser-side posture (CSP, third-party script trust, session architecture). Scope: the security bar for a capability; the pre-review security teams ask for.</t>
        </is>
      </c>
      <c r="I33" s="4" t="inlineStr">
        <is>
          <t>Depth: Builds secure-by-default platform pieces multiple teams inherit (auth libraries, CSP baselines, input-validation layers, paved-path middleware) and drives remediation campaigns across codebases when pentests find systemic issues. Scope: multiple teams.</t>
        </is>
      </c>
      <c r="J33" s="4" t="inlineStr">
        <is>
          <t>Depth: Sets the org's secure-development standard with the security function — standards, training, tooling, review gates — reporting measurable risk posture to leadership. Scope: organization-wide.</t>
        </is>
      </c>
      <c r="K33" s="4" t="inlineStr">
        <is>
          <t>Depth: Owns company product-security strategy from the engineering side, accountable in audits, incidents, and board-level risk conversations. Scope: company-wide.</t>
        </is>
      </c>
    </row>
    <row r="34">
      <c r="A34" s="4" t="inlineStr">
        <is>
          <t>Security</t>
        </is>
      </c>
      <c r="B34" s="4" t="inlineStr">
        <is>
          <t>Application Security</t>
        </is>
      </c>
      <c r="C34" s="4" t="inlineStr">
        <is>
          <t>Authentication, authorization &amp; data protection</t>
        </is>
      </c>
      <c r="D34" s="6" t="inlineStr">
        <is>
          <t>BE-15</t>
        </is>
      </c>
      <c r="E34" s="4" t="inlineStr">
        <is>
          <t>OWASP ASVS 4.0 and NIST SP 800-63</t>
        </is>
      </c>
      <c r="F34" s="4" t="inlineStr">
        <is>
          <t>Depth: Uses the existing auth middleware and permission checks correctly, never rolling their own crypto or token handling, and checks authorization on the server, never only in the UI. Scope: the auth touchpoints of their tasks.</t>
        </is>
      </c>
      <c r="G34" s="4" t="inlineStr">
        <is>
          <t>Depth: Implements authorization server-side on every path the UI hides — object-level, not just route-level — tests the negative cases (wrong user, expired session, escalation attempts), and handles tokens, sessions, secrets, and PII per policy without reminders. Scope: access control in components they own.</t>
        </is>
      </c>
      <c r="H34" s="4" t="inlineStr">
        <is>
          <t>Depth: Designs the access-control model for a capability — roles, resource ownership, tenant isolation, audit trails — documents it, and probes designs for privilege-escalation and data-exposure paths before build; others bring their authorization edge cases to this person. Scope: the capability's identity and data-protection design; the reviewer for permission changes.</t>
        </is>
      </c>
      <c r="I34" s="4" t="inlineStr">
        <is>
          <t>Depth: Owns shared identity and authorization infrastructure multiple teams build on (session services, permission frameworks, SSO integration) and leads migrations off legacy schemes without lockouts. Scope: multiple teams.</t>
        </is>
      </c>
      <c r="J34" s="4" t="inlineStr">
        <is>
          <t>Depth: Sets the org's identity, access, and data-protection architecture, treating compliance regimes as engineering requirements and verifying enforcement holds in practice. Scope: organization-wide.</t>
        </is>
      </c>
      <c r="K34" s="4" t="inlineStr">
        <is>
          <t>Depth: Makes company-level trust-architecture bets (identity platform, encryption posture, data-residency design) and stands behind them with regulators and enterprise customers. Scope: company-wide.</t>
        </is>
      </c>
    </row>
    <row r="35">
      <c r="A35" s="4" t="inlineStr">
        <is>
          <t>Security</t>
        </is>
      </c>
      <c r="B35" s="4" t="inlineStr">
        <is>
          <t>Application Security</t>
        </is>
      </c>
      <c r="C35" s="4" t="inlineStr">
        <is>
          <t>Threat modeling &amp; security review</t>
        </is>
      </c>
      <c r="D35" s="6" t="inlineStr">
        <is>
          <t>SEC-05</t>
        </is>
      </c>
      <c r="E35" s="4" t="inlineStr">
        <is>
          <t>Shostack, Threat Modeling: Designing for Security (2014)</t>
        </is>
      </c>
      <c r="F35" s="4" t="inlineStr">
        <is>
          <t>Depth: Answers "what could go wrong here?" about their change when asked, and flags anything touching auth, money, or PII for extra review. Scope: assigned tasks.</t>
        </is>
      </c>
      <c r="G35" s="4" t="inlineStr">
        <is>
          <t>Depth: Raises abuse cases in design discussions unprompted — enumeration, replay, object-level access mistakes — for features they own. Scope: components they own.</t>
        </is>
      </c>
      <c r="H35" s="4" t="inlineStr">
        <is>
          <t>Depth: Runs lightweight threat models for a capability's significant designs, records the accepted risks, and makes security review a standing part of its design process. Scope: a capability's designs.</t>
        </is>
      </c>
      <c r="I35" s="4" t="inlineStr">
        <is>
          <t>Depth: Facilitates threat modeling across teams and trains engineers to run their own, focusing effort on the highest-value targets. Scope: multiple teams' design practice.</t>
        </is>
      </c>
      <c r="J35" s="4" t="inlineStr">
        <is>
          <t>Depth: Owns the org's security-review program and risk register, deciding where scrutiny concentrates. Scope: organization-wide.</t>
        </is>
      </c>
      <c r="K35" s="4" t="inlineStr">
        <is>
          <t>Depth: Shapes company security posture with threat-informed strategy presented at the executive level. Scope: company-wide.</t>
        </is>
      </c>
    </row>
    <row r="36">
      <c r="A36" s="4" t="inlineStr">
        <is>
          <t>Security</t>
        </is>
      </c>
      <c r="B36" s="4" t="inlineStr">
        <is>
          <t>Supply Chain &amp; Data Protection</t>
        </is>
      </c>
      <c r="C36" s="4" t="inlineStr">
        <is>
          <t>Dependency &amp; supply-chain hygiene</t>
        </is>
      </c>
      <c r="D36" s="6" t="inlineStr">
        <is>
          <t>SEC-09</t>
        </is>
      </c>
      <c r="E36" s="4" t="inlineStr">
        <is>
          <t>OpenSSF SLSA framework; OWASP Top 10 A06</t>
        </is>
      </c>
      <c r="F36" s="4" t="inlineStr">
        <is>
          <t>Depth: Adds dependencies only through the team's vetting process, keeps lockfiles committed and clean, and acts on automated vulnerability alerts for their changes. Scope: dependencies their tasks touch.</t>
        </is>
      </c>
      <c r="G36" s="4" t="inlineStr">
        <is>
          <t>Depth: Evaluates a package before adopting it — maintenance health, size, license, transitive surface, alternatives including writing it themselves — and keeps the components they own patched without being chased. Scope: their component's dependency tree.</t>
        </is>
      </c>
      <c r="H36" s="4" t="inlineStr">
        <is>
          <t>Depth: Owns the dependency posture of a capability — upgrade cadence, pinning strategy, CVE triage by real exploitability, pruning abandoned packages before they bite — and leads its major framework and runtime upgrades. Scope: a capability's supply chain.</t>
        </is>
      </c>
      <c r="I36" s="4" t="inlineStr">
        <is>
          <t>Depth: Builds supply-chain tooling and policy multiple teams follow (allowlists, automated updates, provenance checks, internal registries) and coordinates response when a shared dependency is compromised. Scope: multiple teams.</t>
        </is>
      </c>
      <c r="J36" s="4" t="inlineStr">
        <is>
          <t>Depth: Sets org supply-chain security posture — SBOM practice, artifact signing, build integrity, vendor risk — with compliance and security functions, reporting exposure to leadership. Scope: organization-wide.</t>
        </is>
      </c>
      <c r="K36" s="4" t="inlineStr">
        <is>
          <t>Depth: Owns company software supply-chain strategy and represents it to customers and auditors. Scope: company-wide.</t>
        </is>
      </c>
    </row>
    <row r="37">
      <c r="A37" s="4" t="inlineStr">
        <is>
          <t>Security</t>
        </is>
      </c>
      <c r="B37" s="4" t="inlineStr">
        <is>
          <t>Supply Chain &amp; Data Protection</t>
        </is>
      </c>
      <c r="C37" s="4" t="inlineStr">
        <is>
          <t>Data protection &amp; privacy</t>
        </is>
      </c>
      <c r="D37" s="6" t="inlineStr">
        <is>
          <t>OPS-09</t>
        </is>
      </c>
      <c r="E37" s="4" t="inlineStr">
        <is>
          <t>GDPR Art. 25; Cavoukian, Privacy by Design (2009)</t>
        </is>
      </c>
      <c r="F37" s="4" t="inlineStr">
        <is>
          <t>Depth: Handles personal data per the team's rules — no PII in logs, URLs, or analytics, no secrets in code or client bundles — and asks before adding any new data collection. Scope: data their tasks handle.</t>
        </is>
      </c>
      <c r="G37" s="4" t="inlineStr">
        <is>
          <t>Depth: Applies minimization by default in their features — collects only what's needed, encrypts what the standard requires, keeps PII out of client caches and telemetry, applies retention rules without prompting. Scope: data handled by components they own.</t>
        </is>
      </c>
      <c r="H37" s="4" t="inlineStr">
        <is>
          <t>Depth: Owns the data-protection design of a capability — classification, encryption expectations, retention, deletion paths that actually delete — and catches privacy problems in design review before legal has to. Scope: a capability's personal-data footprint.</t>
        </is>
      </c>
      <c r="I37" s="4" t="inlineStr">
        <is>
          <t>Depth: Builds privacy-preserving infrastructure multiple teams rely on (deletion pipelines, consent propagation, PII-safe logging libraries) and remediates cross-team data-handling gaps. Scope: multiple teams.</t>
        </is>
      </c>
      <c r="J37" s="4" t="inlineStr">
        <is>
          <t>Depth: Owns the org's privacy engineering program with legal and security, translating regulation into platform defaults teams can follow. Scope: organization-wide.</t>
        </is>
      </c>
      <c r="K37" s="4" t="inlineStr">
        <is>
          <t>Depth: Shapes company data strategy where product value and privacy obligations trade off, and answers for it to regulators and customers. Scope: company-wide.</t>
        </is>
      </c>
    </row>
    <row r="38">
      <c r="A38" s="4" t="inlineStr">
        <is>
          <t>Collaboration &amp; Communication</t>
        </is>
      </c>
      <c r="B38" s="4" t="inlineStr">
        <is>
          <t>Communication</t>
        </is>
      </c>
      <c r="C38" s="4" t="inlineStr">
        <is>
          <t>Technical writing &amp; documentation</t>
        </is>
      </c>
      <c r="D38" s="6" t="inlineStr">
        <is>
          <t>CC-02</t>
        </is>
      </c>
      <c r="E38" s="4" t="inlineStr">
        <is>
          <t>Winters, Manshreck &amp; Wright, Software Engineering at Google (2020); Procida, Diataxis</t>
        </is>
      </c>
      <c r="F38" s="4" t="inlineStr">
        <is>
          <t>Depth: Writes PR descriptions, bug reports, and status updates a reviewer can act on without asking questions, and updates the docs their change makes stale. Scope: documentation of their own work.</t>
        </is>
      </c>
      <c r="G38" s="4" t="inlineStr">
        <is>
          <t>Depth: Documents their features so the next engineer needs no meeting — READMEs, runbooks, ADR-style decision notes stating problem, options, and choice — matched to the reader, not the writer. Scope: their component's documentation.</t>
        </is>
      </c>
      <c r="H38" s="4" t="inlineStr">
        <is>
          <t>Depth: Writes design docs that anchor a capability's decisions — conclusion first, alternatives named, trade-offs argued, open questions explicit — that get cited months later, and edits others' docs to sharpen the argument, not the grammar. Scope: the capability's written record; their docs are the onboarding path.</t>
        </is>
      </c>
      <c r="I38" s="4" t="inlineStr">
        <is>
          <t>Depth: Writes the RFCs and strategy docs that align multiple teams on contested decisions, framing trade-offs so disagreement is about substance, not confusion, structured so busy readers reach the decision point fast. Scope: multi-team decision documents.</t>
        </is>
      </c>
      <c r="J38" s="4" t="inlineStr">
        <is>
          <t>Depth: Writes the strategy and standards documents the organization executes against, legible to both engineers and executives, and raises the org's documentation bar by example. Scope: organization-wide.</t>
        </is>
      </c>
      <c r="K38" s="4" t="inlineStr">
        <is>
          <t>Depth: Writes the company-defining technical narratives — public engineering posts, architecture visions, board-level briefs — that survive scrutiny from the board, customers, and the industry. Scope: company-wide and external.</t>
        </is>
      </c>
    </row>
    <row r="39">
      <c r="A39" s="4" t="inlineStr">
        <is>
          <t>Collaboration &amp; Communication</t>
        </is>
      </c>
      <c r="B39" s="4" t="inlineStr">
        <is>
          <t>Communication</t>
        </is>
      </c>
      <c r="C39" s="4" t="inlineStr">
        <is>
          <t>Stakeholder communication</t>
        </is>
      </c>
      <c r="D39" s="6" t="inlineStr">
        <is>
          <t>CC-01</t>
        </is>
      </c>
      <c r="E39" s="4" t="inlineStr">
        <is>
          <t>Larson, Staff Engineer (2021)</t>
        </is>
      </c>
      <c r="F39" s="4" t="inlineStr">
        <is>
          <t>Depth: Gives accurate, honest status in standups and tickets — says what's blocked and what's at risk instead of "almost done." Scope: their own work's visibility.</t>
        </is>
      </c>
      <c r="G39" s="4" t="inlineStr">
        <is>
          <t>Depth: Explains their technical work to non-engineers in outcome terms and warns stakeholders of slips as soon as they know, with a revised plan attached. Scope: their component's stakeholders.</t>
        </is>
      </c>
      <c r="H39" s="4" t="inlineStr">
        <is>
          <t>Depth: Translates a capability's technical state for any audience — risk for product, cost for finance-minded leaders, options for executives — and runs the meetings where those audiences decide. Scope: a capability's external interface.</t>
        </is>
      </c>
      <c r="I39" s="4" t="inlineStr">
        <is>
          <t>Depth: Keeps multiple teams' stakeholders aligned through change — reorganizations, migrations, slipped bets — with communication others cite as the reason it went smoothly. Scope: multi-team programs.</t>
        </is>
      </c>
      <c r="J39" s="4" t="inlineStr">
        <is>
          <t>Depth: Represents engineering reality to org leadership in planning and crisis alike, and is trusted to do so unfiltered. Scope: organization-wide.</t>
        </is>
      </c>
      <c r="K39" s="4" t="inlineStr">
        <is>
          <t>Depth: Represents the company's technology externally — customers, partners, boards — without overclaiming. Scope: company-wide.</t>
        </is>
      </c>
    </row>
    <row r="40">
      <c r="A40" s="4" t="inlineStr">
        <is>
          <t>Collaboration &amp; Communication</t>
        </is>
      </c>
      <c r="B40" s="4" t="inlineStr">
        <is>
          <t>Communication</t>
        </is>
      </c>
      <c r="C40" s="4" t="inlineStr">
        <is>
          <t>Technical discussion &amp; decision-making</t>
        </is>
      </c>
      <c r="D40" s="6" t="inlineStr">
        <is>
          <t>CC-05</t>
        </is>
      </c>
      <c r="E40" s="4" t="inlineStr">
        <is>
          <t>Nygard, Documenting Architecture Decisions (2011)</t>
        </is>
      </c>
      <c r="F40" s="4" t="inlineStr">
        <is>
          <t>Depth: Asks questions in design discussions that clarify rather than derail, and states their own view with its reasoning when asked. Scope: team discussions.</t>
        </is>
      </c>
      <c r="G40" s="4" t="inlineStr">
        <is>
          <t>Depth: Argues positions from evidence and drops them gracefully when out-argued, committing visibly to decisions they disagreed with. Scope: their component's decisions.</t>
        </is>
      </c>
      <c r="H40" s="4" t="inlineStr">
        <is>
          <t>Depth: Facilitates decisions rather than winning them — surfacing the quiet dissent, timeboxing the debate, recording the outcome and its rationale where the next person will find it. Scope: capability decision-making.</t>
        </is>
      </c>
      <c r="I40" s="4" t="inlineStr">
        <is>
          <t>Depth: Brokers technical decisions between teams with conflicting interests, finding the option that unblocks both and getting explicit commitment from each. Scope: cross-team.</t>
        </is>
      </c>
      <c r="J40" s="4" t="inlineStr">
        <is>
          <t>Depth: Designs the org's technical decision-making mechanisms (review boards, RFC processes) so decisions are fast, owned, and durable. Scope: organization-wide.</t>
        </is>
      </c>
      <c r="K40" s="4" t="inlineStr">
        <is>
          <t>Depth: Carries the company's hardest technical calls to conclusion, aligning executives and engineering when they disagree. Scope: company-wide.</t>
        </is>
      </c>
    </row>
    <row r="41">
      <c r="A41" s="4" t="inlineStr">
        <is>
          <t>Collaboration &amp; Communication</t>
        </is>
      </c>
      <c r="B41" s="4" t="inlineStr">
        <is>
          <t>Teamwork</t>
        </is>
      </c>
      <c r="C41" s="4" t="inlineStr">
        <is>
          <t>Feedback &amp; candor</t>
        </is>
      </c>
      <c r="D41" s="6" t="inlineStr">
        <is>
          <t>CC-04</t>
        </is>
      </c>
      <c r="E41" s="4" t="inlineStr">
        <is>
          <t>Scott, Radical Candor (2017); Edmondson, The Fearless Organization (2018)</t>
        </is>
      </c>
      <c r="F41" s="4" t="inlineStr">
        <is>
          <t>Depth: Receives feedback without defensiveness and acts on it visibly; thanks reviewers for hard comments, asks clarifying questions instead of relitigating, and says so when something seems wrong rather than staying silent. Scope: their own working relationships.</t>
        </is>
      </c>
      <c r="G41" s="4" t="inlineStr">
        <is>
          <t>Depth: Gives peers direct, kind, specific feedback near the moment — in review, retros, and one-on-ones — following up on whether it landed, and raises team-process problems with a proposed fix. Scope: their team.</t>
        </is>
      </c>
      <c r="H41" s="4" t="inlineStr">
        <is>
          <t>Depth: Names the uncomfortable thing in the room — a slipping standard, a struggling teammate, a design being talked around — early and in a way people can hear, and models receiving hard feedback publicly. Scope: the team's candor bar; others speak up because they do.</t>
        </is>
      </c>
      <c r="I41" s="4" t="inlineStr">
        <is>
          <t>Depth: Gives feedback across team and level boundaries, including upward to leaders whose decisions are not working and to senior engineers nobody else will, repairing cross-team frictions before they become escalations. Scope: multiple teams.</t>
        </is>
      </c>
      <c r="J41" s="4" t="inlineStr">
        <is>
          <t>Depth: Builds feedback culture deliberately across the org — coaching senior engineers on candor, intervening where silence has become the norm, and challenging org-level decisions on the record so others can too. Scope: organization-wide.</t>
        </is>
      </c>
      <c r="K41" s="4" t="inlineStr">
        <is>
          <t>Depth: Tells company leadership the truths no one else will, with the evidence, standing, and framing to change the outcome. Scope: company-wide.</t>
        </is>
      </c>
    </row>
    <row r="42">
      <c r="A42" s="4" t="inlineStr">
        <is>
          <t>Collaboration &amp; Communication</t>
        </is>
      </c>
      <c r="B42" s="4" t="inlineStr">
        <is>
          <t>Teamwork</t>
        </is>
      </c>
      <c r="C42" s="4" t="inlineStr">
        <is>
          <t>Cross-functional collaboration</t>
        </is>
      </c>
      <c r="D42" s="6" t="inlineStr">
        <is>
          <t>CC-03</t>
        </is>
      </c>
      <c r="E42" s="4" t="inlineStr">
        <is>
          <t>Cagan, Inspired, 2nd ed. (2018); Skelton &amp; Pais, Team Topologies (2019)</t>
        </is>
      </c>
      <c r="F42" s="4" t="inlineStr">
        <is>
          <t>Depth: Asks clarifying questions about acceptance criteria before building, flags when a mock is ambiguous or technically awkward rather than guessing, and raises blockers the day they appear. Scope: their assigned work.</t>
        </is>
      </c>
      <c r="G42" s="4" t="inlineStr">
        <is>
          <t>Depth: Engages design and product early, working from problem statements rather than just tickets — flags technical constraints while alternatives are still cheap and translates engineering trade-offs into terms partners can decide on. Scope: their feature's cross-functional loop.</t>
        </is>
      </c>
      <c r="H42" s="4" t="inlineStr">
        <is>
          <t>Depth: Operates as the engineering counterpart to product and design for a capability — negotiates scope with data, shapes the roadmap with technical possibility rather than feasibility vetoes, and disagrees-and-commits visibly. Scope: cross-functional voice of a capability.</t>
        </is>
      </c>
      <c r="I42" s="4" t="inlineStr">
        <is>
          <t>Depth: Untangles cross-team dependency knots, clarifying interaction modes and ownership so teams stop blocking each other, keeping decisions made in one room honored in the others. Scope: multiple teams and their stakeholders.</t>
        </is>
      </c>
      <c r="J42" s="4" t="inlineStr">
        <is>
          <t>Depth: Designs the org's team boundaries and interaction patterns with leadership, applying cognitive-load reasoning to reorganizations and partnering with product leadership on the roadmap. Scope: organization-wide.</t>
        </is>
      </c>
      <c r="K42" s="4" t="inlineStr">
        <is>
          <t>Depth: Aligns engineering with company strategy across functions, trusted by product, design, and executive peers as a co-owner of outcomes. Scope: company-wide.</t>
        </is>
      </c>
    </row>
    <row r="43">
      <c r="A43" s="4" t="inlineStr">
        <is>
          <t>Leadership &amp; Business Impact</t>
        </is>
      </c>
      <c r="B43" s="4" t="inlineStr">
        <is>
          <t>Growing People &amp; Direction</t>
        </is>
      </c>
      <c r="C43" s="4" t="inlineStr">
        <is>
          <t>Mentoring &amp; growing engineers</t>
        </is>
      </c>
      <c r="D43" s="6" t="inlineStr">
        <is>
          <t>LI-01</t>
        </is>
      </c>
      <c r="E43" s="4" t="inlineStr">
        <is>
          <t>Larson, StaffEng (2021); Fournier, The Manager's Path (2017)</t>
        </is>
      </c>
      <c r="F43" s="4" t="inlineStr">
        <is>
          <t>Depth: Asks questions in public channels so the answers help others, improves the onboarding docs as they onboard, and helps the next new person with what they just learned. Scope: peer-to-peer help; their own onboarding, made reusable.</t>
        </is>
      </c>
      <c r="G43" s="4" t="inlineStr">
        <is>
          <t>Depth: Onboards new teammates and unblocks juniors day to day — pairing generously, explaining the why behind conventions rather than just the rules — without doing the work for them. Scope: individuals on their team.</t>
        </is>
      </c>
      <c r="H43" s="4" t="inlineStr">
        <is>
          <t>Depth: Mentors engineers deliberately toward independence — stretch tasks with a safety net, growth-oriented review comments, career conversations, questions rather than answers — with mentees whose progression is visible to others. Scope: the team's default mentor; grows engineers across the capability.</t>
        </is>
      </c>
      <c r="I43" s="4" t="inlineStr">
        <is>
          <t>Depth: Grows senior engineers into capability owners — sponsoring them into visible problems, coaching their design judgment through rather than taking over — and creates the structures (guilds, review rotations, design shadowing) where mentoring happens without them. Scope: multiple teams' bench strength.</t>
        </is>
      </c>
      <c r="J43" s="4" t="inlineStr">
        <is>
          <t>Depth: Builds the org's talent-growth machinery — mentoring programs, promotion-calibration input, technical curricula, the hiring bar — and grows the next staff engineers, sponsoring rather than just advising. Scope: organization-wide.</t>
        </is>
      </c>
      <c r="K43" s="4" t="inlineStr">
        <is>
          <t>Depth: Develops the company's senior technical bench — shaping who its next principals are and what excellence means here — and is the mentor its top engineers seek out. Scope: company-wide.</t>
        </is>
      </c>
    </row>
    <row r="44">
      <c r="A44" s="4" t="inlineStr">
        <is>
          <t>Leadership &amp; Business Impact</t>
        </is>
      </c>
      <c r="B44" s="4" t="inlineStr">
        <is>
          <t>Growing People &amp; Direction</t>
        </is>
      </c>
      <c r="C44" s="4" t="inlineStr">
        <is>
          <t>Technical direction &amp; influence</t>
        </is>
      </c>
      <c r="D44" s="6" t="inlineStr">
        <is>
          <t>LI-03</t>
        </is>
      </c>
      <c r="E44" s="4" t="inlineStr">
        <is>
          <t>Larson, Staff Engineer: Leadership Beyond the Management Track (2021)</t>
        </is>
      </c>
      <c r="F44" s="4" t="inlineStr">
        <is>
          <t>Depth: Drives their own tasks to done — chases reviews, resolves ambiguity by asking, raises risks early, and proposes next steps rather than waiting for assignment. Scope: self-leadership.</t>
        </is>
      </c>
      <c r="G44" s="4" t="inlineStr">
        <is>
          <t>Depth: Leads small efforts they're part of and drives small technical decisions to conclusion — proposes, gathers input, decides or escalates — rather than letting them drift. Scope: leads work within their team.</t>
        </is>
      </c>
      <c r="H44" s="4" t="inlineStr">
        <is>
          <t>Depth: Sets technical direction for a capability others follow voluntarily — a vision people can repeat, work broken down and sequenced risk-first, the team unblocked, contested decisions landed by argument rather than seniority. This is the terminal-level bar: sustained excellence here is a complete career. Scope: technical lead for a capability and its contributors.</t>
        </is>
      </c>
      <c r="I44" s="4" t="inlineStr">
        <is>
          <t>Depth: Aligns multiple teams on a technical direction none of them owns alone — builds the coalition, does the 1:1 persuasion and the written case, absorbs the disagreement, and stays accountable through delivery. Scope: multi-team initiatives.</t>
        </is>
      </c>
      <c r="J44" s="4" t="inlineStr">
        <is>
          <t>Depth: Sets technical direction an organization executes against — picks the few bets that matter, kills zombie projects, chooses what not to do as visibly as what to do — and gets it resourced. Scope: organization-wide.</t>
        </is>
      </c>
      <c r="K44" s="4" t="inlineStr">
        <is>
          <t>Depth: Sets company technical direction with the executive team — the bets, the narrative, and the accountability for them — carried credibly to boards, customers, and the industry. Scope: company-wide.</t>
        </is>
      </c>
    </row>
    <row r="45">
      <c r="A45" s="4" t="inlineStr">
        <is>
          <t>Leadership &amp; Business Impact</t>
        </is>
      </c>
      <c r="B45" s="4" t="inlineStr">
        <is>
          <t>Product &amp; Business Impact</t>
        </is>
      </c>
      <c r="C45" s="4" t="inlineStr">
        <is>
          <t>Product thinking</t>
        </is>
      </c>
      <c r="D45" s="6" t="inlineStr">
        <is>
          <t>PD-06</t>
        </is>
      </c>
      <c r="E45" s="4" t="inlineStr">
        <is>
          <t>Cagan, Inspired, 2nd ed. (2018)</t>
        </is>
      </c>
      <c r="F45" s="4" t="inlineStr">
        <is>
          <t>Depth: Explains who uses the feature they're building and why it matters in their own words, tries their own change as a user before calling it done, and flags when a spec seems to contradict the user's goal. Scope: the features they touch.</t>
        </is>
      </c>
      <c r="G45" s="4" t="inlineStr">
        <is>
          <t>Depth: Uses product analytics and user feedback on features they ship — checks whether the thing worked, not just whether it deployed — and proposes simpler versions that deliver the same outcome. Scope: outcomes of the features they own.</t>
        </is>
      </c>
      <c r="H45" s="4" t="inlineStr">
        <is>
          <t>Depth: Contributes to discovery, not just delivery — prototypes to de-risk, brings usage data and user pain to planning, challenges requirements with evidence, and kills their own pet solutions when the data says so. Scope: product partner for a capability; knows its user metrics cold.</t>
        </is>
      </c>
      <c r="I45" s="4" t="inlineStr">
        <is>
          <t>Depth: Spots the product opportunities and risks that only cross-team technical vantage reveals, killing or redirecting initiatives early with evidence rather than late with delivery pain. Scope: multi-team product surface.</t>
        </is>
      </c>
      <c r="J45" s="4" t="inlineStr">
        <is>
          <t>Depth: Influences org product strategy with technical possibility — opening options product didn't know were cheap and closing ones that look cheap but aren't — as a peer to product leadership. Scope: organization-wide.</t>
        </is>
      </c>
      <c r="K45" s="4" t="inlineStr">
        <is>
          <t>Depth: Shapes company product direction through technology bets, spotting the platform shifts that change the business. Scope: company-wide.</t>
        </is>
      </c>
    </row>
    <row r="46">
      <c r="A46" s="4" t="inlineStr">
        <is>
          <t>Leadership &amp; Business Impact</t>
        </is>
      </c>
      <c r="B46" s="4" t="inlineStr">
        <is>
          <t>Product &amp; Business Impact</t>
        </is>
      </c>
      <c r="C46" s="4" t="inlineStr">
        <is>
          <t>Scoping, prioritization &amp; estimation</t>
        </is>
      </c>
      <c r="D46" s="6" t="inlineStr">
        <is>
          <t>PD-02</t>
        </is>
      </c>
      <c r="E46" s="4" t="inlineStr">
        <is>
          <t>McConnell, Software Estimation (2006); Reinertsen, Product Development Flow (2009)</t>
        </is>
      </c>
      <c r="F46" s="4" t="inlineStr">
        <is>
          <t>Depth: Breaks their tasks into day-sized pieces, flags slips the day they're known, and finishes what they start — working the agreed priority order rather than the interesting order. Scope: their own task queue.</t>
        </is>
      </c>
      <c r="G46" s="4" t="inlineStr">
        <is>
          <t>Depth: Slices features into thin vertical increments that ship value early — decomposing across frontend, backend, and migration work — estimates with stated assumptions, distinguishes must-have from nice-to-have, and says no to scope creep with a reason. Scope: delivery of their component.</t>
        </is>
      </c>
      <c r="H46" s="4" t="inlineStr">
        <is>
          <t>Depth: Sequences a capability's work by expected impact, risk, and cost of delay — hardest unknowns first, states what they're deliberately not doing — and is trusted to trade quality, scope, and time inside the capability without escalation; their estimates are the ones planning trusts. Scope: a capability's outcomes, not its output.</t>
        </is>
      </c>
      <c r="I46" s="4" t="inlineStr">
        <is>
          <t>Depth: De-risks and rebalances multi-team programs — finds the critical path across teams, keeps every team's slice independently shippable, and cancels or shrinks initiatives with sunk costs when the math says to. Scope: multi-team programs and portfolios.</t>
        </is>
      </c>
      <c r="J46" s="4" t="inlineStr">
        <is>
          <t>Depth: Shapes org-level investment allocation — product vs. platform vs. paydown, honest capacity math, the mechanisms that keep commitments credible — with the economic case written down. Scope: organization-wide.</t>
        </is>
      </c>
      <c r="K46" s="4" t="inlineStr">
        <is>
          <t>Depth: Answers for the company's biggest technical commitments — to the board, to customers — re-planning publicly when reality changes; their read on feasibility is treated as load-bearing. Scope: company-wide.</t>
        </is>
      </c>
    </row>
    <row r="47">
      <c r="A47" s="4" t="inlineStr">
        <is>
          <t>Leadership &amp; Business Impact</t>
        </is>
      </c>
      <c r="B47" s="4" t="inlineStr">
        <is>
          <t>Product &amp; Business Impact</t>
        </is>
      </c>
      <c r="C47" s="4" t="inlineStr">
        <is>
          <t>Strategic &amp; commercial awareness</t>
        </is>
      </c>
      <c r="D47" s="6" t="inlineStr">
        <is>
          <t>PD-07</t>
        </is>
      </c>
      <c r="E47" s="4" t="inlineStr">
        <is>
          <t>Rumelt, Good Strategy Bad Strategy (2011)</t>
        </is>
      </c>
      <c r="F47" s="4" t="inlineStr">
        <is>
          <t>Depth: Can state what business outcome their current task serves — and how their team's work makes or saves money — asking when they can't; treats cloud and license costs as real. Scope: awareness of their team's context.</t>
        </is>
      </c>
      <c r="G47" s="4" t="inlineStr">
        <is>
          <t>Depth: Checks whether shipped work actually moved its metric and says so plainly when it didn't, weighing cost — infra spend, build-vs-buy for small tools, maintenance burden — in the technical choices they own. Scope: outcomes of their features.</t>
        </is>
      </c>
      <c r="H47" s="4" t="inlineStr">
        <is>
          <t>Depth: Frames a capability's technical decisions in business terms — cost of delay, revenue risk, infra spend, support load, unit economics — pushing back on work with weak business rationale and redirecting effort when the numbers say the plan is wrong. Scope: business results of a capability.</t>
        </is>
      </c>
      <c r="I47" s="4" t="inlineStr">
        <is>
          <t>Depth: Builds the business case for the multi-team technical investments with the largest return and is trusted by directors to have done the math. Scope: multi-team investment cases.</t>
        </is>
      </c>
      <c r="J47" s="4" t="inlineStr">
        <is>
          <t>Depth: Aligns org technical strategy with the company's economics — cost curves, velocity, risk — owning trade-offs measured in headcount-years and reported in the business's own terms. Scope: organization-wide.</t>
        </is>
      </c>
      <c r="K47" s="4" t="inlineStr">
        <is>
          <t>Depth: Advises company leadership on where technology changes the business model, and is accountable for company-level technology bets paying off — treated by the executive team as a peer on business strategy. Scope: company-wide.</t>
        </is>
      </c>
    </row>
    <row r="48">
      <c r="A48" s="4" t="inlineStr">
        <is>
          <t>Leadership &amp; Business Impact</t>
        </is>
      </c>
      <c r="B48" s="4" t="inlineStr">
        <is>
          <t>Product &amp; Business Impact</t>
        </is>
      </c>
      <c r="C48" s="4" t="inlineStr">
        <is>
          <t>Ownership &amp; follow-through</t>
        </is>
      </c>
      <c r="D48" s="6" t="inlineStr">
        <is>
          <t>PD-05</t>
        </is>
      </c>
      <c r="E48" s="4" t="inlineStr">
        <is>
          <t>Amazon Leadership Principles - Ownership</t>
        </is>
      </c>
      <c r="F48" s="4" t="inlineStr">
        <is>
          <t>Depth: Sees assigned tasks through to verified-in-production, not just merged, and reports status honestly including the bad news. Scope: assigned tasks.</t>
        </is>
      </c>
      <c r="G48" s="4" t="inlineStr">
        <is>
          <t>Depth: Owns features from ambiguity to adoption — chases the dependency, fixes the post-launch bug, closes the loop with the requester. Scope: features they own.</t>
        </is>
      </c>
      <c r="H48" s="4" t="inlineStr">
        <is>
          <t>Depth: Answers for a capability's outcomes — quality, reliability, user impact — and picks up the critical work that has no owner rather than letting it drop. Scope: a capability, end to end.</t>
        </is>
      </c>
      <c r="I48" s="4" t="inlineStr">
        <is>
          <t>Depth: Takes ownership of cross-team outcomes nobody else can carry, staying accountable through delivery even where they hold no authority. Scope: multi-team outcomes.</t>
        </is>
      </c>
      <c r="J48" s="4" t="inlineStr">
        <is>
          <t>Depth: Answers for org-level technical outcomes to leadership, including the failures. Scope: organization-wide.</t>
        </is>
      </c>
      <c r="K48" s="4" t="inlineStr">
        <is>
          <t>Depth: Carries personal accountability for company-critical technical outcomes. Scope: company-wide.</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Frontend Engineering</t>
        </is>
      </c>
      <c r="B4" s="2" t="inlineStr">
        <is>
          <t>Component design &amp; composition</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Frontend Engineering</t>
        </is>
      </c>
      <c r="B5" s="2" t="inlineStr">
        <is>
          <t>Styling &amp; responsive layout</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Frontend Engineering</t>
        </is>
      </c>
      <c r="B6" s="2" t="inlineStr">
        <is>
          <t>Client state management &amp; data flow</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Frontend Engineering</t>
        </is>
      </c>
      <c r="B7" s="2" t="inlineStr">
        <is>
          <t>Data fetching &amp; caching</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Frontend Engineering</t>
        </is>
      </c>
      <c r="B8" s="2" t="inlineStr">
        <is>
          <t>Accessibility</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Frontend Engineering</t>
        </is>
      </c>
      <c r="B9" s="2" t="inlineStr">
        <is>
          <t>Web performance</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Backend &amp; API Engineering</t>
        </is>
      </c>
      <c r="B10" s="2" t="inlineStr">
        <is>
          <t>Service design &amp; boundaries</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Backend &amp; API Engineering</t>
        </is>
      </c>
      <c r="B11" s="2" t="inlineStr">
        <is>
          <t>Runtime &amp; async correctness</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Backend &amp; API Engineering</t>
        </is>
      </c>
      <c r="B12" s="2" t="inlineStr">
        <is>
          <t>API contract design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Backend &amp; API Engineering</t>
        </is>
      </c>
      <c r="B13" s="2" t="inlineStr">
        <is>
          <t>Compatibility &amp; versioning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Backend &amp; API Engineering</t>
        </is>
      </c>
      <c r="B14" s="2" t="inlineStr">
        <is>
          <t>Data modeling</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Backend &amp; API Engineering</t>
        </is>
      </c>
      <c r="B15" s="2" t="inlineStr">
        <is>
          <t>Query performance &amp; safe migrations</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Backend &amp; API Engineering</t>
        </is>
      </c>
      <c r="B16" s="2" t="inlineStr">
        <is>
          <t>Asynchronous processing &amp; messaging</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Backend &amp; API Engineering</t>
        </is>
      </c>
      <c r="B17" s="2" t="inlineStr">
        <is>
          <t>Third-party &amp; cross-service resilience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TypeScript &amp; Software Design</t>
        </is>
      </c>
      <c r="B18" s="2" t="inlineStr">
        <is>
          <t>Type-driven domain modeling</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TypeScript &amp; Software Design</t>
        </is>
      </c>
      <c r="B19" s="2" t="inlineStr">
        <is>
          <t>Type safety at boundaries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TypeScript &amp; Software Design</t>
        </is>
      </c>
      <c r="B20" s="2" t="inlineStr">
        <is>
          <t>Advanced types &amp; inference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TypeScript &amp; Software Design</t>
        </is>
      </c>
      <c r="B21" s="2" t="inlineStr">
        <is>
          <t>Software design &amp; architecture</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TypeScript &amp; Software Design</t>
        </is>
      </c>
      <c r="B22" s="2" t="inlineStr">
        <is>
          <t>Readable, maintainable code</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TypeScript &amp; Software Design</t>
        </is>
      </c>
      <c r="B23" s="2" t="inlineStr">
        <is>
          <t>Refactoring &amp; technical debt</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TypeScript &amp; Software Design</t>
        </is>
      </c>
      <c r="B24" s="2" t="inlineStr">
        <is>
          <t>Code review practice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Quality &amp; Testing</t>
        </is>
      </c>
      <c r="B25" s="2" t="inlineStr">
        <is>
          <t>Test strategy &amp; the pyramid</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Quality &amp; Testing</t>
        </is>
      </c>
      <c r="B26" s="2" t="inlineStr">
        <is>
          <t>Test authoring &amp; implementation quality</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Quality &amp; Testing</t>
        </is>
      </c>
      <c r="B27" s="2" t="inlineStr">
        <is>
          <t>Integration &amp; end-to-end confidence</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Quality &amp; Testing</t>
        </is>
      </c>
      <c r="B28" s="2" t="inlineStr">
        <is>
          <t>Debugging &amp; root-cause analysis</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Quality &amp; Testing</t>
        </is>
      </c>
      <c r="B29" s="2" t="inlineStr">
        <is>
          <t>Quality ownership &amp; prevention</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Delivery &amp; Operations</t>
        </is>
      </c>
      <c r="B30" s="2" t="inlineStr">
        <is>
          <t>Build &amp; CI pipelines</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Delivery &amp; Operations</t>
        </is>
      </c>
      <c r="B31" s="2" t="inlineStr">
        <is>
          <t>Release &amp; deployment practices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Delivery &amp; Operations</t>
        </is>
      </c>
      <c r="B32" s="2" t="inlineStr">
        <is>
          <t>Developer tooling &amp; environment</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Delivery &amp; Operations</t>
        </is>
      </c>
      <c r="B33" s="2" t="inlineStr">
        <is>
          <t>Observability &amp; monitoring</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Delivery &amp; Operations</t>
        </is>
      </c>
      <c r="B34" s="2" t="inlineStr">
        <is>
          <t>Incident response &amp; postmortems</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Security</t>
        </is>
      </c>
      <c r="B35" s="2" t="inlineStr">
        <is>
          <t>Secure coding &amp; vulnerability prevention</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Security</t>
        </is>
      </c>
      <c r="B36" s="2" t="inlineStr">
        <is>
          <t>Authentication, authorization &amp; data protection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Security</t>
        </is>
      </c>
      <c r="B37" s="2" t="inlineStr">
        <is>
          <t>Threat modeling &amp; security review</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Security</t>
        </is>
      </c>
      <c r="B38" s="2" t="inlineStr">
        <is>
          <t>Dependency &amp; supply-chain hygiene</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Security</t>
        </is>
      </c>
      <c r="B39" s="2" t="inlineStr">
        <is>
          <t>Data protection &amp; privacy</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Collaboration &amp; Communication</t>
        </is>
      </c>
      <c r="B40" s="2" t="inlineStr">
        <is>
          <t>Technical writing &amp; documentation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Collaboration &amp; Communication</t>
        </is>
      </c>
      <c r="B41" s="2" t="inlineStr">
        <is>
          <t>Stakeholder communication</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Collaboration &amp; Communication</t>
        </is>
      </c>
      <c r="B42" s="2" t="inlineStr">
        <is>
          <t>Technical discussion &amp; decision-making</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Collaboration &amp; Communication</t>
        </is>
      </c>
      <c r="B43" s="2" t="inlineStr">
        <is>
          <t>Feedback &amp; candor</t>
        </is>
      </c>
      <c r="C43" s="2">
        <f>IFERROR(INDEX(J43:O43,MATCH($B$1,$J$3:$O$3,0)),"")</f>
        <v/>
      </c>
      <c r="D43" s="7" t="n"/>
      <c r="E43" s="7" t="n"/>
      <c r="F43" s="7" t="n"/>
      <c r="G43" s="2">
        <f>IFERROR(AVERAGE(D43:F43),"")</f>
        <v/>
      </c>
      <c r="H43" s="2">
        <f>IFERROR(G43-C43,"")</f>
        <v/>
      </c>
      <c r="J43" s="2" t="n">
        <v>1</v>
      </c>
      <c r="K43" s="2" t="n">
        <v>2</v>
      </c>
      <c r="L43" s="2" t="n">
        <v>3</v>
      </c>
      <c r="M43" s="2" t="n">
        <v>4</v>
      </c>
      <c r="N43" s="2" t="n">
        <v>5</v>
      </c>
      <c r="O43" s="2" t="n">
        <v>6</v>
      </c>
    </row>
    <row r="44">
      <c r="A44" s="2" t="inlineStr">
        <is>
          <t>Collaboration &amp; Communication</t>
        </is>
      </c>
      <c r="B44" s="2" t="inlineStr">
        <is>
          <t>Cross-functional collaboration</t>
        </is>
      </c>
      <c r="C44" s="2">
        <f>IFERROR(INDEX(J44:O44,MATCH($B$1,$J$3:$O$3,0)),"")</f>
        <v/>
      </c>
      <c r="D44" s="7" t="n"/>
      <c r="E44" s="7" t="n"/>
      <c r="F44" s="7" t="n"/>
      <c r="G44" s="2">
        <f>IFERROR(AVERAGE(D44:F44),"")</f>
        <v/>
      </c>
      <c r="H44" s="2">
        <f>IFERROR(G44-C44,"")</f>
        <v/>
      </c>
      <c r="J44" s="2" t="n">
        <v>1</v>
      </c>
      <c r="K44" s="2" t="n">
        <v>2</v>
      </c>
      <c r="L44" s="2" t="n">
        <v>3</v>
      </c>
      <c r="M44" s="2" t="n">
        <v>4</v>
      </c>
      <c r="N44" s="2" t="n">
        <v>5</v>
      </c>
      <c r="O44" s="2" t="n">
        <v>6</v>
      </c>
    </row>
    <row r="45">
      <c r="A45" s="2" t="inlineStr">
        <is>
          <t>Leadership &amp; Business Impact</t>
        </is>
      </c>
      <c r="B45" s="2" t="inlineStr">
        <is>
          <t>Mentoring &amp; growing engineers</t>
        </is>
      </c>
      <c r="C45" s="2">
        <f>IFERROR(INDEX(J45:O45,MATCH($B$1,$J$3:$O$3,0)),"")</f>
        <v/>
      </c>
      <c r="D45" s="7" t="n"/>
      <c r="E45" s="7" t="n"/>
      <c r="F45" s="7" t="n"/>
      <c r="G45" s="2">
        <f>IFERROR(AVERAGE(D45:F45),"")</f>
        <v/>
      </c>
      <c r="H45" s="2">
        <f>IFERROR(G45-C45,"")</f>
        <v/>
      </c>
      <c r="J45" s="2" t="n">
        <v>1</v>
      </c>
      <c r="K45" s="2" t="n">
        <v>2</v>
      </c>
      <c r="L45" s="2" t="n">
        <v>3</v>
      </c>
      <c r="M45" s="2" t="n">
        <v>4</v>
      </c>
      <c r="N45" s="2" t="n">
        <v>5</v>
      </c>
      <c r="O45" s="2" t="n">
        <v>6</v>
      </c>
    </row>
    <row r="46">
      <c r="A46" s="2" t="inlineStr">
        <is>
          <t>Leadership &amp; Business Impact</t>
        </is>
      </c>
      <c r="B46" s="2" t="inlineStr">
        <is>
          <t>Technical direction &amp; influence</t>
        </is>
      </c>
      <c r="C46" s="2">
        <f>IFERROR(INDEX(J46:O46,MATCH($B$1,$J$3:$O$3,0)),"")</f>
        <v/>
      </c>
      <c r="D46" s="7" t="n"/>
      <c r="E46" s="7" t="n"/>
      <c r="F46" s="7" t="n"/>
      <c r="G46" s="2">
        <f>IFERROR(AVERAGE(D46:F46),"")</f>
        <v/>
      </c>
      <c r="H46" s="2">
        <f>IFERROR(G46-C46,"")</f>
        <v/>
      </c>
      <c r="J46" s="2" t="n">
        <v>1</v>
      </c>
      <c r="K46" s="2" t="n">
        <v>2</v>
      </c>
      <c r="L46" s="2" t="n">
        <v>3</v>
      </c>
      <c r="M46" s="2" t="n">
        <v>4</v>
      </c>
      <c r="N46" s="2" t="n">
        <v>5</v>
      </c>
      <c r="O46" s="2" t="n">
        <v>6</v>
      </c>
    </row>
    <row r="47">
      <c r="A47" s="2" t="inlineStr">
        <is>
          <t>Leadership &amp; Business Impact</t>
        </is>
      </c>
      <c r="B47" s="2" t="inlineStr">
        <is>
          <t>Product thinking</t>
        </is>
      </c>
      <c r="C47" s="2">
        <f>IFERROR(INDEX(J47:O47,MATCH($B$1,$J$3:$O$3,0)),"")</f>
        <v/>
      </c>
      <c r="D47" s="7" t="n"/>
      <c r="E47" s="7" t="n"/>
      <c r="F47" s="7" t="n"/>
      <c r="G47" s="2">
        <f>IFERROR(AVERAGE(D47:F47),"")</f>
        <v/>
      </c>
      <c r="H47" s="2">
        <f>IFERROR(G47-C47,"")</f>
        <v/>
      </c>
      <c r="J47" s="2" t="n">
        <v>1</v>
      </c>
      <c r="K47" s="2" t="n">
        <v>2</v>
      </c>
      <c r="L47" s="2" t="n">
        <v>3</v>
      </c>
      <c r="M47" s="2" t="n">
        <v>4</v>
      </c>
      <c r="N47" s="2" t="n">
        <v>5</v>
      </c>
      <c r="O47" s="2" t="n">
        <v>6</v>
      </c>
    </row>
    <row r="48">
      <c r="A48" s="2" t="inlineStr">
        <is>
          <t>Leadership &amp; Business Impact</t>
        </is>
      </c>
      <c r="B48" s="2" t="inlineStr">
        <is>
          <t>Scoping, prioritization &amp; estimation</t>
        </is>
      </c>
      <c r="C48" s="2">
        <f>IFERROR(INDEX(J48:O48,MATCH($B$1,$J$3:$O$3,0)),"")</f>
        <v/>
      </c>
      <c r="D48" s="7" t="n"/>
      <c r="E48" s="7" t="n"/>
      <c r="F48" s="7" t="n"/>
      <c r="G48" s="2">
        <f>IFERROR(AVERAGE(D48:F48),"")</f>
        <v/>
      </c>
      <c r="H48" s="2">
        <f>IFERROR(G48-C48,"")</f>
        <v/>
      </c>
      <c r="J48" s="2" t="n">
        <v>1</v>
      </c>
      <c r="K48" s="2" t="n">
        <v>2</v>
      </c>
      <c r="L48" s="2" t="n">
        <v>3</v>
      </c>
      <c r="M48" s="2" t="n">
        <v>4</v>
      </c>
      <c r="N48" s="2" t="n">
        <v>5</v>
      </c>
      <c r="O48" s="2" t="n">
        <v>6</v>
      </c>
    </row>
    <row r="49">
      <c r="A49" s="2" t="inlineStr">
        <is>
          <t>Leadership &amp; Business Impact</t>
        </is>
      </c>
      <c r="B49" s="2" t="inlineStr">
        <is>
          <t>Strategic &amp; commercial awareness</t>
        </is>
      </c>
      <c r="C49" s="2">
        <f>IFERROR(INDEX(J49:O49,MATCH($B$1,$J$3:$O$3,0)),"")</f>
        <v/>
      </c>
      <c r="D49" s="7" t="n"/>
      <c r="E49" s="7" t="n"/>
      <c r="F49" s="7" t="n"/>
      <c r="G49" s="2">
        <f>IFERROR(AVERAGE(D49:F49),"")</f>
        <v/>
      </c>
      <c r="H49" s="2">
        <f>IFERROR(G49-C49,"")</f>
        <v/>
      </c>
      <c r="J49" s="2" t="n">
        <v>1</v>
      </c>
      <c r="K49" s="2" t="n">
        <v>2</v>
      </c>
      <c r="L49" s="2" t="n">
        <v>3</v>
      </c>
      <c r="M49" s="2" t="n">
        <v>4</v>
      </c>
      <c r="N49" s="2" t="n">
        <v>5</v>
      </c>
      <c r="O49" s="2" t="n">
        <v>6</v>
      </c>
    </row>
    <row r="50">
      <c r="A50" s="2" t="inlineStr">
        <is>
          <t>Leadership &amp; Business Impact</t>
        </is>
      </c>
      <c r="B50" s="2" t="inlineStr">
        <is>
          <t>Ownership &amp; follow-through</t>
        </is>
      </c>
      <c r="C50" s="2">
        <f>IFERROR(INDEX(J50:O50,MATCH($B$1,$J$3:$O$3,0)),"")</f>
        <v/>
      </c>
      <c r="D50" s="7" t="n"/>
      <c r="E50" s="7" t="n"/>
      <c r="F50" s="7" t="n"/>
      <c r="G50" s="2">
        <f>IFERROR(AVERAGE(D50:F50),"")</f>
        <v/>
      </c>
      <c r="H50" s="2">
        <f>IFERROR(G50-C50,"")</f>
        <v/>
      </c>
      <c r="J50" s="2" t="n">
        <v>1</v>
      </c>
      <c r="K50" s="2" t="n">
        <v>2</v>
      </c>
      <c r="L50" s="2" t="n">
        <v>3</v>
      </c>
      <c r="M50" s="2" t="n">
        <v>4</v>
      </c>
      <c r="N50" s="2" t="n">
        <v>5</v>
      </c>
      <c r="O5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0"/>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Allspaw, J. — "Blameless PostMortems and a Just Culture" (Etsy, 2012)</t>
        </is>
      </c>
    </row>
    <row r="3">
      <c r="A3" s="4" t="inlineStr">
        <is>
          <t>Amazon — Leadership Principles (Ownership)</t>
        </is>
      </c>
    </row>
    <row r="4">
      <c r="A4" s="4" t="inlineStr">
        <is>
          <t>Beyer, B., Jones, C., Petoff, J. &amp; Murphy, N.R. — Site Reliability Engineering (Google/O'Reilly, 2016)</t>
        </is>
      </c>
    </row>
    <row r="5">
      <c r="A5" s="4" t="inlineStr">
        <is>
          <t>Cagan, M. — Inspired: How to Create Tech Products Customers Love, 2nd ed. (2018)</t>
        </is>
      </c>
    </row>
    <row r="6">
      <c r="A6" s="4" t="inlineStr">
        <is>
          <t>Cavoukian, A. — Privacy by Design (2009); GDPR Art. 25 (data protection by design and by default)</t>
        </is>
      </c>
    </row>
    <row r="7">
      <c r="A7" s="4" t="inlineStr">
        <is>
          <t>CircleCI Engineering Competency Matrix (progression.fyi/f/circle-ci) — prose-register calibration</t>
        </is>
      </c>
    </row>
    <row r="8">
      <c r="A8" s="4" t="inlineStr">
        <is>
          <t>Cohn, M. — Succeeding with Agile (2009), the test pyramid</t>
        </is>
      </c>
    </row>
    <row r="9">
      <c r="A9" s="4" t="inlineStr">
        <is>
          <t>Cunningham, W. — the technical-debt metaphor (OOPSLA 1992)</t>
        </is>
      </c>
    </row>
    <row r="10">
      <c r="A10" s="4" t="inlineStr">
        <is>
          <t>Dodds, K.C. — "Application State Management with React" (2020); "Write tests. Not too many. Mostly integration." (2019); Testing Library guiding principles</t>
        </is>
      </c>
    </row>
    <row r="11">
      <c r="A11" s="4" t="inlineStr">
        <is>
          <t>Edmondson, A. — The Fearless Organization (2018); Google Project Aristotle</t>
        </is>
      </c>
    </row>
    <row r="12">
      <c r="A12" s="4" t="inlineStr">
        <is>
          <t>Evans, E. — Domain-Driven Design (2003)</t>
        </is>
      </c>
    </row>
    <row r="13">
      <c r="A13" s="4" t="inlineStr">
        <is>
          <t>Fielding, R. — Architectural Styles and the Design of Network-based Software Architectures (2000); the OpenAPI Specification</t>
        </is>
      </c>
    </row>
    <row r="14">
      <c r="A14" s="4" t="inlineStr">
        <is>
          <t>Forsgren, N., Humble, J. &amp; Kim, G. — Accelerate (2018) / the DORA research program</t>
        </is>
      </c>
    </row>
    <row r="15">
      <c r="A15" s="4" t="inlineStr">
        <is>
          <t>Fournier, C. — The Manager's Path (2017), mentoring and tech-lead chapters</t>
        </is>
      </c>
    </row>
    <row r="16">
      <c r="A16" s="4" t="inlineStr">
        <is>
          <t>Fowler, M. — Refactoring, 2nd ed. (2018); "ContractTest" and consumer-driven contracts (martinfowler.com; Pact)</t>
        </is>
      </c>
    </row>
    <row r="17">
      <c r="A17" s="4" t="inlineStr">
        <is>
          <t>Frost, B. — Atomic Design (2016)</t>
        </is>
      </c>
    </row>
    <row r="18">
      <c r="A18" s="4" t="inlineStr">
        <is>
          <t>Google — Code Review Developer Guide / Engineering Practices (google.github.io/eng-practices); Technical Writing courses; Project Oxygen; web.dev Core Web Vitals and the RAIL model</t>
        </is>
      </c>
    </row>
    <row r="19">
      <c r="A19" s="4" t="inlineStr">
        <is>
          <t>Hohpe, G. &amp; Woolf, B. — Enterprise Integration Patterns (2003)</t>
        </is>
      </c>
    </row>
    <row r="20">
      <c r="A20" s="4" t="inlineStr">
        <is>
          <t>Humble, J. &amp; Farley, D. — Continuous Delivery (2010)</t>
        </is>
      </c>
    </row>
    <row r="21">
      <c r="A21" s="4" t="inlineStr">
        <is>
          <t>King, A. — "Parse, Don't Validate" (2019)</t>
        </is>
      </c>
    </row>
    <row r="22">
      <c r="A22" s="4" t="inlineStr">
        <is>
          <t>Kleppmann, M. — Designing Data-Intensive Applications (2017)</t>
        </is>
      </c>
    </row>
    <row r="23">
      <c r="A23" s="4" t="inlineStr">
        <is>
          <t>Larson, W. — Staff Engineer: Leadership Beyond the Management Track / StaffEng.com (2021)</t>
        </is>
      </c>
    </row>
    <row r="24">
      <c r="A24" s="4" t="inlineStr">
        <is>
          <t>Majors, C., Fons-Jones, L. &amp; Miranda, G. — Observability Engineering (2022)</t>
        </is>
      </c>
    </row>
    <row r="25">
      <c r="A25" s="4" t="inlineStr">
        <is>
          <t>McConnell, S. — Software Estimation: Demystifying the Black Art (2006)</t>
        </is>
      </c>
    </row>
    <row r="26">
      <c r="A26" s="4" t="inlineStr">
        <is>
          <t>MDN Web Docs — CSS layout guides (Mozilla)</t>
        </is>
      </c>
    </row>
    <row r="27">
      <c r="A27" s="4" t="inlineStr">
        <is>
          <t>Meszaros, G. — xUnit Test Patterns (2007)</t>
        </is>
      </c>
    </row>
    <row r="28">
      <c r="A28" s="4" t="inlineStr">
        <is>
          <t>Microsoft — REST API Guidelines; the TypeScript Handbook; Playwright testing best practices</t>
        </is>
      </c>
    </row>
    <row r="29">
      <c r="A29" s="4" t="inlineStr">
        <is>
          <t>Minto, B. — The Pyramid Principle (1987)</t>
        </is>
      </c>
    </row>
    <row r="30">
      <c r="A30" s="4" t="inlineStr">
        <is>
          <t>monorepo.tools (Nx team); npm and Node.js documentation on semantic versioning</t>
        </is>
      </c>
    </row>
    <row r="31">
      <c r="A31" s="4" t="inlineStr">
        <is>
          <t>Newman, S. — Building Microservices, 2nd ed. (2021)</t>
        </is>
      </c>
    </row>
    <row r="32">
      <c r="A32" s="4" t="inlineStr">
        <is>
          <t>NIST SP 800-63 — Digital Identity Guidelines</t>
        </is>
      </c>
    </row>
    <row r="33">
      <c r="A33" s="4" t="inlineStr">
        <is>
          <t>Node.js documentation — "Don't Block the Event Loop (or the Worker Pool)"; diagnostics guides (OpenJS Foundation); Chrome DevTools documentation (Google)</t>
        </is>
      </c>
    </row>
    <row r="34">
      <c r="A34" s="4" t="inlineStr">
        <is>
          <t>Nygard, M. — Release It!, 2nd ed. (2018); "Documenting Architecture Decisions" (2011, the ADR practice)</t>
        </is>
      </c>
    </row>
    <row r="35">
      <c r="A35" s="4" t="inlineStr">
        <is>
          <t>OpenSSF — SLSA: Supply-chain Levels for Software Artifacts (slsa.dev)</t>
        </is>
      </c>
    </row>
    <row r="36">
      <c r="A36" s="4" t="inlineStr">
        <is>
          <t>Ousterhout, J. — A Philosophy of Software Design (2018)</t>
        </is>
      </c>
    </row>
    <row r="37">
      <c r="A37" s="4" t="inlineStr">
        <is>
          <t>OWASP — Top 10 (2021), Cheat Sheet Series, Application Security Verification Standard (ASVS 4.0)</t>
        </is>
      </c>
    </row>
    <row r="38">
      <c r="A38" s="4" t="inlineStr">
        <is>
          <t>Parnas, D. — "On the Criteria to Be Used in Decomposing Systems into Modules" (1972)</t>
        </is>
      </c>
    </row>
    <row r="39">
      <c r="A39" s="4" t="inlineStr">
        <is>
          <t>PostgreSQL documentation — query planning</t>
        </is>
      </c>
    </row>
    <row r="40">
      <c r="A40" s="4" t="inlineStr">
        <is>
          <t>Preston-Werner, T. — Semantic Versioning 2.0.0 (semver.org)</t>
        </is>
      </c>
    </row>
    <row r="41">
      <c r="A41" s="4" t="inlineStr">
        <is>
          <t>Procida, D. — the Diátaxis documentation framework (diataxis.fr)</t>
        </is>
      </c>
    </row>
    <row r="42">
      <c r="A42" s="4" t="inlineStr">
        <is>
          <t>React documentation — "Thinking in React" (react.dev)</t>
        </is>
      </c>
    </row>
    <row r="43">
      <c r="A43" s="4" t="inlineStr">
        <is>
          <t>Redux documentation — "Three Principles"; Facebook Flux architecture documentation (2014); the Elm Architecture</t>
        </is>
      </c>
    </row>
    <row r="44">
      <c r="A44" s="4" t="inlineStr">
        <is>
          <t>Reinertsen, D. — The Principles of Product Development Flow (2009)</t>
        </is>
      </c>
    </row>
    <row r="45">
      <c r="A45" s="4" t="inlineStr">
        <is>
          <t>Rumelt, R. — Good Strategy Bad Strategy (2011)</t>
        </is>
      </c>
    </row>
    <row r="46">
      <c r="A46" s="4" t="inlineStr">
        <is>
          <t>Sadalage, P. &amp; Fowler, M. — "Evolutionary Database Design" (martinfowler.com)</t>
        </is>
      </c>
    </row>
    <row r="47">
      <c r="A47" s="4" t="inlineStr">
        <is>
          <t>Scott, K. — Radical Candor (2017)</t>
        </is>
      </c>
    </row>
    <row r="48">
      <c r="A48" s="4" t="inlineStr">
        <is>
          <t>Shostack, A. — Threat Modeling: Designing for Security (2014)</t>
        </is>
      </c>
    </row>
    <row r="49">
      <c r="A49" s="4" t="inlineStr">
        <is>
          <t>Singer, R. — Shape Up (Basecamp, 2019)</t>
        </is>
      </c>
    </row>
    <row r="50">
      <c r="A50" s="4" t="inlineStr">
        <is>
          <t>Skelton, M. &amp; Pais, M. — Team Topologies (2019)</t>
        </is>
      </c>
    </row>
    <row r="51">
      <c r="A51" s="4" t="inlineStr">
        <is>
          <t>Stone, D. &amp; Heen, S. — Thanks for the Feedback (2014)</t>
        </is>
      </c>
    </row>
    <row r="52">
      <c r="A52" s="4" t="inlineStr">
        <is>
          <t>TanStack Query documentation (Tanner Linsley and maintainers)</t>
        </is>
      </c>
    </row>
    <row r="53">
      <c r="A53" s="4" t="inlineStr">
        <is>
          <t>Vanderkam, D. — Effective TypeScript, 2nd ed. (2024)</t>
        </is>
      </c>
    </row>
    <row r="54">
      <c r="A54" s="4" t="inlineStr">
        <is>
          <t>Vocke, H. — "The Practical Test Pyramid" (martinfowler.com, 2018)</t>
        </is>
      </c>
    </row>
    <row r="55">
      <c r="A55" s="4" t="inlineStr">
        <is>
          <t>W3C — WCAG 2.2; WAI-ARIA Authoring Practices</t>
        </is>
      </c>
    </row>
    <row r="56">
      <c r="A56" s="4" t="inlineStr">
        <is>
          <t>Winand, M. — SQL Performance Explained / Use The Index, Luke (use-the-index-luke.com, 2012)</t>
        </is>
      </c>
    </row>
    <row r="57">
      <c r="A57" s="4" t="inlineStr">
        <is>
          <t>Winters, T., Manshreck, T. &amp; Wright, H. — Software Engineering at Google (2020), including Hyrum's Law</t>
        </is>
      </c>
    </row>
    <row r="58">
      <c r="A58" s="4" t="inlineStr">
        <is>
          <t>Wlaschin, S. — Domain Modeling Made Functional (2018)</t>
        </is>
      </c>
    </row>
    <row r="59">
      <c r="A59" s="4" t="inlineStr">
        <is>
          <t>Zeller, A. — Why Programs Fail: A Guide to Systematic Debugging (2009)</t>
        </is>
      </c>
    </row>
    <row r="60">
      <c r="A60" s="4" t="inlineStr">
        <is>
          <t>Google (L3–L8) and Meta (E3–E8) engineering level norms via levels.fyi — scope-bar calibration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2026-07-03T04:02:09Z</dcterms:created>
  <dcterms:modified xsi:type="dcterms:W3CDTF">2026-07-03T04:02:09Z</dcterms:modified>
</cp:coreProperties>
</file>