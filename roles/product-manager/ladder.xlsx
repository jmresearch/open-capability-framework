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etency Matrix" sheetId="2" state="visible" r:id="rId2"/>
    <sheet name="Rating Template" sheetId="3" state="visible" r:id="rId3"/>
    <sheet name="Sources &amp; The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0563C1"/>
      <sz val="10"/>
      <u val="single"/>
    </font>
    <font>
      <name val="Arial"/>
      <color rgb="FF0000CC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mresearch/open-capability-framework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mresearch/open-capability-framework/blob/main/data/capabilities.md#pm-01" TargetMode="External" Id="rId1" /><Relationship Type="http://schemas.openxmlformats.org/officeDocument/2006/relationships/hyperlink" Target="https://github.com/jmresearch/open-capability-framework/blob/main/data/capabilities.md#pm-01" TargetMode="External" Id="rId2" /><Relationship Type="http://schemas.openxmlformats.org/officeDocument/2006/relationships/hyperlink" Target="https://github.com/jmresearch/open-capability-framework/blob/main/data/capabilities.md#pm-15" TargetMode="External" Id="rId3" /><Relationship Type="http://schemas.openxmlformats.org/officeDocument/2006/relationships/hyperlink" Target="https://github.com/jmresearch/open-capability-framework/blob/main/data/capabilities.md#pm-01" TargetMode="External" Id="rId4" /><Relationship Type="http://schemas.openxmlformats.org/officeDocument/2006/relationships/hyperlink" Target="https://github.com/jmresearch/open-capability-framework/blob/main/data/capabilities.md#pm-02" TargetMode="External" Id="rId5" /><Relationship Type="http://schemas.openxmlformats.org/officeDocument/2006/relationships/hyperlink" Target="https://github.com/jmresearch/open-capability-framework/blob/main/data/capabilities.md#pm-16" TargetMode="External" Id="rId6" /><Relationship Type="http://schemas.openxmlformats.org/officeDocument/2006/relationships/hyperlink" Target="https://github.com/jmresearch/open-capability-framework/blob/main/data/capabilities.md#pm-17" TargetMode="External" Id="rId7" /><Relationship Type="http://schemas.openxmlformats.org/officeDocument/2006/relationships/hyperlink" Target="https://github.com/jmresearch/open-capability-framework/blob/main/data/capabilities.md#pm-18" TargetMode="External" Id="rId8" /><Relationship Type="http://schemas.openxmlformats.org/officeDocument/2006/relationships/hyperlink" Target="https://github.com/jmresearch/open-capability-framework/blob/main/data/capabilities.md#pm-18" TargetMode="External" Id="rId9" /><Relationship Type="http://schemas.openxmlformats.org/officeDocument/2006/relationships/hyperlink" Target="https://github.com/jmresearch/open-capability-framework/blob/main/data/capabilities.md#pm-18" TargetMode="External" Id="rId10" /><Relationship Type="http://schemas.openxmlformats.org/officeDocument/2006/relationships/hyperlink" Target="https://github.com/jmresearch/open-capability-framework/blob/main/data/capabilities.md#pm-04" TargetMode="External" Id="rId11" /><Relationship Type="http://schemas.openxmlformats.org/officeDocument/2006/relationships/hyperlink" Target="https://github.com/jmresearch/open-capability-framework/blob/main/data/capabilities.md#pm-04" TargetMode="External" Id="rId12" /><Relationship Type="http://schemas.openxmlformats.org/officeDocument/2006/relationships/hyperlink" Target="https://github.com/jmresearch/open-capability-framework/blob/main/data/capabilities.md#pm-06" TargetMode="External" Id="rId13" /><Relationship Type="http://schemas.openxmlformats.org/officeDocument/2006/relationships/hyperlink" Target="https://github.com/jmresearch/open-capability-framework/blob/main/data/capabilities.md#pm-05" TargetMode="External" Id="rId14" /><Relationship Type="http://schemas.openxmlformats.org/officeDocument/2006/relationships/hyperlink" Target="https://github.com/jmresearch/open-capability-framework/blob/main/data/capabilities.md#pm-06" TargetMode="External" Id="rId15" /><Relationship Type="http://schemas.openxmlformats.org/officeDocument/2006/relationships/hyperlink" Target="https://github.com/jmresearch/open-capability-framework/blob/main/data/capabilities.md#pm-10" TargetMode="External" Id="rId16" /><Relationship Type="http://schemas.openxmlformats.org/officeDocument/2006/relationships/hyperlink" Target="https://github.com/jmresearch/open-capability-framework/blob/main/data/capabilities.md#pm-10" TargetMode="External" Id="rId17" /><Relationship Type="http://schemas.openxmlformats.org/officeDocument/2006/relationships/hyperlink" Target="https://github.com/jmresearch/open-capability-framework/blob/main/data/capabilities.md#pm-11" TargetMode="External" Id="rId18" /><Relationship Type="http://schemas.openxmlformats.org/officeDocument/2006/relationships/hyperlink" Target="https://github.com/jmresearch/open-capability-framework/blob/main/data/capabilities.md#li-04" TargetMode="External" Id="rId19" /><Relationship Type="http://schemas.openxmlformats.org/officeDocument/2006/relationships/hyperlink" Target="https://github.com/jmresearch/open-capability-framework/blob/main/data/capabilities.md#pd-02" TargetMode="External" Id="rId20" /><Relationship Type="http://schemas.openxmlformats.org/officeDocument/2006/relationships/hyperlink" Target="https://github.com/jmresearch/open-capability-framework/blob/main/data/capabilities.md#pd-01" TargetMode="External" Id="rId21" /><Relationship Type="http://schemas.openxmlformats.org/officeDocument/2006/relationships/hyperlink" Target="https://github.com/jmresearch/open-capability-framework/blob/main/data/capabilities.md#cc-03" TargetMode="External" Id="rId22" /><Relationship Type="http://schemas.openxmlformats.org/officeDocument/2006/relationships/hyperlink" Target="https://github.com/jmresearch/open-capability-framework/blob/main/data/capabilities.md#pm-07" TargetMode="External" Id="rId23" /><Relationship Type="http://schemas.openxmlformats.org/officeDocument/2006/relationships/hyperlink" Target="https://github.com/jmresearch/open-capability-framework/blob/main/data/capabilities.md#pm-08" TargetMode="External" Id="rId24" /><Relationship Type="http://schemas.openxmlformats.org/officeDocument/2006/relationships/hyperlink" Target="https://github.com/jmresearch/open-capability-framework/blob/main/data/capabilities.md#li-06" TargetMode="External" Id="rId25" /><Relationship Type="http://schemas.openxmlformats.org/officeDocument/2006/relationships/hyperlink" Target="https://github.com/jmresearch/open-capability-framework/blob/main/data/capabilities.md#pm-09" TargetMode="External" Id="rId26" /><Relationship Type="http://schemas.openxmlformats.org/officeDocument/2006/relationships/hyperlink" Target="https://github.com/jmresearch/open-capability-framework/blob/main/data/capabilities.md#pm-10" TargetMode="External" Id="rId27" /><Relationship Type="http://schemas.openxmlformats.org/officeDocument/2006/relationships/hyperlink" Target="https://github.com/jmresearch/open-capability-framework/blob/main/data/capabilities.md#pd-07" TargetMode="External" Id="rId28" /><Relationship Type="http://schemas.openxmlformats.org/officeDocument/2006/relationships/hyperlink" Target="https://github.com/jmresearch/open-capability-framework/blob/main/data/capabilities.md#pm-12" TargetMode="External" Id="rId29" /><Relationship Type="http://schemas.openxmlformats.org/officeDocument/2006/relationships/hyperlink" Target="https://github.com/jmresearch/open-capability-framework/blob/main/data/capabilities.md#pm-03" TargetMode="External" Id="rId30" /><Relationship Type="http://schemas.openxmlformats.org/officeDocument/2006/relationships/hyperlink" Target="https://github.com/jmresearch/open-capability-framework/blob/main/data/capabilities.md#pm-19" TargetMode="External" Id="rId31" /><Relationship Type="http://schemas.openxmlformats.org/officeDocument/2006/relationships/hyperlink" Target="https://github.com/jmresearch/open-capability-framework/blob/main/data/capabilities.md#pm-09" TargetMode="External" Id="rId32" /><Relationship Type="http://schemas.openxmlformats.org/officeDocument/2006/relationships/hyperlink" Target="https://github.com/jmresearch/open-capability-framework/blob/main/data/capabilities.md#pm-14" TargetMode="External" Id="rId33" /><Relationship Type="http://schemas.openxmlformats.org/officeDocument/2006/relationships/hyperlink" Target="https://github.com/jmresearch/open-capability-framework/blob/main/data/capabilities.md#cc-01" TargetMode="External" Id="rId34" /><Relationship Type="http://schemas.openxmlformats.org/officeDocument/2006/relationships/hyperlink" Target="https://github.com/jmresearch/open-capability-framework/blob/main/data/capabilities.md#cc-06" TargetMode="External" Id="rId35" /><Relationship Type="http://schemas.openxmlformats.org/officeDocument/2006/relationships/hyperlink" Target="https://github.com/jmresearch/open-capability-framework/blob/main/data/capabilities.md#pm-13" TargetMode="External" Id="rId36" /><Relationship Type="http://schemas.openxmlformats.org/officeDocument/2006/relationships/hyperlink" Target="https://github.com/jmresearch/open-capability-framework/blob/main/data/capabilities.md#cc-05" TargetMode="External" Id="rId37" /><Relationship Type="http://schemas.openxmlformats.org/officeDocument/2006/relationships/hyperlink" Target="https://github.com/jmresearch/open-capability-framework/blob/main/data/capabilities.md#li-01" TargetMode="External" Id="rId38" /><Relationship Type="http://schemas.openxmlformats.org/officeDocument/2006/relationships/hyperlink" Target="https://github.com/jmresearch/open-capability-framework/blob/main/data/capabilities.md#li-03" TargetMode="External" Id="rId39" /><Relationship Type="http://schemas.openxmlformats.org/officeDocument/2006/relationships/hyperlink" Target="https://github.com/jmresearch/open-capability-framework/blob/main/data/capabilities.md#li-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60" customWidth="1" min="4" max="4"/>
  </cols>
  <sheetData>
    <row r="1">
      <c r="A1" s="1" t="inlineStr">
        <is>
          <t>Role</t>
        </is>
      </c>
      <c r="B1" s="2" t="inlineStr">
        <is>
          <t>Product Manager</t>
        </is>
      </c>
    </row>
    <row r="2">
      <c r="A2" s="1" t="inlineStr">
        <is>
          <t>Slug</t>
        </is>
      </c>
      <c r="B2" s="2" t="inlineStr">
        <is>
          <t>product-manager</t>
        </is>
      </c>
    </row>
    <row r="3">
      <c r="A3" s="1" t="inlineStr">
        <is>
          <t>Variant</t>
        </is>
      </c>
      <c r="B3" s="2" t="inlineStr">
        <is>
          <t>ic_technical</t>
        </is>
      </c>
    </row>
    <row r="4">
      <c r="A4" s="1" t="inlineStr">
        <is>
          <t>Minted</t>
        </is>
      </c>
      <c r="B4" s="2" t="inlineStr">
        <is>
          <t>2026-07-02</t>
        </is>
      </c>
    </row>
    <row r="6">
      <c r="A6" s="1" t="inlineStr">
        <is>
          <t>Level</t>
        </is>
      </c>
      <c r="B6" s="1" t="inlineStr">
        <is>
          <t>Title</t>
        </is>
      </c>
      <c r="C6" s="1" t="inlineStr">
        <is>
          <t>Scope</t>
        </is>
      </c>
      <c r="D6" s="1" t="inlineStr">
        <is>
          <t>Focus</t>
        </is>
      </c>
    </row>
    <row r="7">
      <c r="A7" s="3" t="inlineStr">
        <is>
          <t>P1</t>
        </is>
      </c>
      <c r="B7" s="3" t="inlineStr">
        <is>
          <t>Associate Product Manager</t>
        </is>
      </c>
      <c r="C7" s="4" t="inlineStr">
        <is>
          <t>one feature/epic</t>
        </is>
      </c>
      <c r="D7" s="4" t="inlineStr">
        <is>
          <t>Learns the craft; ships well-defined slices with guidance</t>
        </is>
      </c>
    </row>
    <row r="8">
      <c r="A8" s="3" t="inlineStr">
        <is>
          <t>P2</t>
        </is>
      </c>
      <c r="B8" s="3" t="inlineStr">
        <is>
          <t>Product Manager</t>
        </is>
      </c>
      <c r="C8" s="4" t="inlineStr">
        <is>
          <t>a product area</t>
        </is>
      </c>
      <c r="D8" s="4" t="inlineStr">
        <is>
          <t>Runs discovery-to-delivery independently for an area</t>
        </is>
      </c>
    </row>
    <row r="9">
      <c r="A9" s="3" t="inlineStr">
        <is>
          <t>P3</t>
        </is>
      </c>
      <c r="B9" s="3" t="inlineStr">
        <is>
          <t>Senior Product Manager</t>
        </is>
      </c>
      <c r="C9" s="4" t="inlineStr">
        <is>
          <t>a product/capability (terminal level)</t>
        </is>
      </c>
      <c r="D9" s="4" t="inlineStr">
        <is>
          <t>Owns outcomes for a product; sets the bar others copy</t>
        </is>
      </c>
    </row>
    <row r="10">
      <c r="A10" s="3" t="inlineStr">
        <is>
          <t>P4</t>
        </is>
      </c>
      <c r="B10" s="3" t="inlineStr">
        <is>
          <t>Staff/Group Product Manager</t>
        </is>
      </c>
      <c r="C10" s="4" t="inlineStr">
        <is>
          <t>multiple product areas</t>
        </is>
      </c>
      <c r="D10" s="4" t="inlineStr">
        <is>
          <t>Aligns strategy and craft across several product teams</t>
        </is>
      </c>
    </row>
    <row r="11">
      <c r="A11" s="3" t="inlineStr">
        <is>
          <t>P5</t>
        </is>
      </c>
      <c r="B11" s="3" t="inlineStr">
        <is>
          <t>Principal Product Manager</t>
        </is>
      </c>
      <c r="C11" s="4" t="inlineStr">
        <is>
          <t>product organization</t>
        </is>
      </c>
      <c r="D11" s="4" t="inlineStr">
        <is>
          <t>Sets product direction and practice the org builds against</t>
        </is>
      </c>
    </row>
    <row r="12">
      <c r="A12" s="3" t="inlineStr">
        <is>
          <t>P6</t>
        </is>
      </c>
      <c r="B12" s="3" t="inlineStr">
        <is>
          <t>Distinguished PM / Head of Product Craft</t>
        </is>
      </c>
      <c r="C12" s="4" t="inlineStr">
        <is>
          <t>company portfolio</t>
        </is>
      </c>
      <c r="D12" s="4" t="inlineStr">
        <is>
          <t>Shapes portfolio bets and the company's product craft</t>
        </is>
      </c>
    </row>
    <row r="14" ht="60" customHeight="1">
      <c r="A14" s="4" t="inlineStr">
        <is>
          <t>How to read: each row of the Competency Matrix is one competency, mapped to an Open Capability Framework capability (OCF ID column — click through for the catalog entry and its P1-P6 profile). Level columns describe observable behavior at each level; use the Rating Template for self/peer/manager scoring.</t>
        </is>
      </c>
    </row>
    <row r="16">
      <c r="A16" s="1" t="inlineStr">
        <is>
          <t>Framework repository</t>
        </is>
      </c>
      <c r="B16" s="5" t="inlineStr">
        <is>
          <t>https://github.com/jmresearch/open-capability-framework</t>
        </is>
      </c>
    </row>
  </sheetData>
  <mergeCells count="1">
    <mergeCell ref="A14:D14"/>
  </mergeCells>
  <hyperlinks>
    <hyperlink xmlns:r="http://schemas.openxmlformats.org/officeDocument/2006/relationships" ref="B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45" customWidth="1" min="5" max="5"/>
    <col width="4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Key Area</t>
        </is>
      </c>
      <c r="B1" s="1" t="inlineStr">
        <is>
          <t>Focus Area</t>
        </is>
      </c>
      <c r="C1" s="1" t="inlineStr">
        <is>
          <t>Competency</t>
        </is>
      </c>
      <c r="D1" s="1" t="inlineStr">
        <is>
          <t>OCF ID</t>
        </is>
      </c>
      <c r="E1" s="1" t="inlineStr">
        <is>
          <t>What it covers</t>
        </is>
      </c>
      <c r="F1" s="1" t="inlineStr">
        <is>
          <t>Theory anchor &amp; why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</row>
    <row r="2">
      <c r="A2" s="4" t="inlineStr">
        <is>
          <t>Product Discovery &amp; User Research</t>
        </is>
      </c>
      <c r="B2" s="4" t="inlineStr">
        <is>
          <t>Continuous Discovery</t>
        </is>
      </c>
      <c r="C2" s="4" t="inlineStr">
        <is>
          <t>Customer interviewing</t>
        </is>
      </c>
      <c r="D2" s="6" t="inlineStr">
        <is>
          <t>PM-01</t>
        </is>
      </c>
      <c r="E2" s="4" t="inlineStr">
        <is>
          <t>Uncovering user needs and validating problems through interviews, observation, and experimentation.</t>
        </is>
      </c>
      <c r="F2" s="4" t="inlineStr">
        <is>
          <t>Torres, Continuous Discovery Habits: Discover Products that Create Customer Value and Business Value (Product Talk LLC, 2021) — weekly customer touchpoints with story-based, non-leading questions are the foundational discovery habit; substituted for Portigal's Interviewing Users (no bibliography entry) with fitzpatrick2013-momtest, which names the exact leading-question failure mode a script and review exist to catch.</t>
        </is>
      </c>
      <c r="G2" s="4" t="inlineStr">
        <is>
          <t>Depth: Runs scripted customer interviews and notes findings under a senior researcher's guidance.
Evidenced by: Runs a scripted interview from a lead's guide, avoids the leading-question traps the Mom Test warns about, and writes up verbatim notes for the lead to review.</t>
        </is>
      </c>
      <c r="H2" s="4" t="inlineStr">
        <is>
          <t>Depth: Plans and conducts standard discovery for a feature, synthesizing themes with normal review.
Evidenced by: Keeps a weekly interview cadence going without being reminded, writes their own discussion guides, and turns each session into a snapshot teammates actually read.</t>
        </is>
      </c>
      <c r="I2" s="4" t="inlineStr">
        <is>
          <t>Depth: Independently frames ambiguous problems, selects fitting methods, and separates signal from noise.
Evidenced by: Builds the recruiting pipeline for their product, brings engineers and designers into sessions, and redirects an interview that drifts into feature-request collection back to behavior.</t>
        </is>
      </c>
      <c r="J2" s="4" t="inlineStr">
        <is>
          <t>Depth: Designs the team's discovery approach and untangles findings others find contradictory.
Evidenced by: Reviews other PMs' discussion guides and sits in on their sessions, and the snapshot format spreading across teams traces back to their template.</t>
        </is>
      </c>
      <c r="K2" s="4" t="inlineStr">
        <is>
          <t>Depth: Sets the org's research strategy and anticipates emerging customer needs before they surface.
Evidenced by: Stands up the org's recruiting panel, consent process, and interview-snapshot repository, and audits whether a team's customer contact is real or theater.</t>
        </is>
      </c>
      <c r="L2" s="4" t="inlineStr">
        <is>
          <t>Depth: Defines what rigorous product discovery means and shapes the discipline's practice externally.
Evidenced by: Sets the company's public standard for what counts as real customer contact and defends it in talks or writing that other practitioners cite.</t>
        </is>
      </c>
    </row>
    <row r="3">
      <c r="A3" s="4" t="inlineStr">
        <is>
          <t>Product Discovery &amp; User Research</t>
        </is>
      </c>
      <c r="B3" s="4" t="inlineStr">
        <is>
          <t>Continuous Discovery</t>
        </is>
      </c>
      <c r="C3" s="4" t="inlineStr">
        <is>
          <t>Discovery cadence &amp; habits</t>
        </is>
      </c>
      <c r="D3" s="6" t="inlineStr">
        <is>
          <t>PM-01</t>
        </is>
      </c>
      <c r="E3" s="4" t="inlineStr">
        <is>
          <t>Uncovering user needs and validating problems through interviews, observation, and experimentation.</t>
        </is>
      </c>
      <c r="F3" s="4" t="inlineStr">
        <is>
          <t>Torres, Continuous Discovery Habits: Discover Products that Create Customer Value and Business Value (Product Talk LLC, 2021) — discovery is a weekly habit run in parallel with delivery, not a phase before it, paired with cagan2017-inspired's empowered-team framing of continuous discovery as a team default rather than a research-team hand-off.</t>
        </is>
      </c>
      <c r="G3" s="4" t="inlineStr">
        <is>
          <t>Depth: Runs scripted customer interviews and notes findings under a senior researcher's guidance.
Evidenced by: Keeps their epic's discovery tasks visible on the team board — interviews scheduled, assumptions listed, findings logged — following the cadence the team already set.</t>
        </is>
      </c>
      <c r="H3" s="4" t="inlineStr">
        <is>
          <t>Depth: Plans and conducts standard discovery for a feature, synthesizing themes with normal review.
Evidenced by: Runs discovery and delivery in parallel without stalling either, so standups show both a weekly ship and a weekly customer conversation moving.</t>
        </is>
      </c>
      <c r="I3" s="4" t="inlineStr">
        <is>
          <t>Depth: Independently frames ambiguous problems, selects fitting methods, and separates signal from noise.
Evidenced by: Keeps the discovery habit alive through a deadline crunch by visibly renegotiating scope instead of quietly skipping customer contact, and new teams are pointed at their cadence as the example.</t>
        </is>
      </c>
      <c r="J3" s="4" t="inlineStr">
        <is>
          <t>Depth: Designs the team's discovery approach and untangles findings others find contradictory.
Evidenced by: Audits discovery health across several teams from calendars and artifacts, names which team has quietly stopped learning, and gets the habit restarted.</t>
        </is>
      </c>
      <c r="K3" s="4" t="inlineStr">
        <is>
          <t>Depth: Sets the org's research strategy and anticipates emerging customer needs before they surface.
Evidenced by: Designs the planning rituals and funding rules that make continuous discovery the org's default rather than a practice some teams opt out of under pressure.</t>
        </is>
      </c>
      <c r="L3" s="4" t="inlineStr">
        <is>
          <t>Depth: Defines what rigorous product discovery means and shapes the discipline's practice externally.
Evidenced by: Challenges a major company investment in an executive review for lacking recent customer evidence, and that challenge becomes the norm other reviews are held to.</t>
        </is>
      </c>
    </row>
    <row r="4">
      <c r="A4" s="4" t="inlineStr">
        <is>
          <t>Product Discovery &amp; User Research</t>
        </is>
      </c>
      <c r="B4" s="4" t="inlineStr">
        <is>
          <t>Synthesis &amp; Customer Modeling</t>
        </is>
      </c>
      <c r="C4" s="4" t="inlineStr">
        <is>
          <t>Opportunity mapping</t>
        </is>
      </c>
      <c r="D4" s="6" t="inlineStr">
        <is>
          <t>PM-15</t>
        </is>
      </c>
      <c r="E4" s="4" t="inlineStr">
        <is>
          <t>Structures discovered customer needs into an explicit opportunity space — mapped, sized, and compared — so solution choices trace to the most valuable problem rather than the first idea.</t>
        </is>
      </c>
      <c r="F4" s="4" t="inlineStr">
        <is>
          <t>Torres, Continuous Discovery Habits: Discover Products that Create Customer Value and Business Value (Product Talk LLC, 2021) — the opportunity solution tree keeps teams solving customer needs rather than shipping their first idea; self-sourced capability (PM-15 was minted in 2026-07 directly from this ladder's own prior consolidation prose — see scope_note) so the evidence below is written fresh, not carried over from the old ladder.md.</t>
        </is>
      </c>
      <c r="G4" s="4" t="inlineStr">
        <is>
          <t>Depth: Places research findings onto an existing opportunity map correctly, distinguishing opportunities from solutions with coaching.
Evidenced by: Adds a newly-interviewed customer's pain point to their lead's opportunity tree in the right branch, asking when unsure whether it names a need or a disguised feature request.</t>
        </is>
      </c>
      <c r="H4" s="4" t="inlineStr">
        <is>
          <t>Depth: Builds and maintains the opportunity map for their area, sizing and pruning branches against evidence without prompting.
Evidenced by: Keeps their product area's opportunity tree current between planning cycles, retiring branches no interview has touched in months and adding new ones as evidence accumulates.</t>
        </is>
      </c>
      <c r="I4" s="4" t="inlineStr">
        <is>
          <t>Depth: Structures messy, contested problem spaces into maps that make trade-offs explicit, and defends why one opportunity is pursued over its siblings.
Evidenced by: Walks a skeptical stakeholder through why the team is pursuing one opportunity over three plausible siblings, pointing at the specific interview evidence behind the call.</t>
        </is>
      </c>
      <c r="J4" s="4" t="inlineStr">
        <is>
          <t>Depth: Reconciles overlapping opportunity maps across teams, exposing duplicate bets and orphaned opportunities no single team could see.
Evidenced by: Merges two teams' opportunity trees ahead of a joint planning cycle and surfaces a customer need both teams were separately half-solving without knowing about the other's work.</t>
        </is>
      </c>
      <c r="K4" s="4" t="inlineStr">
        <is>
          <t>Depth: Makes opportunity mapping an organization's default synthesis method; investment reviews open from the mapped opportunity space.
Evidenced by: Gets a quarterly investment review to open with the mapped opportunity space instead of a list of proposed features, and rejects a funding request that skips the map.</t>
        </is>
      </c>
      <c r="L4" s="4" t="inlineStr">
        <is>
          <t>Depth: Shapes how organizations represent customer opportunity at portfolio level; their framing methods are cited and reused beyond their own organization.
Evidenced by: Publishes the opportunity-mapping method used across the company's product lines and fields questions about it from PMs at other companies trying to adopt it.</t>
        </is>
      </c>
    </row>
    <row r="5">
      <c r="A5" s="4" t="inlineStr">
        <is>
          <t>Product Discovery &amp; User Research</t>
        </is>
      </c>
      <c r="B5" s="4" t="inlineStr">
        <is>
          <t>Synthesis &amp; Customer Modeling</t>
        </is>
      </c>
      <c r="C5" s="4" t="inlineStr">
        <is>
          <t>Research synthesis &amp; insight</t>
        </is>
      </c>
      <c r="D5" s="6" t="inlineStr">
        <is>
          <t>PM-01</t>
        </is>
      </c>
      <c r="E5" s="4" t="inlineStr">
        <is>
          <t>Uncovering user needs and validating problems through interviews, observation, and experimentation.</t>
        </is>
      </c>
      <c r="F5" s="4" t="inlineStr">
        <is>
          <t>Torres, Continuous Discovery Habits: Discover Products that Create Customer Value and Business Value (Product Talk LLC, 2021) — substituted for Olsen's The Lean Product Playbook (no bibliography entry) with Torres's own continuous-discovery synthesis practice — PM-01's dominant anchor — since turning raw interview notes into durable themes is the same synthesis discipline the interviewing and cadence rows above already anchor to.</t>
        </is>
      </c>
      <c r="G5" s="4" t="inlineStr">
        <is>
          <t>Depth: Runs scripted customer interviews and notes findings under a senior researcher's guidance.
Evidenced by: Tags a batch of interview transcripts into the team's existing theme categories and can point to the exact quote behind each tag when a lead asks.</t>
        </is>
      </c>
      <c r="H5" s="4" t="inlineStr">
        <is>
          <t>Depth: Plans and conducts standard discovery for a feature, synthesizing themes with normal review.
Evidenced by: Turns three weeks of interviews and support tickets into a ranked list of underserved needs, with the evidence attached, and presents it without overclaiming.</t>
        </is>
      </c>
      <c r="I5" s="4" t="inlineStr">
        <is>
          <t>Depth: Independently frames ambiguous problems, selects fitting methods, and separates signal from noise.
Evidenced by: Writes an insight document that changes the team's next quarter's plan, and a skeptical peer checking the chain from quote to claim finds it intact.</t>
        </is>
      </c>
      <c r="J5" s="4" t="inlineStr">
        <is>
          <t>Depth: Designs the team's discovery approach and untangles findings others find contradictory.
Evidenced by: Notices two teams' research write-ups draw opposite conclusions about the same customer segment and runs the joint review that reconciles them into one shared picture.</t>
        </is>
      </c>
      <c r="K5" s="4" t="inlineStr">
        <is>
          <t>Depth: Sets the org's research strategy and anticipates emerging customer needs before they surface.
Evidenced by: Stands up the org's tagging conventions and insight repository so a finding from one team's research is discoverable and reusable by another team a year later.</t>
        </is>
      </c>
      <c r="L5" s="4" t="inlineStr">
        <is>
          <t>Depth: Defines what rigorous product discovery means and shapes the discipline's practice externally.
Evidenced by: Distills a year of company-wide customer research into the handful of insights the executive team actually reasons from, and retires a piece of long-standing but unsupported folklore.</t>
        </is>
      </c>
    </row>
    <row r="6">
      <c r="A6" s="4" t="inlineStr">
        <is>
          <t>Product Discovery &amp; User Research</t>
        </is>
      </c>
      <c r="B6" s="4" t="inlineStr">
        <is>
          <t>Synthesis &amp; Customer Modeling</t>
        </is>
      </c>
      <c r="C6" s="4" t="inlineStr">
        <is>
          <t>Customer segmentation &amp; personas</t>
        </is>
      </c>
      <c r="D6" s="6" t="inlineStr">
        <is>
          <t>PM-02</t>
        </is>
      </c>
      <c r="E6" s="4" t="inlineStr">
        <is>
          <t>Mapping target segments and their end-to-end experiences to ground product decisions.</t>
        </is>
      </c>
      <c r="F6" s="4" t="inlineStr">
        <is>
          <t>Cooper, Reimann, Cronin &amp; Noessel, About Face: The Essentials of Interaction Design, 4th Edition (Wiley, 2014) — substituted for Cooper's The Inmates Are Running the Asylum (no bibliography entry) with Cooper, Reimann, Cronin &amp; Noessel's About Face, the same author's canonical goal-directed-design text that originated the persona method Inmates popularized; adoption is won segment by segment, per Moore's chasm model.</t>
        </is>
      </c>
      <c r="G6" s="4" t="inlineStr">
        <is>
          <t>Depth: Documents personas and journey steps from supplied data under direction.
Evidenced by: Names which persona a new user story serves when writing it, and flags a proposed feature in review as serving no defined segment.</t>
        </is>
      </c>
      <c r="H6" s="4" t="inlineStr">
        <is>
          <t>Depth: Builds usable personas and maps journeys for a product area with normal review.
Evidenced by: Refreshes their product area's personas from a quarter of new interview and usage data, splitting one persona into two once their behavior clearly diverges.</t>
        </is>
      </c>
      <c r="I6" s="4" t="inlineStr">
        <is>
          <t>Depth: Independently models complex multi-actor journeys and resolves conflicting user signals.
Evidenced by: Names, in a strategy review, exactly who the product is not building for this year, and backs the target-segment choice with sizing data the team can defend.</t>
        </is>
      </c>
      <c r="J6" s="4" t="inlineStr">
        <is>
          <t>Depth: Defines modeling standards others adopt and reconciles personas across overlapping segments.
Evidenced by: Reconciles two product areas' persona sets that had quietly drifted into describing the same underlying user two different ways, and gets both teams onto one shared map.</t>
        </is>
      </c>
      <c r="K6" s="4" t="inlineStr">
        <is>
          <t>Depth: Sets persona and journey strategy across the portfolio and predicts shifting behavior patterns.
Evidenced by: Owns the org's customer segmentation model and flags a product whose recent roadmap has drifted from the segment it was originally built for.</t>
        </is>
      </c>
      <c r="L6" s="4" t="inlineStr">
        <is>
          <t>Depth: Establishes industry-recognized methods for journey modeling and teaches them widely.
Evidenced by: Updates the company's customer segment map ahead of a market shift that board materials and company strategy then get built around.</t>
        </is>
      </c>
    </row>
    <row r="7">
      <c r="A7" s="4" t="inlineStr">
        <is>
          <t>Problem Definition &amp; Validation</t>
        </is>
      </c>
      <c r="B7" s="4" t="inlineStr">
        <is>
          <t>Problem Framing</t>
        </is>
      </c>
      <c r="C7" s="4" t="inlineStr">
        <is>
          <t>Problem statements &amp; outcome framing</t>
        </is>
      </c>
      <c r="D7" s="6" t="inlineStr">
        <is>
          <t>PM-16</t>
        </is>
      </c>
      <c r="E7" s="4" t="inlineStr">
        <is>
          <t>Frames incoming requests and observations as customer problems tied to measurable outcomes — separating the problem from the proposed solution before work is committed.</t>
        </is>
      </c>
      <c r="F7" s="4" t="inlineStr">
        <is>
          <t>Perri, Escaping the Build Trap: How Effective Product Management Creates Real Value (O'Reilly, 2018) — teams stuck shipping outputs need problems framed as customer/business outcomes; self-sourced capability (PM-16 minted 2026-07 from this ladder's own prior consolidation prose — see scope_note), so evidence is written fresh below.</t>
        </is>
      </c>
      <c r="G7" s="4" t="inlineStr">
        <is>
          <t>Depth: Writes a one-page problem statement naming the user, the struggle, and the evidence, with review; separates problem from requested feature when prompted.
Evidenced by: Writes a one-page problem statement naming the user, the struggle, and the evidence for their epic, and a reviewer catches where it still smuggles in a feature.</t>
        </is>
      </c>
      <c r="H7" s="4" t="inlineStr">
        <is>
          <t>Depth: Frames work as outcomes the team can move rather than outputs to ship, and rewrites incoming feature requests into the underlying problem before triage.
Evidenced by: Rewrites an incoming stakeholder feature request into the underlying problem before it reaches triage, framing the goal as a movable number rather than a shipped artifact.</t>
        </is>
      </c>
      <c r="I7" s="4" t="inlineStr">
        <is>
          <t>Depth: Sets the outcome a product is accountable for and keeps the team pointed at it, publicly re-framing efforts that drift into output-counting.
Evidenced by: Names, in a planning review, that the team has drifted into counting shipped tickets instead of moving the outcome it owns, and resets the conversation to the number that matters.</t>
        </is>
      </c>
      <c r="J7" s="4" t="inlineStr">
        <is>
          <t>Depth: Arbitrates problem framing across teams — spotting duplicated or conflicting framings — and re-cuts problem boundaries drawn along org lines instead of customer lines.
Evidenced by: Notices two product areas have quietly defined the same customer problem two incompatible ways and gets both teams working from one reconciled framing.</t>
        </is>
      </c>
      <c r="K7" s="4" t="inlineStr">
        <is>
          <t>Depth: Defines an organization's outcome architecture — how team-level outcomes ladder to organizational results — and retires vanity outcomes.
Evidenced by: Publishes how team-level outcomes ladder up to the product org's results, and retires a long-tracked metric that turned out to be a vanity number nobody could act on.</t>
        </is>
      </c>
      <c r="L7" s="4" t="inlineStr">
        <is>
          <t>Depth: Frames an organization's hardest, ownerless problems into tractable outcome statements executives fund; their framing practice shapes the discipline externally.
Evidenced by: Takes a company-level problem with no clear owner — churn nobody's roadmap addresses — and frames it into an outcome statement executives fund and a team is staffed against.</t>
        </is>
      </c>
    </row>
    <row r="8">
      <c r="A8" s="4" t="inlineStr">
        <is>
          <t>Problem Definition &amp; Validation</t>
        </is>
      </c>
      <c r="B8" s="4" t="inlineStr">
        <is>
          <t>Problem Framing</t>
        </is>
      </c>
      <c r="C8" s="4" t="inlineStr">
        <is>
          <t>Jobs-to-be-done framing</t>
        </is>
      </c>
      <c r="D8" s="6" t="inlineStr">
        <is>
          <t>PM-17</t>
        </is>
      </c>
      <c r="E8" s="4" t="inlineStr">
        <is>
          <t>Models what customers hire products to accomplish — the circumstance, the progress sought, and the competing alternatives (including workarounds and non-consumption) — to predict adoption and define product boundaries.</t>
        </is>
      </c>
      <c r="F8" s="4" t="inlineStr">
        <is>
          <t>Christensen, Hall, Dillon &amp; Duncan, Competing Against Luck: The Story of Innovation and Customer Choice (HarperBusiness, 2016) — customers hire products to make progress in a circumstance; self-sourced capability (PM-17 minted 2026-07 from this ladder's own prior consolidation prose — see scope_note), so evidence is written fresh below.</t>
        </is>
      </c>
      <c r="G8" s="4" t="inlineStr">
        <is>
          <t>Depth: Restates a feature request as the job the customer is hiring it for — circumstance and progress sought — with coaching.
Evidenced by: Restates a stakeholder's feature request as the job the customer is hiring it for — the circumstance and the progress sought — after a lead points out the request was solution-shaped.</t>
        </is>
      </c>
      <c r="H8" s="4" t="inlineStr">
        <is>
          <t>Depth: Maps the main jobs in their area from interview evidence, identifying what customers currently hire and where those hires fail.
Evidenced by: Maps the three or four jobs customers hire their product area for from a batch of interviews, and names where a current job is being served badly enough that customers work around it.</t>
        </is>
      </c>
      <c r="I8" s="4" t="inlineStr">
        <is>
          <t>Depth: Anchors a product's definition and boundaries in its core job, using the job to rule scope in or out and to identify non-obvious competitors.
Evidenced by: Rules a proposed feature out of scope because it does not advance the product's core job, and names a competitor outside the product's category that serves the same job better.</t>
        </is>
      </c>
      <c r="J8" s="4" t="inlineStr">
        <is>
          <t>Depth: Aligns job maps across teams into one view of customer progress, exposing where customers must stitch products together to finish one job.
Evidenced by: Aligns two teams' separate job maps into one view and shows where customers currently stitch both teams' products together to finish a single job neither owns end to end.</t>
        </is>
      </c>
      <c r="K8" s="4" t="inlineStr">
        <is>
          <t>Depth: Uses jobs analysis to shape organization-level portfolio choices — which jobs are served end-to-end, which are exited.
Evidenced by: Uses a jobs-based view of the portfolio to recommend exiting a product line that serves a job the company can no longer serve better than the alternatives customers already use.</t>
        </is>
      </c>
      <c r="L8" s="4" t="inlineStr">
        <is>
          <t>Depth: Frames markets and strategy in jobs terms that reveal disruption threats early; their jobs analyses influence practice beyond their organization.
Evidenced by: Frames an emerging market shift in jobs terms that flags a disruption threat before competitors name it, and the analysis gets cited by other companies watching the same market.</t>
        </is>
      </c>
    </row>
    <row r="9">
      <c r="A9" s="4" t="inlineStr">
        <is>
          <t>Problem Definition &amp; Validation</t>
        </is>
      </c>
      <c r="B9" s="4" t="inlineStr">
        <is>
          <t>Assumption Testing &amp; Validation</t>
        </is>
      </c>
      <c r="C9" s="4" t="inlineStr">
        <is>
          <t>Assumption mapping &amp; risk framing</t>
        </is>
      </c>
      <c r="D9" s="6" t="inlineStr">
        <is>
          <t>PM-18</t>
        </is>
      </c>
      <c r="E9" s="4" t="inlineStr">
        <is>
          <t>Names and ranks the assumptions behind a product bet — desirability, viability, feasibility, usability — and designs the cheapest decisive pre-build tests (prototypes, fake doors, concierge runs) to validate or kill them.</t>
        </is>
      </c>
      <c r="F9" s="4" t="inlineStr">
        <is>
          <t>Bland &amp; Osterwalder, Testing Business Ideas: A Field Guide for Rapid Experimentation (Wiley, 2019) — desirability, viability, feasibility, and usability risks must be named and ranked before building, paired with Cagan's four discovery risks; self-sourced capability (PM-18 minted 2026-07 from this ladder's own prior consolidation prose — see scope_note), so evidence is written fresh below.</t>
        </is>
      </c>
      <c r="G9" s="4" t="inlineStr">
        <is>
          <t>Depth: Lists the assumptions behind a proposed feature, sorts them by risk with coaching, and runs a prescribed simple test, logging what was learned.
Evidenced by: Lists the desirability, viability, feasibility, and usability assumptions behind a proposed feature with a lead's coaching, and runs the one prescribed prototype test the lead assigned.</t>
        </is>
      </c>
      <c r="H9" s="4" t="inlineStr">
        <is>
          <t>Depth: Identifies the riskiest assumption before build and matches the test type to it — prototype, painted door, concierge — with pass/fail defined in advance.
Evidenced by: Names the riskiest assumption in a proposed bet before any build starts, picks a painted-door test to match it, and writes down the pass/fail bar before launching it.</t>
        </is>
      </c>
      <c r="I9" s="4" t="inlineStr">
        <is>
          <t>Depth: Surfaces assumptions others treat as facts, designs test sequences that retire the most risk per unit effort, and kills initiatives whose load-bearing assumptions fail.
Evidenced by: Kills an initiative in flight after a pre-mortem surfaces a load-bearing assumption the team had been quietly treating as a fact, naming the evidence and the trade-off in the write-up.</t>
        </is>
      </c>
      <c r="J9" s="4" t="inlineStr">
        <is>
          <t>Depth: Standardizes how multiple teams express and rank risk, and rejects validation theater — tests that can only confirm, never falsify — before major commitments.
Evidenced by: Standardizes how three teams express and compare risk on their bets and rejects a test design that could only ever confirm the team's existing plan.</t>
        </is>
      </c>
      <c r="K9" s="4" t="inlineStr">
        <is>
          <t>Depth: Builds discovery-testing capability into an organization's investment process — funding follows tested assumptions, and the cost of a first test drops to hours.
Evidenced by: Gets the org's investment process to require a tested-assumption map before funding a major bet, dropping the cost of a first test from weeks to hours.</t>
        </is>
      </c>
      <c r="L9" s="4" t="inlineStr">
        <is>
          <t>Depth: Structures bets too big to A/B as staged, falsifiable commitments; their validation doctrine is cited and adopted beyond their organization.
Evidenced by: Structures a bet too large to A/B — a new pricing model — as a sequence of staged, falsifiable commitments, and other companies cite the approach when facing similar bets.</t>
        </is>
      </c>
    </row>
    <row r="10">
      <c r="A10" s="4" t="inlineStr">
        <is>
          <t>Problem Definition &amp; Validation</t>
        </is>
      </c>
      <c r="B10" s="4" t="inlineStr">
        <is>
          <t>Assumption Testing &amp; Validation</t>
        </is>
      </c>
      <c r="C10" s="4" t="inlineStr">
        <is>
          <t>Assumption testing &amp; experiments</t>
        </is>
      </c>
      <c r="D10" s="6" t="inlineStr">
        <is>
          <t>PM-18</t>
        </is>
      </c>
      <c r="E10" s="4" t="inlineStr">
        <is>
          <t>Names and ranks the assumptions behind a product bet — desirability, viability, feasibility, usability — and designs the cheapest decisive pre-build tests (prototypes, fake doors, concierge runs) to validate or kill them.</t>
        </is>
      </c>
      <c r="F10" s="4" t="inlineStr">
        <is>
          <t>Ries, The Lean Startup: How Today's Entrepreneurs Use Continuous Innovation to Create Radically Successful Businesses (Crown Business, 2011) — the smallest test that produces validated learning beats the most polished untested build, paired with Torres's continuous-testing habit; self-sourced capability (PM-18 minted 2026-07 from this ladder's own prior consolidation prose — see scope_note), so evidence is written fresh below.</t>
        </is>
      </c>
      <c r="G10" s="4" t="inlineStr">
        <is>
          <t>Depth: Lists the assumptions behind a proposed feature, sorts them by risk with coaching, and runs a prescribed simple test, logging what was learned.
Evidenced by: Builds a fake-door test from a design a senior PM already specified, launches it exactly as instructed, and logs what the click-through data showed.</t>
        </is>
      </c>
      <c r="H10" s="4" t="inlineStr">
        <is>
          <t>Depth: Identifies the riskiest assumption before build and matches the test type to it — prototype, painted door, concierge — with pass/fail defined in advance.
Evidenced by: Picks a painted-door test to check demand for a proposed feature, defines the click-through rate that counts as a pass before launching it, and reports the result honestly when it fails.</t>
        </is>
      </c>
      <c r="I10" s="4" t="inlineStr">
        <is>
          <t>Depth: Surfaces assumptions others treat as facts, designs test sequences that retire the most risk per unit effort, and kills initiatives whose load-bearing assumptions fail.
Evidenced by: Designs a sequence of three cheap tests that retires the two riskiest assumptions behind a bet in a week, and cancels a fourth test whose result couldn't have changed the team's decision either way.</t>
        </is>
      </c>
      <c r="J10" s="4" t="inlineStr">
        <is>
          <t>Depth: Standardizes how multiple teams express and rank risk, and rejects validation theater — tests that can only confirm, never falsify — before major commitments.
Evidenced by: Redesigns another team's third inconclusive prototype test — the problem was the test, not the users — instead of letting them rerun the same test at larger scale.</t>
        </is>
      </c>
      <c r="K10" s="4" t="inlineStr">
        <is>
          <t>Depth: Builds discovery-testing capability into an organization's investment process — funding follows tested assumptions, and the cost of a first test drops to hours.
Evidenced by: Builds a shared prototype-testing panel and painted-door toolkit that drops the org's cost of a first test from a two-week build to an afternoon.</t>
        </is>
      </c>
      <c r="L10" s="4" t="inlineStr">
        <is>
          <t>Depth: Structures bets too big to A/B as staged, falsifiable commitments; their validation doctrine is cited and adopted beyond their organization.
Evidenced by: Designs a staged, falsifiable validation plan for a bet on an entirely new pricing model too large to A/B, with milestones the company can kill the bet against.</t>
        </is>
      </c>
    </row>
    <row r="11">
      <c r="A11" s="4" t="inlineStr">
        <is>
          <t>Problem Definition &amp; Validation</t>
        </is>
      </c>
      <c r="B11" s="4" t="inlineStr">
        <is>
          <t>Assumption Testing &amp; Validation</t>
        </is>
      </c>
      <c r="C11" s="4" t="inlineStr">
        <is>
          <t>Prototype &amp; solution testing</t>
        </is>
      </c>
      <c r="D11" s="6" t="inlineStr">
        <is>
          <t>PM-18</t>
        </is>
      </c>
      <c r="E11" s="4" t="inlineStr">
        <is>
          <t>Names and ranks the assumptions behind a product bet — desirability, viability, feasibility, usability — and designs the cheapest decisive pre-build tests (prototypes, fake doors, concierge runs) to validate or kill them.</t>
        </is>
      </c>
      <c r="F11" s="4" t="inlineStr">
        <is>
          <t>Bland &amp; Osterwalder, Testing Business Ideas: A Field Guide for Rapid Experimentation (Wiley, 2019) — substituted for Olsen's The Lean Product Playbook (no bibliography entry) with Bland &amp; Osterwalder's experiment library, which explicitly includes prototype and solution tests; self-sourced capability (PM-18 minted 2026-07 from this ladder's own prior consolidation prose — see scope_note), so evidence is fresh below.</t>
        </is>
      </c>
      <c r="G11" s="4" t="inlineStr">
        <is>
          <t>Depth: Lists the assumptions behind a proposed feature, sorts them by risk with coaching, and runs a prescribed simple test, logging what was learned.
Evidenced by: Runs a moderated usability test of an existing clickable prototype from a task script a designer wrote, noting where the participant stalls without explaining the design to them.</t>
        </is>
      </c>
      <c r="H11" s="4" t="inlineStr">
        <is>
          <t>Depth: Identifies the riskiest assumption before build and matches the test type to it — prototype, painted door, concierge — with pass/fail defined in advance.
Evidenced by: Pairs with design to build a low-fidelity prototype that matches the question at hand, tests it with five users, and reports what changed between rounds and why.</t>
        </is>
      </c>
      <c r="I11" s="4" t="inlineStr">
        <is>
          <t>Depth: Surfaces assumptions others treat as facts, designs test sequences that retire the most risk per unit effort, and kills initiatives whose load-bearing assumptions fail.
Evidenced by: Chooses live-data testing over a prototype for a bet where the real signal only shows up under real usage, and the team commits to build once the evidence is sufficient by a bar set in advance.</t>
        </is>
      </c>
      <c r="J11" s="4" t="inlineStr">
        <is>
          <t>Depth: Standardizes how multiple teams express and rank risk, and rejects validation theater — tests that can only confirm, never falsify — before major commitments.
Evidenced by: Reviews another team's solution test ahead of a major commitment and catches that the test, as designed, could only ever confirm the team already wanted to build it.</t>
        </is>
      </c>
      <c r="K11" s="4" t="inlineStr">
        <is>
          <t>Depth: Builds discovery-testing capability into an organization's investment process — funding follows tested assumptions, and the cost of a first test drops to hours.
Evidenced by: Builds the org's shared prototyping panel and fidelity norms so every team's default is to test a solution cheaply before committing engineering time to it.</t>
        </is>
      </c>
      <c r="L11" s="4" t="inlineStr">
        <is>
          <t>Depth: Structures bets too big to A/B as staged, falsifiable commitments; their validation doctrine is cited and adopted beyond their organization.
Evidenced by: Represents test-before-build as company doctrine in front of executives pushing for a committed roadmap without evidence, and the practice holds.</t>
        </is>
      </c>
    </row>
    <row r="12">
      <c r="A12" s="4" t="inlineStr">
        <is>
          <t>Product Strategy &amp; Vision</t>
        </is>
      </c>
      <c r="B12" s="4" t="inlineStr">
        <is>
          <t>Strategy &amp; Positioning</t>
        </is>
      </c>
      <c r="C12" s="4" t="inlineStr">
        <is>
          <t>Product strategy formulation</t>
        </is>
      </c>
      <c r="D12" s="6" t="inlineStr">
        <is>
          <t>PM-04</t>
        </is>
      </c>
      <c r="E12" s="4" t="inlineStr">
        <is>
          <t>Defining target markets, value propositions, and differentiation that guide what to build and why.</t>
        </is>
      </c>
      <c r="F12" s="4" t="inlineStr">
        <is>
          <t>Rumelt, Good Strategy Bad Strategy: The Difference and Why It Matters (Crown Business, 2011) — real strategy is diagnosis, guiding policy, and coherent action; most "strategies" are goals, and the craft is the diagnosis that names the real obstacle before choosing what to do about it.</t>
        </is>
      </c>
      <c r="G12" s="4" t="inlineStr">
        <is>
          <t>Depth: Drafts positioning statements from a given strategy under direction.
Evidenced by: Drafts the positioning statement for their epic from the strategy their lead already set, and revises it twice on review before it holds up.</t>
        </is>
      </c>
      <c r="H12" s="4" t="inlineStr">
        <is>
          <t>Depth: Articulates strategy and positioning for one product with normal review.
Evidenced by: Writes down their product area's priorities as explicit choices — what they are doing and what they are deliberately not — and flags a request that doesn't serve the stated strategy.</t>
        </is>
      </c>
      <c r="I12" s="4" t="inlineStr">
        <is>
          <t>Depth: Independently sets coherent strategy amid ambiguity and defends hard trade-offs.
Evidenced by: Writes the diagnosis, guiding policy, and coherent bets for their product's strategy, and defends the resulting kill-list to the stakeholders who proposed the killed work.</t>
        </is>
      </c>
      <c r="J12" s="4" t="inlineStr">
        <is>
          <t>Depth: Defines the strategy framework teams adopt and resolves conflicting strategic bets.
Evidenced by: Writes a strategy framework that two other product teams adopt as the frame for their own areas, and reviews a peer's area strategy for a diagnosis that doesn't match its stated bets.</t>
        </is>
      </c>
      <c r="K12" s="4" t="inlineStr">
        <is>
          <t>Depth: Owns portfolio-level strategy and anticipates where the market is heading.
Evidenced by: Shapes where the product org concentrates investment and where it deliberately starves a line, in a document leadership funds against.</t>
        </is>
      </c>
      <c r="L12" s="4" t="inlineStr">
        <is>
          <t>Depth: Defines what good product strategy means for the discipline and influences practice externally.
Evidenced by: Co-authors the company's strategy from the product side, and the shape of the portfolio a year later reflects arguments made in that document.</t>
        </is>
      </c>
    </row>
    <row r="13">
      <c r="A13" s="4" t="inlineStr">
        <is>
          <t>Product Strategy &amp; Vision</t>
        </is>
      </c>
      <c r="B13" s="4" t="inlineStr">
        <is>
          <t>Strategy &amp; Positioning</t>
        </is>
      </c>
      <c r="C13" s="4" t="inlineStr">
        <is>
          <t>Positioning &amp; differentiation</t>
        </is>
      </c>
      <c r="D13" s="6" t="inlineStr">
        <is>
          <t>PM-04</t>
        </is>
      </c>
      <c r="E13" s="4" t="inlineStr">
        <is>
          <t>Defining target markets, value propositions, and differentiation that guide what to build and why.</t>
        </is>
      </c>
      <c r="F13" s="4" t="inlineStr">
        <is>
          <t>Dunford, Obviously Awesome: How to Nail Product Positioning (Ambient Press, 2019) — deliberate positioning against the right competitive alternatives determines whether strengths read as value, paired with Moore's chasm-crossing model of adoption won segment by segment.</t>
        </is>
      </c>
      <c r="G13" s="4" t="inlineStr">
        <is>
          <t>Depth: Drafts positioning statements from a given strategy under direction.
Evidenced by: States who a new feature is for, what it replaces, and why it wins in two sentences that match the team's existing positioning canvas.</t>
        </is>
      </c>
      <c r="H13" s="4" t="inlineStr">
        <is>
          <t>Depth: Articulates strategy and positioning for one product with normal review.
Evidenced by: Flags in review that a proposed feature would blur their area's positioning against a named competitive alternative, and gets the scope adjusted before it ships.</t>
        </is>
      </c>
      <c r="I13" s="4" t="inlineStr">
        <is>
          <t>Depth: Independently sets coherent strategy amid ambiguity and defends hard trade-offs.
Evidenced by: Repositions a product after a competitor's launch shifts the market, running the alternatives analysis in writing, and marketing builds the next campaign from that document.</t>
        </is>
      </c>
      <c r="J13" s="4" t="inlineStr">
        <is>
          <t>Depth: Defines the strategy framework teams adopt and resolves conflicting strategic bets.
Evidenced by: Resolves a case where two products in the same family were quietly undercutting each other's positioning in sales conversations, and issues one coherent family positioning doc.</t>
        </is>
      </c>
      <c r="K13" s="4" t="inlineStr">
        <is>
          <t>Depth: Owns portfolio-level strategy and anticipates where the market is heading.
Evidenced by: Sets which capabilities the org will be known for this year and which it will deliberately not compete on, and holds two roadmaps to that line when they drift.</t>
        </is>
      </c>
      <c r="L13" s="4" t="inlineStr">
        <is>
          <t>Depth: Defines what good product strategy means for the discipline and influences practice externally.
Evidenced by: Makes the category-redefinition argument that gets picked up by industry analysts covering the company's market.</t>
        </is>
      </c>
    </row>
    <row r="14">
      <c r="A14" s="4" t="inlineStr">
        <is>
          <t>Product Strategy &amp; Vision</t>
        </is>
      </c>
      <c r="B14" s="4" t="inlineStr">
        <is>
          <t>Vision, Roadmaps &amp; Goals</t>
        </is>
      </c>
      <c r="C14" s="4" t="inlineStr">
        <is>
          <t>Product vision narrative</t>
        </is>
      </c>
      <c r="D14" s="6" t="inlineStr">
        <is>
          <t>PM-06</t>
        </is>
      </c>
      <c r="E14" s="4" t="inlineStr">
        <is>
          <t>Articulating product vision and outcome-based objectives that align teams over time.</t>
        </is>
      </c>
      <c r="F14" s="4" t="inlineStr">
        <is>
          <t>Cagan, INSPIRED: How to Create Tech Products Customers Love, 2nd Edition (Wiley, 2018) — a compelling product vision recruits, aligns, and outlasts individual roadmaps; teams need a destination that survives quarterly churn.</t>
        </is>
      </c>
      <c r="G14" s="4" t="inlineStr">
        <is>
          <t>Depth: Translates a stated vision into concrete goals under direction.
Evidenced by: Explains to a new teammate why their epic matters by retelling the product vision accurately, without needing the lead to translate it.</t>
        </is>
      </c>
      <c r="H14" s="4" t="inlineStr">
        <is>
          <t>Depth: Sets clear, measurable goals for a product area with normal review.
Evidenced by: Points out in a planning review that a proposed feature leads the roadmap away from the stated vision, and gets the team realigned before committing the sprint.</t>
        </is>
      </c>
      <c r="I14" s="4" t="inlineStr">
        <is>
          <t>Depth: Independently crafts a compelling vision and cascades aligned goals through ambiguity.
Evidenced by: Writes a press-release-style vision doc that an engineer cites unprompted three months later to justify a local design decision.</t>
        </is>
      </c>
      <c r="J14" s="4" t="inlineStr">
        <is>
          <t>Depth: Defines goal-setting frameworks others adopt and aligns competing visions.
Evidenced by: Writes a vision artifact that resolves a contradiction between two product areas' separate visions before either team ships something the other would have to walk back.</t>
        </is>
      </c>
      <c r="K14" s="4" t="inlineStr">
        <is>
          <t>Depth: Sets enduring vision across the portfolio and anticipates long-horizon shifts.
Evidenced by: Owns the product org's north-star narrative and visibly retires it in favor of a new one once the underlying diagnosis has changed.</t>
        </is>
      </c>
      <c r="L14" s="4" t="inlineStr">
        <is>
          <t>Depth: Shapes how the discipline frames product vision and is externally credible on it.
Evidenced by: Writes the product future narrative used in the company's fundraising deck and cited in board discussions of where the company is headed.</t>
        </is>
      </c>
    </row>
    <row r="15">
      <c r="A15" s="4" t="inlineStr">
        <is>
          <t>Product Strategy &amp; Vision</t>
        </is>
      </c>
      <c r="B15" s="4" t="inlineStr">
        <is>
          <t>Vision, Roadmaps &amp; Goals</t>
        </is>
      </c>
      <c r="C15" s="4" t="inlineStr">
        <is>
          <t>Outcome-based roadmapping</t>
        </is>
      </c>
      <c r="D15" s="6" t="inlineStr">
        <is>
          <t>PM-05</t>
        </is>
      </c>
      <c r="E15" s="4" t="inlineStr">
        <is>
          <t>Sequencing initiatives across products and horizons against goals, capacity, and dependencies.</t>
        </is>
      </c>
      <c r="F15" s="4" t="inlineStr">
        <is>
          <t>Perri, Escaping the Build Trap: How Effective Product Management Creates Real Value (O'Reilly, 2018) — roadmaps as strategic communication of outcomes and confidence, not feature release calendars, paired with Lombardo et al.'s theme-based, now/next/later roadmap format that operationalizes the same idea.</t>
        </is>
      </c>
      <c r="G15" s="4" t="inlineStr">
        <is>
          <t>Depth: Maintains roadmap items and updates status under guidance.
Evidenced by: Keeps their epic's roadmap entry current — status, confidence, what was learned — and explains to a stakeholder why it shows a quarter, not a date.</t>
        </is>
      </c>
      <c r="H15" s="4" t="inlineStr">
        <is>
          <t>Depth: Builds and sequences a credible roadmap for one product with normal review.
Evidenced by: Builds their product area's now/next/later roadmap around outcomes and holds the line when a stakeholder pushes to convert 'later' into a committed date.</t>
        </is>
      </c>
      <c r="I15" s="4" t="inlineStr">
        <is>
          <t>Depth: Independently balances competing priorities and replans confidently under shifting constraints.
Evidenced by: Trades scope for outcome with a VP in a roadmap review and shows, in the same meeting, exactly which discovery evidence justifies the change from last quarter's plan.</t>
        </is>
      </c>
      <c r="J15" s="4" t="inlineStr">
        <is>
          <t>Depth: Designs the planning approach others use and resolves cross-team portfolio conflicts.
Evidenced by: Surfaces a dependency between two areas' roadmaps that would have collided mid-quarter and re-sequences both before either team commits the conflicting work.</t>
        </is>
      </c>
      <c r="K15" s="4" t="inlineStr">
        <is>
          <t>Depth: Sets portfolio planning strategy and foresees where investment should shift next.
Evidenced by: Owns the cadence and confidence-language format every product team's roadmap uses, and defends the now/next/later structure when an executive asks for firm dates the evidence can't support.</t>
        </is>
      </c>
      <c r="L15" s="4" t="inlineStr">
        <is>
          <t>Depth: Defines portfolio-planning best practice for the field and is recognized for it.
Evidenced by: Presents the company's portfolio roadmap to the board as a strategy narrative, and sets the company-wide norm for what a roadmap does and doesn't promise.</t>
        </is>
      </c>
    </row>
    <row r="16">
      <c r="A16" s="4" t="inlineStr">
        <is>
          <t>Product Strategy &amp; Vision</t>
        </is>
      </c>
      <c r="B16" s="4" t="inlineStr">
        <is>
          <t>Vision, Roadmaps &amp; Goals</t>
        </is>
      </c>
      <c r="C16" s="4" t="inlineStr">
        <is>
          <t>Goal setting &amp; OKRs</t>
        </is>
      </c>
      <c r="D16" s="6" t="inlineStr">
        <is>
          <t>PM-06</t>
        </is>
      </c>
      <c r="E16" s="4" t="inlineStr">
        <is>
          <t>Articulating product vision and outcome-based objectives that align teams over time.</t>
        </is>
      </c>
      <c r="F16" s="4" t="inlineStr">
        <is>
          <t>Doerr, Measure What Matters (Portfolio/Penguin, 2018) — objectives with measurable key results align effort and expose sandbagging; goals are the interface between strategy and weekly work.</t>
        </is>
      </c>
      <c r="G16" s="4" t="inlineStr">
        <is>
          <t>Depth: Translates a stated vision into concrete goals under direction.
Evidenced by: Writes a measurable key result for their epic that names a user or business change rather than a shipped artifact, with a lead's review catching the first draft's vanity metric.</t>
        </is>
      </c>
      <c r="H16" s="4" t="inlineStr">
        <is>
          <t>Depth: Sets clear, measurable goals for a product area with normal review.
Evidenced by: Sets their product area's quarterly OKRs, and at quarter end grades honestly that a key result was hit but the underlying goal wasn't actually moved.</t>
        </is>
      </c>
      <c r="I16" s="4" t="inlineStr">
        <is>
          <t>Depth: Independently crafts a compelling vision and cascades aligned goals through ambiguity.
Evidenced by: Pushes back on a cascaded target the team's own evidence doesn't support, and re-scopes a key result mid-quarter once new data shows the original one was set wrong.</t>
        </is>
      </c>
      <c r="J16" s="4" t="inlineStr">
        <is>
          <t>Depth: Defines goal-setting frameworks others adopt and aligns competing visions.
Evidenced by: Reviews a peer's team's OKRs, catches a key result that's really an output count in disguise, and coaches the rewrite into something the team can actually be judged against.</t>
        </is>
      </c>
      <c r="K16" s="4" t="inlineStr">
        <is>
          <t>Depth: Sets enduring vision across the portfolio and anticipates long-horizon shifts.
Evidenced by: Designs how product-team OKRs ladder to company-level results without becoming a chain of restated numbers, and runs the calibration session where two teams' conflicting goals get resolved.</t>
        </is>
      </c>
      <c r="L16" s="4" t="inlineStr">
        <is>
          <t>Depth: Shapes how the discipline frames product vision and is externally credible on it.
Evidenced by: Holds the line on measurable, outcome-based objectives at the executive table when a leader proposes a vague, unmeasurable company goal for the year.</t>
        </is>
      </c>
    </row>
    <row r="17">
      <c r="A17" s="4" t="inlineStr">
        <is>
          <t>Data &amp; Analytics</t>
        </is>
      </c>
      <c r="B17" s="4" t="inlineStr">
        <is>
          <t>Metrics &amp; Behavioral Analysis</t>
        </is>
      </c>
      <c r="C17" s="4" t="inlineStr">
        <is>
          <t>Success metrics &amp; KPI design</t>
        </is>
      </c>
      <c r="D17" s="6" t="inlineStr">
        <is>
          <t>PM-10</t>
        </is>
      </c>
      <c r="E17" s="4" t="inlineStr">
        <is>
          <t>Defining success metrics and interpreting product data to evaluate impact and guide iteration.</t>
        </is>
      </c>
      <c r="F17" s="4" t="inlineStr">
        <is>
          <t>Croll &amp; Yoskovitz, Lean Analytics: Use Data to Build a Better Startup Faster (O'Reilly, 2013) — the One Metric That Matters and the vanity-metric critique; a product optimizes whatever its metrics reward, so metric design is behavior design.</t>
        </is>
      </c>
      <c r="G17" s="4" t="inlineStr">
        <is>
          <t>Depth: Pulls and reports defined product metrics under direction.
Evidenced by: Pulls and reports the metrics their lead already defined for a launched feature, distinguishing a vanity count from an actionable rate with guidance when asked.</t>
        </is>
      </c>
      <c r="H17" s="4" t="inlineStr">
        <is>
          <t>Depth: Builds and interprets metric dashboards for a product with normal review.
Evidenced by: Builds and owns the dashboard for their product area's metrics tree, retiring a metric that had been moving without anyone able to say why it mattered.</t>
        </is>
      </c>
      <c r="I17" s="4" t="inlineStr">
        <is>
          <t>Depth: Independently designs metric frameworks and draws sound conclusions from messy data.
Evidenced by: Designs the single metric their product is judged by and defends, to a leadership team wanting a friendlier number, why the current one is the honest one despite the bad quarter it's showing.</t>
        </is>
      </c>
      <c r="J17" s="4" t="inlineStr">
        <is>
          <t>Depth: Defines the measurement model teams adopt and diagnoses misleading metrics others trust.
Evidenced by: Reconciles three teams' different definitions of 'activation' into one shared definition, and catches a proposed new metric that would reward a perverse shortcut before it ships.</t>
        </is>
      </c>
      <c r="K17" s="4" t="inlineStr">
        <is>
          <t>Depth: Sets product-analytics strategy across the org and anticipates which signals will matter.
Evidenced by: Sets the org's north-star metric framework and guardrail policy, and audits a team's dashboard that turns out not to reflect what's actually happening with users.</t>
        </is>
      </c>
      <c r="L17" s="4" t="inlineStr">
        <is>
          <t>Depth: Defines rigorous product measurement for the discipline and is cited externally on it.
Evidenced by: Defines how the company connects product metrics to financial outcomes in a model the finance team uses directly in board reporting.</t>
        </is>
      </c>
    </row>
    <row r="18">
      <c r="A18" s="4" t="inlineStr">
        <is>
          <t>Data &amp; Analytics</t>
        </is>
      </c>
      <c r="B18" s="4" t="inlineStr">
        <is>
          <t>Metrics &amp; Behavioral Analysis</t>
        </is>
      </c>
      <c r="C18" s="4" t="inlineStr">
        <is>
          <t>Funnel &amp; behavioral analysis</t>
        </is>
      </c>
      <c r="D18" s="6" t="inlineStr">
        <is>
          <t>PM-10</t>
        </is>
      </c>
      <c r="E18" s="4" t="inlineStr">
        <is>
          <t>Defining success metrics and interpreting product data to evaluate impact and guide iteration.</t>
        </is>
      </c>
      <c r="F18" s="4" t="inlineStr">
        <is>
          <t>Croll &amp; Yoskovitz, Lean Analytics: Use Data to Build a Better Startup Faster (O'Reilly, 2013) — substituted (McClure's 'Startup Metrics for Pirates' has no bibliography entry) with the anchor already carried above: Croll &amp; Yoskovitz's stage-based funnel and cohort model incorporates AARRR directly and is already in the bibliography.</t>
        </is>
      </c>
      <c r="G18" s="4" t="inlineStr">
        <is>
          <t>Depth: Pulls and reports defined product metrics under direction.
Evidenced by: Pulls their feature's funnel numbers from the analytics stack and reports the drop-off honestly without guessing at a cause the data doesn't show.</t>
        </is>
      </c>
      <c r="H18" s="4" t="inlineStr">
        <is>
          <t>Depth: Builds and interprets metric dashboards for a product with normal review.
Evidenced by: Runs a cohort analysis that locates exactly which step of their area's funnel is leaking value, then pairs it with a handful of interviews to explain why before proposing a fix.</t>
        </is>
      </c>
      <c r="I18" s="4" t="inlineStr">
        <is>
          <t>Depth: Independently designs metric frameworks and draws sound conclusions from messy data.
Evidenced by: Catches that a colleague's promising-looking retention chart is a seasonality artifact, not a real improvement, before it gets presented as a win.</t>
        </is>
      </c>
      <c r="J18" s="4" t="inlineStr">
        <is>
          <t>Depth: Defines the measurement model teams adopt and diagnoses misleading metrics others trust.
Evidenced by: Traces a customer journey that crosses two products' boundaries and quantifies friction — a re-login, a re-entered form — that neither team's own dashboard was built to show.</t>
        </is>
      </c>
      <c r="K18" s="4" t="inlineStr">
        <is>
          <t>Depth: Sets product-analytics strategy across the org and anticipates which signals will matter.
Evidenced by: Builds the org's self-serve analytics tooling so teams can answer their own funnel questions correctly without waiting on a data-science queue.</t>
        </is>
      </c>
      <c r="L18" s="4" t="inlineStr">
        <is>
          <t>Depth: Defines rigorous product measurement for the discipline and is cited externally on it.
Evidenced by: Spots an early portfolio-level usage shift that presages churn in a major segment months before it shows up in revenue, and gets the company to act on it.</t>
        </is>
      </c>
    </row>
    <row r="19">
      <c r="A19" s="4" t="inlineStr">
        <is>
          <t>Data &amp; Analytics</t>
        </is>
      </c>
      <c r="B19" s="4" t="inlineStr">
        <is>
          <t>Experimentation &amp; Decision Quality</t>
        </is>
      </c>
      <c r="C19" s="4" t="inlineStr">
        <is>
          <t>A/B test design &amp; analysis</t>
        </is>
      </c>
      <c r="D19" s="6" t="inlineStr">
        <is>
          <t>PM-11</t>
        </is>
      </c>
      <c r="E19" s="4" t="inlineStr">
        <is>
          <t>Designing and reading controlled experiments to validate hypotheses and de-risk decisions.</t>
        </is>
      </c>
      <c r="F19" s="4" t="inlineStr">
        <is>
          <t>Kohavi, Tang &amp; Xu, Trustworthy Online Controlled Experiments: A Practical Guide to A/B Testing (Cambridge University Press, 2020) — controlled experiments as the gold standard for causal claims, and the catalog of ways they silently lie (SRM, peeking, novelty effects).</t>
        </is>
      </c>
      <c r="G19" s="4" t="inlineStr">
        <is>
          <t>Depth: Runs predefined experiments and records results under supervision.
Evidenced by: Runs an A/B test exactly as an analyst designed it, records the results without touching the analysis method, and waits for the pre-agreed end date.</t>
        </is>
      </c>
      <c r="H19" s="4" t="inlineStr">
        <is>
          <t>Depth: Designs and analyzes a standard A/B test with normal review.
Evidenced by: Designs and ships an A/B test for their own feature — power calculation, guardrail metrics, no peeking — and writes up a null result honestly instead of quietly shelving it.</t>
        </is>
      </c>
      <c r="I19" s="4" t="inlineStr">
        <is>
          <t>Depth: Independently designs valid experiments and interprets ambiguous or conflicting results.
Evidenced by: Catches a sample-ratio mismatch in a colleague's experiment before its result gets used to justify a launch, and is the person their own product's other PMs ask to sanity-check a test design before it ships.</t>
        </is>
      </c>
      <c r="J19" s="4" t="inlineStr">
        <is>
          <t>Depth: Defines experimentation standards others adopt and rescues flawed test designs.
Evidenced by: Audits experiment practice across three teams, catches a pattern of rerunning tests until they hit significance, and gets one shared readout format adopted everywhere.</t>
        </is>
      </c>
      <c r="K19" s="4" t="inlineStr">
        <is>
          <t>Depth: Sets the org's experimentation strategy and anticipates where testing should expand.
Evidenced by: Builds the org's experimentation platform requirements and a repository of past results so a new test doesn't reinvent an intervention that's already been tried and failed.</t>
        </is>
      </c>
      <c r="L19" s="4" t="inlineStr">
        <is>
          <t>Depth: Defines experimentation rigor for the discipline and influences external practice.
Evidenced by: Sets company policy on where A/B testing is mandatory before a launch and where judgment rightly overrides it, and the policy holds under executive pressure to skip it.</t>
        </is>
      </c>
    </row>
    <row r="20">
      <c r="A20" s="4" t="inlineStr">
        <is>
          <t>Data &amp; Analytics</t>
        </is>
      </c>
      <c r="B20" s="4" t="inlineStr">
        <is>
          <t>Experimentation &amp; Decision Quality</t>
        </is>
      </c>
      <c r="C20" s="4" t="inlineStr">
        <is>
          <t>Decision quality under uncertainty</t>
        </is>
      </c>
      <c r="D20" s="6" t="inlineStr">
        <is>
          <t>LI-04</t>
        </is>
      </c>
      <c r="E20" s="4" t="inlineStr">
        <is>
          <t>Makes sound calls with incomplete information.</t>
        </is>
      </c>
      <c r="F20" s="4" t="inlineStr">
        <is>
          <t>Kahneman, Thinking, Fast and Slow (Farrar, Straus and Giroux, 2011) — substituted for Duke's Thinking in Bets (no bibliography entry) with Kahneman's Thinking, Fast and Slow, the other named source in the original two-author anchor line — the named biases that predictably distort product bets made under time pressure and incomplete information.</t>
        </is>
      </c>
      <c r="G20" s="4" t="inlineStr">
        <is>
          <t>Depth: Makes well-defined decisions; asks good questions when blocked.
Evidenced by: Writes down the options considered and the reasoning before a decision on their epic, and separates a bad outcome from a bad decision in the retro when a lead prompts them to.</t>
        </is>
      </c>
      <c r="H20" s="4" t="inlineStr">
        <is>
          <t>Depth: Decides independently within their components; evaluates alternatives honestly.
Evidenced by: States their confidence level and whether a call is reversible before deciding, moving fast on the two-way doors and slowing down on the one-way ones, and keeps a decision log the team consults.</t>
        </is>
      </c>
      <c r="I20" s="4" t="inlineStr">
        <is>
          <t>Depth: Makes architectural choices for a domain that hold up over months.
Evidenced by: Names the strongest disconfirming evidence against their own plan before a stakeholder can raise it, and changes course publicly once new data proves the original call wrong.</t>
        </is>
      </c>
      <c r="J20" s="4" t="inlineStr">
        <is>
          <t>Depth: Foresees second-order consequences; sets decision frameworks for teams.
Evidenced by: Reviews another PM's high-stakes decision before it's committed, catches a sunk-cost pattern in the reasoning, and the decision-record format spreads to two other teams.</t>
        </is>
      </c>
      <c r="K20" s="4" t="inlineStr">
        <is>
          <t>Depth: Sets decision-making frameworks for the org.
Evidenced by: Designs the org's decision mechanism — who decides what, at what evidence bar, with what escalation path — and runs a pre-mortem on the year's biggest bet.</t>
        </is>
      </c>
      <c r="L20" s="4" t="inlineStr">
        <is>
          <t>Depth: Visionary judgment; sees structural causes others miss.
Evidenced by: Gets pulled into a company-level decision precisely because their reasoning record is public and audited, and their judgment settles a call nobody else could resolve.</t>
        </is>
      </c>
    </row>
    <row r="21">
      <c r="A21" s="4" t="inlineStr">
        <is>
          <t>Execution &amp; Delivery</t>
        </is>
      </c>
      <c r="B21" s="4" t="inlineStr">
        <is>
          <t>Prioritization &amp; Trade-offs</t>
        </is>
      </c>
      <c r="C21" s="4" t="inlineStr">
        <is>
          <t>Prioritization &amp; sequencing</t>
        </is>
      </c>
      <c r="D21" s="6" t="inlineStr">
        <is>
          <t>PD-02</t>
        </is>
      </c>
      <c r="E21" s="4" t="inlineStr">
        <is>
          <t>Weighs cost, value, risk and timing.</t>
        </is>
      </c>
      <c r="F21" s="4" t="inlineStr">
        <is>
          <t>Reinertsen, The Principles of Product Development Flow: Second Generation Lean Product Development (Celeritas, 2009) — cost of delay divided by duration (WSJF) is the economically correct sequencing logic; intuition systematically misprices queues.</t>
        </is>
      </c>
      <c r="G21" s="4" t="inlineStr">
        <is>
          <t>Depth: Works highest-priority-first when told the priorities.
Evidenced by: Orders their epic's backlog with stated reasoning — value, urgency, dependency — and re-orders it without protest when a lead points out a fact has changed.</t>
        </is>
      </c>
      <c r="H21" s="4" t="inlineStr">
        <is>
          <t>Depth: Makes sound priority calls within scope; time-boxes uncertain work.
Evidenced by: Prioritizes their product area's backlog using an explicit cost-of-delay estimate and shows the math when a stakeholder challenges the order.</t>
        </is>
      </c>
      <c r="I21" s="4" t="inlineStr">
        <is>
          <t>Depth: Balances cost/value/risk across a domain; resists hype; decisions hold up over months.
Evidenced by: Sequences a quarter's work across debt, features, and a compliance deadline with written trade-off reasoning stakeholders accept even when their request loses.</t>
        </is>
      </c>
      <c r="J21" s="4" t="inlineStr">
        <is>
          <t>Depth: Expert at portfolio-level trade-offs; surfaces hidden assumptions; trusted tiebreaker.
Evidenced by: Moves a chunk of scope from one team to another when the portfolio-level cost-of-delay math demands it, with the displaced team's agreement documented.</t>
        </is>
      </c>
      <c r="K21" s="4" t="inlineStr">
        <is>
          <t>Depth: Sets decision frameworks for the org.
Evidenced by: Builds the explicit framework the org uses to split investment across run, grow, and transform work, and defends it through a planning cycle that tries to override it.</t>
        </is>
      </c>
      <c r="L21" s="4" t="inlineStr">
        <is>
          <t>Depth: Influences company strategic direction through judgment.
Evidenced by: Makes the economic case that gets a product line harvested rather than continuing to be funded, using cost-of-delay reasoning the leadership team accepts.</t>
        </is>
      </c>
    </row>
    <row r="22">
      <c r="A22" s="4" t="inlineStr">
        <is>
          <t>Execution &amp; Delivery</t>
        </is>
      </c>
      <c r="B22" s="4" t="inlineStr">
        <is>
          <t>Prioritization &amp; Trade-offs</t>
        </is>
      </c>
      <c r="C22" s="4" t="inlineStr">
        <is>
          <t>Scope-cutting &amp; trade-offs</t>
        </is>
      </c>
      <c r="D22" s="6" t="inlineStr">
        <is>
          <t>PD-01</t>
        </is>
      </c>
      <c r="E22" s="4" t="inlineStr">
        <is>
          <t>Slices work so value and learning arrive early.</t>
        </is>
      </c>
      <c r="F22" s="4" t="inlineStr">
        <is>
          <t>Cagan, INSPIRED: How to Create Tech Products Customers Love, 2nd Edition (Wiley, 2018) — deliver the smallest thing that achieves the outcome; the ability to cut scope without cutting the outcome is what separates shipping-on-time from shipping-late-and-bloated.</t>
        </is>
      </c>
      <c r="G22" s="4" t="inlineStr">
        <is>
          <t>Depth: Breaks own tasks into reviewable pieces with guidance.
Evidenced by: Breaks their feature into reviewable pieces with a lead's guidance, and writes down what's lost if the last piece has to be cut.</t>
        </is>
      </c>
      <c r="H22" s="4" t="inlineStr">
        <is>
          <t>Depth: Independently decomposes a feature into shippable slices.
Evidenced by: Cuts a feature's scope decisively when the sprint slips, protects the outcome-critical path, and tells the affected stakeholder before they notice on their own.</t>
        </is>
      </c>
      <c r="I22" s="4" t="inlineStr">
        <is>
          <t>Depth: Plans complex multi-phase work (prototype-then-commit under uncertainty); sequences safely.
Evidenced by: Negotiates a scope-versus-quality trade-off with engineering as a peer, distinguishing an MVP that genuinely tests the hypothesis from a demo that only fakes it.</t>
        </is>
      </c>
      <c r="J22" s="4" t="inlineStr">
        <is>
          <t>Depth: Expert at structuring large initiatives to de-risk early; anticipates bottlenecks.
Evidenced by: Sets the shared definition of 'minimum' for a launch that spans three teams, untangling a scope disagreement that would otherwise have broken one team's release.</t>
        </is>
      </c>
      <c r="K22" s="4" t="inlineStr">
        <is>
          <t>Depth: Shapes how the org plans and sequences major change.
Evidenced by: Sets the org's quality floor and cut-decision authority, and personally intervenes when a flagship initiative is bloating toward a death march.</t>
        </is>
      </c>
      <c r="L22" s="4" t="inlineStr">
        <is>
          <t>Depth: Defines the company-wide approach to delivering value incrementally.
Evidenced by: Makes the company-level call to ship the narrow wedge instead of the full platform play, and the rest of the portfolio sequences its bets around that decision.</t>
        </is>
      </c>
    </row>
    <row r="23">
      <c r="A23" s="4" t="inlineStr">
        <is>
          <t>Execution &amp; Delivery</t>
        </is>
      </c>
      <c r="B23" s="4" t="inlineStr">
        <is>
          <t>Building with the Team</t>
        </is>
      </c>
      <c r="C23" s="4" t="inlineStr">
        <is>
          <t>Product trio partnership</t>
        </is>
      </c>
      <c r="D23" s="6" t="inlineStr">
        <is>
          <t>CC-03</t>
        </is>
      </c>
      <c r="E23" s="4" t="inlineStr">
        <is>
          <t>Works productively with others toward shared goals.</t>
        </is>
      </c>
      <c r="F23" s="4" t="inlineStr">
        <is>
          <t>Cagan &amp; Jones, EMPOWERED: Ordinary People, Extraordinary Products (Wiley, 2020) — empowered product teams of PM, design, and engineering solving problems together, versus feature teams served requirements; the PM-engineering-design relationship is the production function.</t>
        </is>
      </c>
      <c r="G23" s="4" t="inlineStr">
        <is>
          <t>Depth: Responsive to feedback; pairs willingly; asks for help appropriately.
Evidenced by: Takes feedback from an engineer's pushback on a spec without defensiveness, and asks the designer for help scoping a problem instead of guessing alone.</t>
        </is>
      </c>
      <c r="H23" s="4" t="inlineStr">
        <is>
          <t>Depth: Collaborates smoothly with adjacent functions; handles disagreement constructively.
Evidenced by: Runs a working trio where the engineer joins discovery calls and the designer sees the strategy context, so a technical constraint reshapes the plan in the room instead of becoming a later escalation.</t>
        </is>
      </c>
      <c r="I23" s="4" t="inlineStr">
        <is>
          <t>Depth: Builds strong cross-team relationships; resolves friction directly.
Evidenced by: Builds a team that engineers ask to be assigned to, sharing full business context and visibly deferring to the best idea in a decision record regardless of whose it was.</t>
        </is>
      </c>
      <c r="J23" s="4" t="inlineStr">
        <is>
          <t>Depth: Expert at aligning teams with competing priorities; mediates disputes between senior people.
Evidenced by: Diagnoses that a struggling team's dysfunction is context-starvation rather than a trust problem, and coaches the PM through fixing it.</t>
        </is>
      </c>
      <c r="K23" s="4" t="inlineStr">
        <is>
          <t>Depth: Creates the forums and processes through which collaboration happens.
Evidenced by: Shapes the org's team model — how trios form, how tech-debt time gets protected — in norms engineering and design leadership both sign off on.</t>
        </is>
      </c>
      <c r="L23" s="4" t="inlineStr">
        <is>
          <t>Depth: Builds coalitions at company scale and externally.
Evidenced by: Argues the empowered-team model at the executive level when delivery pressure is pushing the org toward feature factories, and the model holds.</t>
        </is>
      </c>
    </row>
    <row r="24">
      <c r="A24" s="4" t="inlineStr">
        <is>
          <t>Execution &amp; Delivery</t>
        </is>
      </c>
      <c r="B24" s="4" t="inlineStr">
        <is>
          <t>Building with the Team</t>
        </is>
      </c>
      <c r="C24" s="4" t="inlineStr">
        <is>
          <t>Requirements, specs &amp; acceptance criteria</t>
        </is>
      </c>
      <c r="D24" s="6" t="inlineStr">
        <is>
          <t>PM-07</t>
        </is>
      </c>
      <c r="E24" s="4" t="inlineStr">
        <is>
          <t>Translating problems into clear, testable requirements, specs, and acceptance criteria.</t>
        </is>
      </c>
      <c r="F24" s="4" t="inlineStr">
        <is>
          <t>IIBA, A Guide to the Business Analysis Body of Knowledge (BABOK Guide), Version 3 (2015) — substituted for Bryar &amp; Carr's Working Backwards (no bibliography entry) with BABOK, the requirements body of knowledge PM-07's own P2 catalog level already cites, paired with ISO/IEC/IEEE 29148's requirement-quality characteristics at P3 (unambiguous, verifiable, necessary).</t>
        </is>
      </c>
      <c r="G24" s="4" t="inlineStr">
        <is>
          <t>Depth: Writes requirements from supplied input and refines them under review.
Evidenced by: Writes user stories with acceptance criteria from a lead's outline, and updates the spec twice as review catches gaps in the edge cases.</t>
        </is>
      </c>
      <c r="H24" s="4" t="inlineStr">
        <is>
          <t>Depth: Authors complete, testable specs for standard features with normal review.
Evidenced by: Writes a one-pager that leads with the customer problem and success measure for a standard feature, and the build raises design questions rather than intent questions.</t>
        </is>
      </c>
      <c r="I24" s="4" t="inlineStr">
        <is>
          <t>Depth: Independently specifies ambiguous, cross-cutting features and resolves edge cases cleanly.
Evidenced by: Specifies a cross-cutting feature touching three systems, resolving edge cases the initial ask never anticipated, and a reviewer's comments on the spec prevent a rework two weeks later.</t>
        </is>
      </c>
      <c r="J24" s="4" t="inlineStr">
        <is>
          <t>Depth: Defines specification standards others adopt and untangles the hardest requirement conflicts.
Evidenced by: Sets the definition-of-ready standard two other teams adopt, and catches an interface gap between two teams' specs that would have silently conflicted at integration.</t>
        </is>
      </c>
      <c r="K24" s="4" t="inlineStr">
        <is>
          <t>Depth: Sets specification strategy across teams and anticipates downstream definition needs.
Evidenced by: Owns what 'ready to build' means across the product org, and their document review is the quality gate a major initiative has to pass before engineering starts.</t>
        </is>
      </c>
      <c r="L24" s="4" t="inlineStr">
        <is>
          <t>Depth: Defines what excellent product specification means and influences the practice externally.
Evidenced by: Writes the founding narrative document for a new portfolio bet, with a hit rate on greenlit narratives the company has come to trust.</t>
        </is>
      </c>
    </row>
    <row r="25">
      <c r="A25" s="4" t="inlineStr">
        <is>
          <t>Execution &amp; Delivery</t>
        </is>
      </c>
      <c r="B25" s="4" t="inlineStr">
        <is>
          <t>Building with the Team</t>
        </is>
      </c>
      <c r="C25" s="4" t="inlineStr">
        <is>
          <t>Backlog &amp; delivery flow</t>
        </is>
      </c>
      <c r="D25" s="6" t="inlineStr">
        <is>
          <t>PM-08</t>
        </is>
      </c>
      <c r="E25" s="4" t="inlineStr">
        <is>
          <t>Curating, refining, and grooming a backlog so the team always works on the highest-value items.</t>
        </is>
      </c>
      <c r="F25" s="4" t="inlineStr">
        <is>
          <t>Patton, User Story Mapping: Discover the Whole Story, Build the Right Product (O'Reilly, 2014) — story maps preserve the big picture a flat backlog destroys, paired with Reinertsen's small-batches and limited-WIP flow principles.</t>
        </is>
      </c>
      <c r="G25" s="4" t="inlineStr">
        <is>
          <t>Depth: Updates and grooms backlog items under direction.
Evidenced by: Keeps their epic's stories small, ordered, and ready two sprints ahead, and can answer 'what's next and why' without opening the tracking tool.</t>
        </is>
      </c>
      <c r="H25" s="4" t="inlineStr">
        <is>
          <t>Depth: Prioritizes and maintains a healthy backlog for one team with normal review.
Evidenced by: Maintains a story map that shows their area's release strategy at a glance, and watches WIP and cycle time with the team without waiting for someone else to flag a problem.</t>
        </is>
      </c>
      <c r="I25" s="4" t="inlineStr">
        <is>
          <t>Depth: Independently sequences contested work and keeps the backlog coherent under churn.
Evidenced by: Diagnoses that a team's slipping deadlines are a queue-buildup problem, not a motivation problem, and fixes the batch size rather than pushing the team to work harder.</t>
        </is>
      </c>
      <c r="J25" s="4" t="inlineStr">
        <is>
          <t>Depth: Defines backlog practices others follow and resolves cross-team prioritization disputes.
Evidenced by: Resolves a cross-team prioritization dispute using a shared backlog-sequencing standard other PMs have adopted from their earlier work.</t>
        </is>
      </c>
      <c r="K25" s="4" t="inlineStr">
        <is>
          <t>Depth: Sets backlog-management strategy across products and anticipates capacity tensions.
Evidenced by: Improves the org's idea-to-live lead time by changing planning and handoff mechanics, with before-and-after numbers to show it.</t>
        </is>
      </c>
      <c r="L25" s="4" t="inlineStr">
        <is>
          <t>Depth: Defines backlog-management best practice for the discipline and is recognized for it.
Evidenced by: Removes a company-scale delivery bottleneck — a shared review gate every team was queuing behind — with executive backing they built the case for.</t>
        </is>
      </c>
    </row>
    <row r="26">
      <c r="A26" s="4" t="inlineStr">
        <is>
          <t>Execution &amp; Delivery</t>
        </is>
      </c>
      <c r="B26" s="4" t="inlineStr">
        <is>
          <t>Building with the Team</t>
        </is>
      </c>
      <c r="C26" s="4" t="inlineStr">
        <is>
          <t>Technical &amp; design fluency</t>
        </is>
      </c>
      <c r="D26" s="6" t="inlineStr">
        <is>
          <t>LI-06</t>
        </is>
      </c>
      <c r="E26" s="4" t="inlineStr">
        <is>
          <t>Retains enough hands-on technical depth to earn engineers' trust, ask the questions that change designs, and judge technical work without doing it.</t>
        </is>
      </c>
      <c r="F26" s="4" t="inlineStr">
        <is>
          <t>Cagan, INSPIRED: How to Create Tech Products Customers Love, 2nd Edition (Wiley, 2018) — deep knowledge of the technology and of good design is part of the PM's non-delegable preparation; a PM who can't follow the architecture or judge a design hands the feasibility and usability risks to whoever speaks last.</t>
        </is>
      </c>
      <c r="G26" s="4" t="inlineStr">
        <is>
          <t>Depth: Follows the team's technical discussions and asks clarifying questions; relies on others to evaluate design quality.
Evidenced by: Follows the team's architecture discussion and asks a clarifying question that shows they did the reading, deferring to the engineers on which design is better.</t>
        </is>
      </c>
      <c r="H26" s="4" t="inlineStr">
        <is>
          <t>Depth: Understands the systems in scope well enough to review designs, probe trade-offs, and triage incidents — earns technical respect without taking the keyboard.
Evidenced by: Reviews a proposed design well enough to raise a scalability question before an engineer has to, and triages a live incident credibly without touching the code.</t>
        </is>
      </c>
      <c r="I26" s="4" t="inlineStr">
        <is>
          <t>Depth: Maintains depth across a complex system's stack and hardest problems; a credible thought-partner to the most senior engineers, pairing them with the context they need.
Evidenced by: Holds their own in an architecture trade-off discussion, spotting that a proposed solution fights the existing system before the team commits to it, and engineers bring them options early because the conversation is worth it.</t>
        </is>
      </c>
      <c r="J26" s="4" t="inlineStr">
        <is>
          <t>Depth: Maintains depth across a complex system's stack and hardest problems; a credible thought-partner to the most senior engineers, pairing them with the context they need.
Evidenced by: Bridges a technical constraint between two teams' roadmaps that neither team's own engineers had connected, translating the platform trade-off into terms the other PM can act on.</t>
        </is>
      </c>
      <c r="K26" s="4" t="inlineStr">
        <is>
          <t>Depth: Retains broad credibility across a multi-team domain — credible on its hardest cross-cutting technical questions, current enough to ask the question that changes a design.
Evidenced by: Keeps the product org's planning technically honest by representing platform realities in a strategy review, deferring the deepest technical call to the engineering leader in the room.</t>
        </is>
      </c>
      <c r="L26" s="4" t="inlineStr">
        <is>
          <t>Depth: Retains broad credibility across a multi-team domain — credible on its hardest cross-cutting technical questions, current enough to ask the question that changes a design.
Evidenced by: Frames a company-level build-versus-buy technology inflection in product terms clearly enough that executives act on the translation, while the technical authority for the decision itself stays with engineering leadership.</t>
        </is>
      </c>
    </row>
    <row r="27">
      <c r="A27" s="4" t="inlineStr">
        <is>
          <t>Execution &amp; Delivery</t>
        </is>
      </c>
      <c r="B27" s="4" t="inlineStr">
        <is>
          <t>Launch &amp; Iteration</t>
        </is>
      </c>
      <c r="C27" s="4" t="inlineStr">
        <is>
          <t>Launch management &amp; readiness</t>
        </is>
      </c>
      <c r="D27" s="6" t="inlineStr">
        <is>
          <t>PM-09</t>
        </is>
      </c>
      <c r="E27" s="4" t="inlineStr">
        <is>
          <t>Orchestrating launch readiness across engineering, marketing, sales, and support.</t>
        </is>
      </c>
      <c r="F27" s="4" t="inlineStr">
        <is>
          <t>Cagan, INSPIRED: How to Create Tech Products Customers Love, 2nd Edition (Wiley, 2018) — high-integrity commitments and launch readiness across the whole company, not just the code, paired with Kohavi et al.'s ramped-rollout-and-holdback pattern as the safe launch mechanism.</t>
        </is>
      </c>
      <c r="G27" s="4" t="inlineStr">
        <is>
          <t>Depth: Executes assigned launch tasks and tracks checklist items under guidance.
Evidenced by: Runs the launch checklist for their feature — flags, docs, support notes — and staffs first-day triage, escalating what they can't resolve to their lead.</t>
        </is>
      </c>
      <c r="H27" s="4" t="inlineStr">
        <is>
          <t>Depth: Coordinates a standard product launch across functions with normal review.
Evidenced by: Plans a standard launch end to end: rollout stages and rollback criteria decided in advance, every dependent function briefed before go-live.</t>
        </is>
      </c>
      <c r="I27" s="4" t="inlineStr">
        <is>
          <t>Depth: Independently orchestrates complex launches and recovers when plans go sideways.
Evidenced by: Makes the go/no-go call on a ramping launch under pressure using criteria set the week before, not in the moment, and runs the post-launch review that feeds the next iteration.</t>
        </is>
      </c>
      <c r="J27" s="4" t="inlineStr">
        <is>
          <t>Depth: Defines the go-to-market playbook others adopt and rescues high-stakes launches.
Evidenced by: Owns the integrated go/no-go for a launch spanning three teams' products, sequencing each team's dependency so no single team's slip silently blocks the others.</t>
        </is>
      </c>
      <c r="K27" s="4" t="inlineStr">
        <is>
          <t>Depth: Sets go-to-market strategy across the portfolio and anticipates market-timing risks.
Evidenced by: Sets the org's ramp-policy and readiness standards, and is the escalation point when a launch with company-level blast radius needs a call above any one team.</t>
        </is>
      </c>
      <c r="L27" s="4" t="inlineStr">
        <is>
          <t>Depth: Defines what great go-to-market means for the field and shapes external practice.
Evidenced by: Owns the go/no-go for a launch with company-wide stakes as a high-integrity commitment the whole company is briefed on, not just engineering.</t>
        </is>
      </c>
    </row>
    <row r="28">
      <c r="A28" s="4" t="inlineStr">
        <is>
          <t>Execution &amp; Delivery</t>
        </is>
      </c>
      <c r="B28" s="4" t="inlineStr">
        <is>
          <t>Launch &amp; Iteration</t>
        </is>
      </c>
      <c r="C28" s="4" t="inlineStr">
        <is>
          <t>Post-launch iteration &amp; lifecycle</t>
        </is>
      </c>
      <c r="D28" s="6" t="inlineStr">
        <is>
          <t>PM-10</t>
        </is>
      </c>
      <c r="E28" s="4" t="inlineStr">
        <is>
          <t>Defining success metrics and interpreting product data to evaluate impact and guide iteration.</t>
        </is>
      </c>
      <c r="F28" s="4" t="inlineStr">
        <is>
          <t>Croll &amp; Yoskovitz, Lean Analytics: Use Data to Build a Better Startup Faster (O'Reilly, 2013) — substituted for Olsen's The Lean Product Playbook (no bibliography entry) with Croll &amp; Yoskovitz's stage-based Lean Analytics Cycle — empathy, stickiness, virality, revenue, scale — which is the same anchor family PM-10's other rows above use and covers persevere/pivot/kill judgment directly.</t>
        </is>
      </c>
      <c r="G28" s="4" t="inlineStr">
        <is>
          <t>Depth: Pulls and reports defined product metrics under direction.
Evidenced by: Reports their feature's week-one usage numbers exactly as their lead asked, without yet proposing what the team should do differently.</t>
        </is>
      </c>
      <c r="H28" s="4" t="inlineStr">
        <is>
          <t>Depth: Builds and interprets metric dashboards for a product with normal review.
Evidenced by: Reads a newly-launched feature's numbers against the product's current lifecycle stage and proposes the next iteration to try before the next planning cycle.</t>
        </is>
      </c>
      <c r="I28" s="4" t="inlineStr">
        <is>
          <t>Depth: Independently designs metric frameworks and draws sound conclusions from messy data.
Evidenced by: Makes the persevere-pivot-kill call on a six-month-old feature using its own metric framework, and the recommendation holds up under a skeptical leadership review.</t>
        </is>
      </c>
      <c r="J28" s="4" t="inlineStr">
        <is>
          <t>Depth: Defines the measurement model teams adopt and diagnoses misleading metrics others trust.
Evidenced by: Diagnoses that a metric two other teams trust as a success signal is actually misleading at this lifecycle stage, and gets both teams onto a corrected measurement model.</t>
        </is>
      </c>
      <c r="K28" s="4" t="inlineStr">
        <is>
          <t>Depth: Sets product-analytics strategy across the org and anticipates which signals will matter.
Evidenced by: Sets the analytics strategy for what 'iterating well post-launch' means across the whole product org, anticipating which signals will matter before a product reaches that stage.</t>
        </is>
      </c>
      <c r="L28" s="4" t="inlineStr">
        <is>
          <t>Depth: Defines rigorous product measurement for the discipline and is cited externally on it.
Evidenced by: Defines a measurement discipline for post-launch iteration that gets cited by other companies as a rigorous approach to persevere/pivot/kill decisions.</t>
        </is>
      </c>
    </row>
    <row r="29">
      <c r="A29" s="4" t="inlineStr">
        <is>
          <t>Business, Market &amp; Go-to-Market</t>
        </is>
      </c>
      <c r="B29" s="4" t="inlineStr">
        <is>
          <t>Business Fluency</t>
        </is>
      </c>
      <c r="C29" s="4" t="inlineStr">
        <is>
          <t>Business model &amp; unit economics</t>
        </is>
      </c>
      <c r="D29" s="6" t="inlineStr">
        <is>
          <t>PD-07</t>
        </is>
      </c>
      <c r="E29" s="4" t="inlineStr">
        <is>
          <t>Frames technical decisions in economic and business terms — cost, revenue risk, cost of delay, unit economics — and answers for whether the work actually moved its business outcome.</t>
        </is>
      </c>
      <c r="F29" s="4" t="inlineStr">
        <is>
          <t>Osterwalder &amp; Pigneur, Business Model Generation (Wiley, 2010) — the Business Model Canvas's nine building blocks are the standard template for reasoning about how a product actually sustains itself economically.</t>
        </is>
      </c>
      <c r="G29" s="4" t="inlineStr">
        <is>
          <t>Depth: States what business outcome their current task serves — and asks when they can't — treating infrastructure and license costs as real money.
Evidenced by: States which business outcome their current task serves when a lead asks, and flags that a chosen third-party tool carries a real per-seat license cost, not just an engineering cost.</t>
        </is>
      </c>
      <c r="H29" s="4" t="inlineStr">
        <is>
          <t>Depth: Checks whether shipped work actually moved its metric and says so plainly when it didn't; weighs cost and maintenance burden in the technical choices they own.
Evidenced by: Checks whether a feature shipped last quarter actually moved its target metric, and says plainly in the retro that it didn't, rather than letting the shipped-it framing stand.</t>
        </is>
      </c>
      <c r="I29" s="4" t="inlineStr">
        <is>
          <t>Depth: Frames a domain's technical decisions in business terms — cost of delay, revenue risk, support load — pushes back on work with weak business rationale, and redirects effort when the numbers say the plan is wrong.
Evidenced by: Redirects a team's roadmap away from a planned initiative once cost-of-delay and support-load numbers show a cheaper, faster path serves the same outcome.</t>
        </is>
      </c>
      <c r="J29" s="4" t="inlineStr">
        <is>
          <t>Depth: Builds the business case for the cross-team technical investments with the largest return and is trusted by leadership to have done the math.
Evidenced by: Builds the business case for a cross-team platform investment with the largest expected return, and leadership funds it on the strength of the math.</t>
        </is>
      </c>
      <c r="K29" s="4" t="inlineStr">
        <is>
          <t>Depth: Aligns an organization's technical strategy with its economics — cost curves, velocity, risk — owning trade-offs measured in staff-years and reporting them in the business's own terms.
Evidenced by: Aligns the org's technical investment strategy with its cost curve and velocity trends, owning a trade-off measured in staff-years that leadership signs off on.</t>
        </is>
      </c>
      <c r="L29" s="4" t="inlineStr">
        <is>
          <t>Depth: Advises company leadership on where technology changes the business model and is accountable for company-level technology bets paying off.
Evidenced by: Advises company leadership on where a technology shift changes the business model itself, and is held accountable for whether the resulting company-level bet pays off.</t>
        </is>
      </c>
    </row>
    <row r="30">
      <c r="A30" s="4" t="inlineStr">
        <is>
          <t>Business, Market &amp; Go-to-Market</t>
        </is>
      </c>
      <c r="B30" s="4" t="inlineStr">
        <is>
          <t>Business Fluency</t>
        </is>
      </c>
      <c r="C30" s="4" t="inlineStr">
        <is>
          <t>Pricing &amp; packaging</t>
        </is>
      </c>
      <c r="D30" s="6" t="inlineStr">
        <is>
          <t>PM-12</t>
        </is>
      </c>
      <c r="E30" s="4" t="inlineStr">
        <is>
          <t>Reasoning about pricing, packaging, and unit economics to sustain a viable product.</t>
        </is>
      </c>
      <c r="F30" s="4" t="inlineStr">
        <is>
          <t>Nagle, Muller &amp; Gruyaert, The Strategy and Tactics of Pricing: A Guide to Growing More Profitably, 7th Edition (Routledge, 2023) — substituted for Ramanujam &amp; Tacke's Monetizing Innovation (no bibliography entry) with Nagle, Muller &amp; Gruyaert's value-based pricing text, PM-12's own catalog anchor for the P3/P4/P6 levels — the value cascade against cost-plus defaults.</t>
        </is>
      </c>
      <c r="G30" s="4" t="inlineStr">
        <is>
          <t>Depth: Populates pricing models with supplied assumptions under direction.
Evidenced by: Fills in a pricing model with the cost and margin assumptions a lead supplied, and asks when an input looks wrong rather than silently accepting it.</t>
        </is>
      </c>
      <c r="H30" s="4" t="inlineStr">
        <is>
          <t>Depth: Builds a sound business model for one product with normal review.
Evidenced by: Builds the revenue-stream section of a new feature's business model using the team's standard canvas, and it holds up under normal review.</t>
        </is>
      </c>
      <c r="I30" s="4" t="inlineStr">
        <is>
          <t>Depth: Independently structures pricing under uncertainty and defends margin trade-offs.
Evidenced by: Defends a value-based price increase to a skeptical sales leader with a margin trade-off argument, instead of defaulting to a cost-plus number that's easier to justify.</t>
        </is>
      </c>
      <c r="J30" s="4" t="inlineStr">
        <is>
          <t>Depth: Defines the modeling approach others adopt and untangles complex monetization questions.
Evidenced by: Defines the pricing-modeling approach two other product teams adopt, and untangles a monetization question — a bundling decision with conflicting margin implications — no single team's model could resolve.</t>
        </is>
      </c>
      <c r="K30" s="4" t="inlineStr">
        <is>
          <t>Depth: Sets pricing strategy across the portfolio and anticipates market and cost shifts.
Evidenced by: Sets the portfolio's pricing strategy for the year, anticipating a cost shift in a key input before it forces a reactive repricing.</t>
        </is>
      </c>
      <c r="L30" s="4" t="inlineStr">
        <is>
          <t>Depth: Defines pricing and business-modeling best practice for the field and is recognized for it.
Evidenced by: Defines a pricing and business-modeling practice recognized in the field, with other companies' pricing teams citing the approach.</t>
        </is>
      </c>
    </row>
    <row r="31">
      <c r="A31" s="4" t="inlineStr">
        <is>
          <t>Business, Market &amp; Go-to-Market</t>
        </is>
      </c>
      <c r="B31" s="4" t="inlineStr">
        <is>
          <t>Market &amp; Domain Insight</t>
        </is>
      </c>
      <c r="C31" s="4" t="inlineStr">
        <is>
          <t>Competitive &amp; market analysis</t>
        </is>
      </c>
      <c r="D31" s="6" t="inlineStr">
        <is>
          <t>PM-03</t>
        </is>
      </c>
      <c r="E31" s="4" t="inlineStr">
        <is>
          <t>Assessing market trends, competitors, and whitespace to inform positioning and opportunity sizing.</t>
        </is>
      </c>
      <c r="F31" s="4" t="inlineStr">
        <is>
          <t>Moore, Crossing the Chasm: Marketing and Selling High-Tech Products to Mainstream Customers, 3rd Edition (HarperBusiness, 2014; orig. 1991) — the technology-adoption-lifecycle model and the chasm between early adopters and the mainstream market require reading ambiguous markets, not just cataloging named competitors.</t>
        </is>
      </c>
      <c r="G31" s="4" t="inlineStr">
        <is>
          <t>Depth: Gathers competitor facts and populates comparison grids under guidance.
Evidenced by: Populates a competitive comparison grid with facts a lead asked them to gather, and gets it corrected twice on review before it's accurate.</t>
        </is>
      </c>
      <c r="H31" s="4" t="inlineStr">
        <is>
          <t>Depth: Produces a sound competitive analysis for a product with normal review.
Evidenced by: Produces a competitive analysis for their product using the team's standard framework, and it holds up without a rewrite in the next planning cycle.</t>
        </is>
      </c>
      <c r="I31" s="4" t="inlineStr">
        <is>
          <t>Depth: Independently reads ambiguous markets and frames defensible positioning implications.
Evidenced by: Reads an ambiguous, fragmenting market correctly enough to argue the product hasn't crossed the chasm yet, and rewrites their product's positioning to match before the next release.</t>
        </is>
      </c>
      <c r="J31" s="4" t="inlineStr">
        <is>
          <t>Depth: Defines the analytical approach others follow and decodes confusing competitive dynamics.
Evidenced by: Defines the competitive-analysis method two other product teams adopt, and decodes a confusing competitive move — a rival's pricing change that looked irrational — that had stumped both teams.</t>
        </is>
      </c>
      <c r="K31" s="4" t="inlineStr">
        <is>
          <t>Depth: Sets market-analysis strategy and anticipates structural shifts before competitors react.
Evidenced by: Anticipates a structural market shift a full product cycle before competitors react to it, and repositions the portfolio's investment ahead of the shift.</t>
        </is>
      </c>
      <c r="L31" s="4" t="inlineStr">
        <is>
          <t>Depth: Shapes how the field interprets product-market fit and is cited externally on it.
Evidenced by: Shapes how the field talks about product-market fit in this category, cited by analysts and competitors alike.</t>
        </is>
      </c>
    </row>
    <row r="32">
      <c r="A32" s="4" t="inlineStr">
        <is>
          <t>Business, Market &amp; Go-to-Market</t>
        </is>
      </c>
      <c r="B32" s="4" t="inlineStr">
        <is>
          <t>Market &amp; Domain Insight</t>
        </is>
      </c>
      <c r="C32" s="4" t="inlineStr">
        <is>
          <t>Domain &amp; industry fluency</t>
        </is>
      </c>
      <c r="D32" s="6" t="inlineStr">
        <is>
          <t>PM-19</t>
        </is>
      </c>
      <c r="E32" s="4" t="inlineStr">
        <is>
          <t>Builds and maintains deep working knowledge of the product's domain — its industry structure, customer workflows, constraints, and trajectory — deeply enough to be a credible reference for customers and colleagues.</t>
        </is>
      </c>
      <c r="F32" s="4" t="inlineStr">
        <is>
          <t>Cagan, INSPIRED: How to Create Tech Products Customers Love, 2nd Edition (Wiley, 2018) — deep, non-delegable knowledge of the customer, business, and industry domain; self-sourced capability (PM-19 minted 2026-07 from this ladder's own prior consolidation prose — see scope_note), so evidence is written fresh below.</t>
        </is>
      </c>
      <c r="G32" s="4" t="inlineStr">
        <is>
          <t>Depth: Learns the domain deliberately — shadows customers, reads industry sources, asks how the system actually works — and uses domain vocabulary correctly.
Evidenced by: Shadows a customer support call and reads the industry's standard reference material, and uses the domain's own vocabulary correctly in their first spec review.</t>
        </is>
      </c>
      <c r="H32" s="4" t="inlineStr">
        <is>
          <t>Depth: Answers most domain questions without deferring and corrects domain errors in specs and designs.
Evidenced by: Answers a stakeholder's domain question about a regulatory constraint without deferring to a subject-matter expert, and corrects a domain error in an engineer's design before it ships.</t>
        </is>
      </c>
      <c r="I32" s="4" t="inlineStr">
        <is>
          <t>Depth: Is the recognized domain reference for a product — customers, field teams, and engineers check facts with them — and spots domain-driven risks others miss.
Evidenced by: Becomes the person the field team calls to fact-check a claim about how the industry's workflow actually works, and spots a domain-driven risk in a proposed feature nobody else caught.</t>
        </is>
      </c>
      <c r="J32" s="4" t="inlineStr">
        <is>
          <t>Depth: Connects domain knowledge across teams, catching where one roadmap violates another domain's constraints (regulatory, workflow, ecosystem).
Evidenced by: Catches that one team's roadmap assumes a regulatory workflow another team's domain constraints actually forbid, before either team ships something that has to be walked back.</t>
        </is>
      </c>
      <c r="K32" s="4" t="inlineStr">
        <is>
          <t>Depth: Represents an organization's domain understanding externally — industry forums, advisory boards, analyst briefings.
Evidenced by: Represents the org's domain understanding on an industry advisory board, bringing back a signal the org's roadmap hadn't accounted for.</t>
        </is>
      </c>
      <c r="L32" s="4" t="inlineStr">
        <is>
          <t>Depth: Anticipates domain evolution — where the industry's workflows and rules are heading — and positions portfolios for it before consensus forms.
Evidenced by: Positions the portfolio ahead of a domain shift — a regulatory change on the horizon — before industry consensus has formed that it's coming.</t>
        </is>
      </c>
    </row>
    <row r="33">
      <c r="A33" s="4" t="inlineStr">
        <is>
          <t>Business, Market &amp; Go-to-Market</t>
        </is>
      </c>
      <c r="B33" s="4" t="inlineStr">
        <is>
          <t>Go-to-Market Partnership</t>
        </is>
      </c>
      <c r="C33" s="4" t="inlineStr">
        <is>
          <t>GTM planning &amp; partnership</t>
        </is>
      </c>
      <c r="D33" s="6" t="inlineStr">
        <is>
          <t>PM-09</t>
        </is>
      </c>
      <c r="E33" s="4" t="inlineStr">
        <is>
          <t>Orchestrating launch readiness across engineering, marketing, sales, and support.</t>
        </is>
      </c>
      <c r="F33" s="4" t="inlineStr">
        <is>
          <t>Moore, Crossing the Chasm: Marketing and Selling High-Tech Products to Mainstream Customers, 3rd Edition (HarperBusiness, 2014; orig. 1991) — adoption is won segment by segment; a launch that doesn't land in its intended beachhead segment needs Moore's chasm-crossing recovery logic, not a bigger push.</t>
        </is>
      </c>
      <c r="G33" s="4" t="inlineStr">
        <is>
          <t>Depth: Executes assigned launch tasks and tracks checklist items under guidance.
Evidenced by: Executes their assigned launch-day tasks from the GTM checklist and escalates a customer-support question they can't answer to the person who can.</t>
        </is>
      </c>
      <c r="H33" s="4" t="inlineStr">
        <is>
          <t>Depth: Coordinates a standard product launch across functions with normal review.
Evidenced by: Coordinates a standard launch across sales, marketing, and support using the team's established playbook, with every function briefed before go-live.</t>
        </is>
      </c>
      <c r="I33" s="4" t="inlineStr">
        <is>
          <t>Depth: Independently orchestrates complex launches and recovers when plans go sideways.
Evidenced by: Recovers a launch that isn't landing in its intended beachhead segment by re-targeting mid-rollout instead of pushing harder on a segment that isn't buying.</t>
        </is>
      </c>
      <c r="J33" s="4" t="inlineStr">
        <is>
          <t>Depth: Defines the go-to-market playbook others adopt and rescues high-stakes launches.
Evidenced by: Defines the go-to-market playbook two other product teams now use, and personally rescues a launch that had gone sideways days before its public date.</t>
        </is>
      </c>
      <c r="K33" s="4" t="inlineStr">
        <is>
          <t>Depth: Sets go-to-market strategy across the portfolio and anticipates market-timing risks.
Evidenced by: Sets go-to-market strategy across the portfolio, timing two products' launches to avoid cannibalizing each other's market attention.</t>
        </is>
      </c>
      <c r="L33" s="4" t="inlineStr">
        <is>
          <t>Depth: Defines what great go-to-market means for the field and shapes external practice.
Evidenced by: Shapes what great go-to-market means for the field, with the launch approach cited by practitioners outside the company.</t>
        </is>
      </c>
    </row>
    <row r="34">
      <c r="A34" s="4" t="inlineStr">
        <is>
          <t>Business, Market &amp; Go-to-Market</t>
        </is>
      </c>
      <c r="B34" s="4" t="inlineStr">
        <is>
          <t>Go-to-Market Partnership</t>
        </is>
      </c>
      <c r="C34" s="4" t="inlineStr">
        <is>
          <t>Field feedback &amp; enablement</t>
        </is>
      </c>
      <c r="D34" s="6" t="inlineStr">
        <is>
          <t>PM-14</t>
        </is>
      </c>
      <c r="E34" s="4" t="inlineStr">
        <is>
          <t>Building trust with customers and external partners to inform and advance the product.</t>
        </is>
      </c>
      <c r="F34" s="4" t="inlineStr">
        <is>
          <t>Cagan, INSPIRED: How to Create Tech Products Customers Love, 2nd Edition (Wiley, 2018) — field and customer-facing teams are a product's highest-bandwidth feedback channel and the most direct enablement surface — closing that loop is part of the PM's non-delegable work, not a hand-off to enablement.</t>
        </is>
      </c>
      <c r="G34" s="4" t="inlineStr">
        <is>
          <t>Depth: Logs interactions and handles routine customer requests under guidance.
Evidenced by: Logs a field team's escalated customer request in the team's tracker and hands off routine ones using the process a lead set up.</t>
        </is>
      </c>
      <c r="H34" s="4" t="inlineStr">
        <is>
          <t>Depth: Manages standard customer and partner relationships with normal review.
Evidenced by: Runs the monthly loop that turns field-team feedback into a prioritized list their product area actually acts on, with normal review from a lead.</t>
        </is>
      </c>
      <c r="I34" s="4" t="inlineStr">
        <is>
          <t>Depth: Independently nurtures key accounts and resolves difficult relationship conflicts.
Evidenced by: Personally rescues a strained relationship with a key account after a rocky launch, and the account renews where the field team had expected a churn.</t>
        </is>
      </c>
      <c r="J34" s="4" t="inlineStr">
        <is>
          <t>Depth: Defines relationship-management practices others adopt and salvages strained partnerships.
Evidenced by: Defines the field-enablement practice two other teams now use to close their own feedback loops, and salvages a partnership another team's process had let go stale.</t>
        </is>
      </c>
      <c r="K34" s="4" t="inlineStr">
        <is>
          <t>Depth: Sets relationship strategy across the portfolio and anticipates partner-ecosystem shifts.
Evidenced by: Sets partner-ecosystem strategy across the portfolio, anticipating a shift in a key partner's priorities before it disrupts a live integration.</t>
        </is>
      </c>
      <c r="L34" s="4" t="inlineStr">
        <is>
          <t>Depth: Defines what excellent partner relationship management means and shapes external practice.
Evidenced by: Defines what excellent partner relationship management looks like for the discipline, in practice other companies' product teams point to.</t>
        </is>
      </c>
    </row>
    <row r="35">
      <c r="A35" s="4" t="inlineStr">
        <is>
          <t>Communication, Influence &amp; Craft Leadership</t>
        </is>
      </c>
      <c r="B35" s="4" t="inlineStr">
        <is>
          <t>Communication</t>
        </is>
      </c>
      <c r="C35" s="4" t="inlineStr">
        <is>
          <t>Product narratives &amp; written communication</t>
        </is>
      </c>
      <c r="D35" s="6" t="inlineStr">
        <is>
          <t>CC-01</t>
        </is>
      </c>
      <c r="E35" s="4" t="inlineStr">
        <is>
          <t>Conveys ideas clearly to the right audience.</t>
        </is>
      </c>
      <c r="F35" s="4" t="inlineStr">
        <is>
          <t>Zinsser, On Writing Well: The Classic Guide to Writing Nonfiction, 30th Anniversary Edition (Harper Perennial, 2006) — substituted for Bryar &amp; Carr's Working Backwards (no bibliography entry) with Zinsser's classic clarity-in-writing reference for the baseline register, paired with Minto's pyramid principle for the decision-driving register — the same two-source pairing CC-01's own catalog levels already use.</t>
        </is>
      </c>
      <c r="G35" s="4" t="inlineStr">
        <is>
          <t>Depth: Communicates status clearly; documentation is accurate.
Evidenced by: Writes a status update for their epic that says plainly what happened and what's next, without burying the headline in caveats.</t>
        </is>
      </c>
      <c r="H35" s="4" t="inlineStr">
        <is>
          <t>Depth: Writes clear design notes, runbooks and PRs; explains trade-offs without overselling.
Evidenced by: Writes a PRD for a standard feature that explains a trade-off honestly rather than overselling it, and engineers don't need to re-ask the intent.</t>
        </is>
      </c>
      <c r="I35" s="4" t="inlineStr">
        <is>
          <t>Depth: Writes design docs that drive decisions; translates technical risk for non-technical stakeholders.
Evidenced by: Writes a design doc that leads with the decision it's asking for and translates a technical risk into terms a non-technical stakeholder acts on correctly.</t>
        </is>
      </c>
      <c r="J35" s="4" t="inlineStr">
        <is>
          <t>Depth: Expert at making complex capability/risk legible to executives without dumbing it down; RFCs align orgs.
Evidenced by: Writes an RFC that aligns three teams' engineering leads on a shared approach, pre-wired against the objections a skeptic would raise.</t>
        </is>
      </c>
      <c r="K35" s="4" t="inlineStr">
        <is>
          <t>Depth: Strategy memos leadership acts on; org-wide and external reach.
Evidenced by: Writes a strategy memo that leadership funds a quarter's roadmap against, with reach beyond their own product organization.</t>
        </is>
      </c>
      <c r="L35" s="4" t="inlineStr">
        <is>
          <t>Depth: A clarifying voice at company scale; externally recognized.
Evidenced by: Is the clarifying voice the company turns to for its hardest external communications, recognized outside the company for writing that cuts through noise.</t>
        </is>
      </c>
    </row>
    <row r="36">
      <c r="A36" s="4" t="inlineStr">
        <is>
          <t>Communication, Influence &amp; Craft Leadership</t>
        </is>
      </c>
      <c r="B36" s="4" t="inlineStr">
        <is>
          <t>Communication</t>
        </is>
      </c>
      <c r="C36" s="4" t="inlineStr">
        <is>
          <t>Executive communication</t>
        </is>
      </c>
      <c r="D36" s="6" t="inlineStr">
        <is>
          <t>CC-06</t>
        </is>
      </c>
      <c r="E36" s="4" t="inlineStr">
        <is>
          <t>Communicates upward and to executive audiences — answer-first briefings, decision-ready framing, and composure under hostile questioning.</t>
        </is>
      </c>
      <c r="F36" s="4" t="inlineStr">
        <is>
          <t>Minto, The Minto Pyramid Principle: Logic in Writing, Thinking, and Problem Solving (Minto International, 1996) — answer-first, decision-ready framing and composure under hostile questioning; paired with Grove's account of high-leverage management communication.</t>
        </is>
      </c>
      <c r="G36" s="4" t="inlineStr">
        <is>
          <t>Depth: Prepares status updates for leadership with guidance; leads with the headline when coached to.
Evidenced by: Prepares a status update for a leadership review with a lead's coaching to lead with the headline instead of the chronology.</t>
        </is>
      </c>
      <c r="H36" s="4" t="inlineStr">
        <is>
          <t>Depth: Reports upward answer-first with a specific ask; escalates early with options attached, so no surprise reaches leadership from someone else.
Evidenced by: Reports upward with the ask stated first and two options attached, so no surprise reaches their VP from someone else first.</t>
        </is>
      </c>
      <c r="I36" s="4" t="inlineStr">
        <is>
          <t>Depth: Briefs senior leaders under pressure — facts, impact, options, and a recommendation inside the first two minutes; one-pagers get forwarded unedited.
Evidenced by: Briefs a room of senior leaders under time pressure with facts, impact, options, and a recommendation inside the first two minutes, and the one-pager gets forwarded unedited.</t>
        </is>
      </c>
      <c r="J36" s="4" t="inlineStr">
        <is>
          <t>Depth: Builds and lands investment cases with executive audiences — pre-wired with skeptics, sized in business terms, honest about risk; coaches others for executive rooms and runs the operating reviews an organization communicates through.
Evidenced by: Builds an investment case pre-wired against a known skeptic's objections, sized in business terms, and coaches a junior PM through their first executive review.</t>
        </is>
      </c>
      <c r="K36" s="4" t="inlineStr">
        <is>
          <t>Depth: Operates the executive room as a peer — advances positions, absorbs hostile questioning without defensiveness, and changes the room's decision more often than not.
Evidenced by: Operates an executive review as a peer, absorbs hostile questioning without getting defensive, and changes the room's decision.</t>
        </is>
      </c>
      <c r="L36" s="4" t="inlineStr">
        <is>
          <t>Depth: Speaks for an organization's technical reality to boards, investors, and press; trusted with the messages that cannot be delegated, and organizational credibility survives the appearances.
Evidenced by: Speaks for the company's technical reality to the board and press on a message that can't be delegated, and the company's credibility survives the appearance.</t>
        </is>
      </c>
    </row>
    <row r="37">
      <c r="A37" s="4" t="inlineStr">
        <is>
          <t>Communication, Influence &amp; Craft Leadership</t>
        </is>
      </c>
      <c r="B37" s="4" t="inlineStr">
        <is>
          <t>Stakeholder Influence</t>
        </is>
      </c>
      <c r="C37" s="4" t="inlineStr">
        <is>
          <t>Stakeholder alignment &amp; expectations</t>
        </is>
      </c>
      <c r="D37" s="6" t="inlineStr">
        <is>
          <t>PM-13</t>
        </is>
      </c>
      <c r="E37" s="4" t="inlineStr">
        <is>
          <t>Aligning leadership and cross-functional stakeholders around product direction and trade-offs.</t>
        </is>
      </c>
      <c r="F37" s="4" t="inlineStr">
        <is>
          <t>Cagan &amp; Jones, EMPOWERED: Ordinary People, Extraordinary Products (Wiley, 2020) — building executive trust and aligning cross-functional stakeholders around product direction is the empowered product leader's codified practice for building the trust an empowered team depends on.</t>
        </is>
      </c>
      <c r="G37" s="4" t="inlineStr">
        <is>
          <t>Depth: Prepares updates and gathers input for stakeholders under direction.
Evidenced by: Gathers input from three stakeholders ahead of a review and drafts the update summary a lead then finalizes.</t>
        </is>
      </c>
      <c r="H37" s="4" t="inlineStr">
        <is>
          <t>Depth: Manages routine stakeholder relationships and communications with normal review.
Evidenced by: Manages a routine monthly stakeholder update on their own, fielding questions without needing a lead to step in.</t>
        </is>
      </c>
      <c r="I37" s="4" t="inlineStr">
        <is>
          <t>Depth: Independently aligns conflicting stakeholders and navigates tense executive conversations.
Evidenced by: Navigates a tense conversation between two stakeholders with conflicting asks to a decision both accept, without damaging either relationship.</t>
        </is>
      </c>
      <c r="J37" s="4" t="inlineStr">
        <is>
          <t>Depth: Defines stakeholder-engagement approaches others adopt and brokers the hardest alignment.
Evidenced by: Defines the stakeholder-engagement approach two other PMs now follow, and brokers an alignment between two VPs that had stalled for a quarter.</t>
        </is>
      </c>
      <c r="K37" s="4" t="inlineStr">
        <is>
          <t>Depth: Sets executive-engagement strategy and anticipates leadership concerns before they arise.
Evidenced by: Sets executive-engagement strategy for the product org and raises a leadership concern in a briefing before the leader had to ask about it.</t>
        </is>
      </c>
      <c r="L37" s="4" t="inlineStr">
        <is>
          <t>Depth: Defines exemplary stakeholder management for the discipline and is externally credible on it.
Evidenced by: Is the reference other product leaders point to for exemplary stakeholder management, credible on it outside the company.</t>
        </is>
      </c>
    </row>
    <row r="38">
      <c r="A38" s="4" t="inlineStr">
        <is>
          <t>Communication, Influence &amp; Craft Leadership</t>
        </is>
      </c>
      <c r="B38" s="4" t="inlineStr">
        <is>
          <t>Stakeholder Influence</t>
        </is>
      </c>
      <c r="C38" s="4" t="inlineStr">
        <is>
          <t>Saying no &amp; negotiation</t>
        </is>
      </c>
      <c r="D38" s="6" t="inlineStr">
        <is>
          <t>CC-05</t>
        </is>
      </c>
      <c r="E38" s="4" t="inlineStr">
        <is>
          <t>Navigates conflict toward good decisions.</t>
        </is>
      </c>
      <c r="F38" s="4" t="inlineStr">
        <is>
          <t>Perri, Escaping the Build Trap: How Effective Product Management Creates Real Value (O'Reilly, 2018) — saying no to weak requests and negotiating trade-offs in the open is what protects the team's outcome focus from becoming a feature-request queue.</t>
        </is>
      </c>
      <c r="G38" s="4" t="inlineStr">
        <is>
          <t>Depth: Voices disagreement respectfully; disagrees-and-commits.
Evidenced by: Disagrees with a stakeholder's proposed scope respectfully in a planning meeting, and commits fully to the team's final call once it's made.</t>
        </is>
      </c>
      <c r="H38" s="4" t="inlineStr">
        <is>
          <t>Depth: Works through disagreement to a decision without damaging relationships.
Evidenced by: Works a disagreement over priority with a peer PM through to a decision both can live with, without either relationship taking damage.</t>
        </is>
      </c>
      <c r="I38" s="4" t="inlineStr">
        <is>
          <t>Depth: Mediates technical disputes in their domain; finds the path that holds up.
Evidenced by: Mediates a technical dispute between two senior engineers over an approach, and the path the team ends up on holds up three months later.</t>
        </is>
      </c>
      <c r="J38" s="4" t="inlineStr">
        <is>
          <t>Depth: Resolves high-stakes disagreements between senior stakeholders across orgs.
Evidenced by: Resolves a high-stakes disagreement between two VPs from different orgs over a shared roadmap, where the stakes and organizational distance had stalled prior attempts.</t>
        </is>
      </c>
      <c r="K38" s="4" t="inlineStr">
        <is>
          <t>Depth: Designs the decision processes the org uses to resolve conflict.
Evidenced by: Designs the decision process the org now uses to resolve cross-team prioritization conflicts, replacing a pattern of escalations that used to land on one exec's desk.</t>
        </is>
      </c>
      <c r="L38" s="4" t="inlineStr">
        <is>
          <t>Depth: Sets the company norm for principled disagreement.
Evidenced by: Sets the company norm for how principled disagreement gets resolved, cited when new leaders are onboarded into how the company makes contested calls.</t>
        </is>
      </c>
    </row>
    <row r="39">
      <c r="A39" s="4" t="inlineStr">
        <is>
          <t>Communication, Influence &amp; Craft Leadership</t>
        </is>
      </c>
      <c r="B39" s="4" t="inlineStr">
        <is>
          <t>Product Craft Leadership</t>
        </is>
      </c>
      <c r="C39" s="4" t="inlineStr">
        <is>
          <t>Mentoring &amp; coaching PMs</t>
        </is>
      </c>
      <c r="D39" s="6" t="inlineStr">
        <is>
          <t>LI-01</t>
        </is>
      </c>
      <c r="E39" s="4" t="inlineStr">
        <is>
          <t>Grows other people's capability.</t>
        </is>
      </c>
      <c r="F39" s="4" t="inlineStr">
        <is>
          <t>Cagan &amp; Jones, EMPOWERED: Ordinary People, Extraordinary Products (Wiley, 2020) — growing other PMs' capability compounds a product organization's craft beyond any one person's individual output.</t>
        </is>
      </c>
      <c r="G39" s="4" t="inlineStr">
        <is>
          <t>Depth: Receptive to mentoring; shares what they learn.
Evidenced by: Takes a senior PM's feedback on a spec without defensiveness and passes the lesson along to a newer teammate a week later.</t>
        </is>
      </c>
      <c r="H39" s="4" t="inlineStr">
        <is>
          <t>Depth: Helps onboard teammates; informally mentors juniors.
Evidenced by: Helps a new PM get their first feature shipped by walking them through the team's discovery cadence, without being formally assigned as their mentor.</t>
        </is>
      </c>
      <c r="I39" s="4" t="inlineStr">
        <is>
          <t>Depth: Coaches engineers with growth-oriented feedback; measurably improves a team's skill.
Evidenced by: Coaches a struggling PM through three consecutive cycles of feedback that visibly improves their spec-writing, measured in fewer clarifying questions from engineering.</t>
        </is>
      </c>
      <c r="J39" s="4" t="inlineStr">
        <is>
          <t>Depth: Develops future leads across teams; shapes hiring and onboarding.
Evidenced by: Develops two ICs into leads across different teams and shapes the interview loop new PM hires now go through.</t>
        </is>
      </c>
      <c r="K39" s="4" t="inlineStr">
        <is>
          <t>Depth: Develops senior engineers and leaders; builds culture deliberately.
Evidenced by: Builds a coaching culture across the product org that other leads' own coaching practice gets measured against.</t>
        </is>
      </c>
      <c r="L39" s="4" t="inlineStr">
        <is>
          <t>Depth: Develops the next generation of top talent; legacy outlasts tenure.
Evidenced by: Develops PMs who go on to lead product organizations elsewhere, and the practice they carry with them traces back to this person's coaching.</t>
        </is>
      </c>
    </row>
    <row r="40">
      <c r="A40" s="4" t="inlineStr">
        <is>
          <t>Communication, Influence &amp; Craft Leadership</t>
        </is>
      </c>
      <c r="B40" s="4" t="inlineStr">
        <is>
          <t>Product Craft Leadership</t>
        </is>
      </c>
      <c r="C40" s="4" t="inlineStr">
        <is>
          <t>Raising the craft bar</t>
        </is>
      </c>
      <c r="D40" s="6" t="inlineStr">
        <is>
          <t>LI-03</t>
        </is>
      </c>
      <c r="E40" s="4" t="inlineStr">
        <is>
          <t>Shapes technical direction beyond own work.</t>
        </is>
      </c>
      <c r="F40" s="4" t="inlineStr">
        <is>
          <t>Cagan &amp; Jones, EMPOWERED: Ordinary People, Extraordinary Products (Wiley, 2020) — shaping product craft beyond one's own work — what good discovery, specs, and trade-offs look like for other PMs — paired with Larson's Staff-archetype ladder for how that influence scales from one domain to company strategy.</t>
        </is>
      </c>
      <c r="G40" s="4" t="inlineStr">
        <is>
          <t>Depth: Contributes informed opinions in technical discussions.
Evidenced by: Offers an informed opinion in a spec review that a more senior PM ultimately weighs alongside their own, without yet being the person others default to.</t>
        </is>
      </c>
      <c r="H40" s="4" t="inlineStr">
        <is>
          <t>Depth: Influences component-level decisions through credibility.
Evidenced by: Earns their product area's default trust on discovery-method calls through consistently sound judgment, not because of a title.</t>
        </is>
      </c>
      <c r="I40" s="4" t="inlineStr">
        <is>
          <t>Depth: Sets technical direction for a domain; others align to their calls.
Evidenced by: Sets the discovery and spec-writing bar their product's team aligns to without being told, handling the hardest ambiguous calls unsupervised.</t>
        </is>
      </c>
      <c r="J40" s="4" t="inlineStr">
        <is>
          <t>Depth: Shapes how multiple teams approach problems; trusted tiebreaker.
Evidenced by: Becomes the trusted tiebreaker on a craft question that spans three teams' approaches, and the resolution shapes how all three now work.</t>
        </is>
      </c>
      <c r="K40" s="4" t="inlineStr">
        <is>
          <t>Depth: Influences org-wide technical strategy.
Evidenced by: Advises the product org's leadership on craft strategy at organizational scale, influencing standards no single cross-team problem could reach.</t>
        </is>
      </c>
      <c r="L40" s="4" t="inlineStr">
        <is>
          <t>Depth: Influences company strategic direction through insight.
Evidenced by: Shapes the company's strategic direction through craft insight that gets adopted well beyond the product organization.</t>
        </is>
      </c>
    </row>
    <row r="41">
      <c r="A41" s="4" t="inlineStr">
        <is>
          <t>Communication, Influence &amp; Craft Leadership</t>
        </is>
      </c>
      <c r="B41" s="4" t="inlineStr">
        <is>
          <t>Product Craft Leadership</t>
        </is>
      </c>
      <c r="C41" s="4" t="inlineStr">
        <is>
          <t>Hiring &amp; interviewing PMs</t>
        </is>
      </c>
      <c r="D41" s="6" t="inlineStr">
        <is>
          <t>LI-02</t>
        </is>
      </c>
      <c r="E41" s="4" t="inlineStr">
        <is>
          <t>Builds the team through hiring and placement.</t>
        </is>
      </c>
      <c r="F41" s="4" t="inlineStr">
        <is>
          <t>Cagan &amp; Jones, EMPOWERED: Ordinary People, Extraordinary Products (Wiley, 2020) — building the team through hiring and placement is the product leader's compounding lever — a strong PM organization is built one calibrated hire at a time, not backfilled after the fact.</t>
        </is>
      </c>
      <c r="G41" s="4" t="inlineStr">
        <is>
          <t>Depth: Participates in interviews; gives clear, evidence-based feedback.
Evidenced by: Gives evidence-based interview feedback using the team's existing scorecard, citing the specific answer that drove their rating.</t>
        </is>
      </c>
      <c r="H41" s="4" t="inlineStr">
        <is>
          <t>Depth: Runs interviews well; calibrates against a consistent bar.
Evidenced by: Runs a PM candidate interview independently and calibrates their rating against the team's existing bar without a debrief coach in the room.</t>
        </is>
      </c>
      <c r="I41" s="4" t="inlineStr">
        <is>
          <t>Depth: Shapes hiring for a team; designs loops; makes sound staffing calls.
Evidenced by: Designs a new interview loop stage that catches a judgment gap the old loop was missing, and makes the staffing call on a contested hire.</t>
        </is>
      </c>
      <c r="J41" s="4" t="inlineStr">
        <is>
          <t>Depth: Drives hiring strategy across teams; builds the interviewing bar.
Evidenced by: Builds the PM interviewing bar three other teams now hire against, driving hiring strategy across the group.</t>
        </is>
      </c>
      <c r="K41" s="4" t="inlineStr">
        <is>
          <t>Depth: Sets the org's talent strategy.
Evidenced by: Sets the product org's talent strategy — leveling, sourcing priorities, workforce plan — for the year.</t>
        </is>
      </c>
      <c r="L41" s="4" t="inlineStr">
        <is>
          <t>Depth: Shapes company-wide talent philosophy.
Evidenced by: Shapes the company's talent philosophy for product roles in a way that outlasts their own tenure in the org.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" customWidth="1" min="3" max="3"/>
    <col width="7" customWidth="1" min="4" max="4"/>
    <col width="7" customWidth="1" min="5" max="5"/>
    <col width="9" customWidth="1" min="6" max="6"/>
    <col width="7" customWidth="1" min="7" max="7"/>
    <col width="7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Target level</t>
        </is>
      </c>
      <c r="B1" s="7" t="inlineStr">
        <is>
          <t>P3</t>
        </is>
      </c>
      <c r="D1" s="2" t="inlineStr">
        <is>
          <t>Enter one of: P1, P2, P3, P4, P5, P6. Blue cells are inputs (1-6, the P number).</t>
        </is>
      </c>
    </row>
    <row r="3">
      <c r="A3" s="1" t="inlineStr">
        <is>
          <t>Key Area</t>
        </is>
      </c>
      <c r="B3" s="1" t="inlineStr">
        <is>
          <t>Competency</t>
        </is>
      </c>
      <c r="C3" s="1" t="inlineStr">
        <is>
          <t>Target P</t>
        </is>
      </c>
      <c r="D3" s="1" t="inlineStr">
        <is>
          <t>Self</t>
        </is>
      </c>
      <c r="E3" s="1" t="inlineStr">
        <is>
          <t>Peer</t>
        </is>
      </c>
      <c r="F3" s="1" t="inlineStr">
        <is>
          <t>Manager</t>
        </is>
      </c>
      <c r="G3" s="1" t="inlineStr">
        <is>
          <t>Avg</t>
        </is>
      </c>
      <c r="H3" s="1" t="inlineStr">
        <is>
          <t>Gap</t>
        </is>
      </c>
      <c r="J3" s="1" t="inlineStr">
        <is>
          <t>P1</t>
        </is>
      </c>
      <c r="K3" s="1" t="inlineStr">
        <is>
          <t>P2</t>
        </is>
      </c>
      <c r="L3" s="1" t="inlineStr">
        <is>
          <t>P3</t>
        </is>
      </c>
      <c r="M3" s="1" t="inlineStr">
        <is>
          <t>P4</t>
        </is>
      </c>
      <c r="N3" s="1" t="inlineStr">
        <is>
          <t>P5</t>
        </is>
      </c>
      <c r="O3" s="1" t="inlineStr">
        <is>
          <t>P6</t>
        </is>
      </c>
    </row>
    <row r="4">
      <c r="A4" s="2" t="inlineStr">
        <is>
          <t>Product Discovery &amp; User Research</t>
        </is>
      </c>
      <c r="B4" s="2" t="inlineStr">
        <is>
          <t>Customer interviewing</t>
        </is>
      </c>
      <c r="C4" s="2">
        <f>IFERROR(INDEX(J4:O4,MATCH($B$1,$J$3:$O$3,0)),"")</f>
        <v/>
      </c>
      <c r="D4" s="7" t="n"/>
      <c r="E4" s="7" t="n"/>
      <c r="F4" s="7" t="n"/>
      <c r="G4" s="2">
        <f>IFERROR(AVERAGE(D4:F4),"")</f>
        <v/>
      </c>
      <c r="H4" s="2">
        <f>IFERROR(G4-C4,"")</f>
        <v/>
      </c>
      <c r="J4" s="2" t="n">
        <v>1</v>
      </c>
      <c r="K4" s="2" t="n">
        <v>2</v>
      </c>
      <c r="L4" s="2" t="n">
        <v>3</v>
      </c>
      <c r="M4" s="2" t="n">
        <v>4</v>
      </c>
      <c r="N4" s="2" t="n">
        <v>5</v>
      </c>
      <c r="O4" s="2" t="n">
        <v>6</v>
      </c>
    </row>
    <row r="5">
      <c r="A5" s="2" t="inlineStr">
        <is>
          <t>Product Discovery &amp; User Research</t>
        </is>
      </c>
      <c r="B5" s="2" t="inlineStr">
        <is>
          <t>Discovery cadence &amp; habits</t>
        </is>
      </c>
      <c r="C5" s="2">
        <f>IFERROR(INDEX(J5:O5,MATCH($B$1,$J$3:$O$3,0)),"")</f>
        <v/>
      </c>
      <c r="D5" s="7" t="n"/>
      <c r="E5" s="7" t="n"/>
      <c r="F5" s="7" t="n"/>
      <c r="G5" s="2">
        <f>IFERROR(AVERAGE(D5:F5),"")</f>
        <v/>
      </c>
      <c r="H5" s="2">
        <f>IFERROR(G5-C5,"")</f>
        <v/>
      </c>
      <c r="J5" s="2" t="n">
        <v>1</v>
      </c>
      <c r="K5" s="2" t="n">
        <v>2</v>
      </c>
      <c r="L5" s="2" t="n">
        <v>3</v>
      </c>
      <c r="M5" s="2" t="n">
        <v>4</v>
      </c>
      <c r="N5" s="2" t="n">
        <v>5</v>
      </c>
      <c r="O5" s="2" t="n">
        <v>6</v>
      </c>
    </row>
    <row r="6">
      <c r="A6" s="2" t="inlineStr">
        <is>
          <t>Product Discovery &amp; User Research</t>
        </is>
      </c>
      <c r="B6" s="2" t="inlineStr">
        <is>
          <t>Opportunity mapping</t>
        </is>
      </c>
      <c r="C6" s="2">
        <f>IFERROR(INDEX(J6:O6,MATCH($B$1,$J$3:$O$3,0)),"")</f>
        <v/>
      </c>
      <c r="D6" s="7" t="n"/>
      <c r="E6" s="7" t="n"/>
      <c r="F6" s="7" t="n"/>
      <c r="G6" s="2">
        <f>IFERROR(AVERAGE(D6:F6),"")</f>
        <v/>
      </c>
      <c r="H6" s="2">
        <f>IFERROR(G6-C6,"")</f>
        <v/>
      </c>
      <c r="J6" s="2" t="n">
        <v>1</v>
      </c>
      <c r="K6" s="2" t="n">
        <v>2</v>
      </c>
      <c r="L6" s="2" t="n">
        <v>3</v>
      </c>
      <c r="M6" s="2" t="n">
        <v>4</v>
      </c>
      <c r="N6" s="2" t="n">
        <v>5</v>
      </c>
      <c r="O6" s="2" t="n">
        <v>6</v>
      </c>
    </row>
    <row r="7">
      <c r="A7" s="2" t="inlineStr">
        <is>
          <t>Product Discovery &amp; User Research</t>
        </is>
      </c>
      <c r="B7" s="2" t="inlineStr">
        <is>
          <t>Research synthesis &amp; insight</t>
        </is>
      </c>
      <c r="C7" s="2">
        <f>IFERROR(INDEX(J7:O7,MATCH($B$1,$J$3:$O$3,0)),"")</f>
        <v/>
      </c>
      <c r="D7" s="7" t="n"/>
      <c r="E7" s="7" t="n"/>
      <c r="F7" s="7" t="n"/>
      <c r="G7" s="2">
        <f>IFERROR(AVERAGE(D7:F7),"")</f>
        <v/>
      </c>
      <c r="H7" s="2">
        <f>IFERROR(G7-C7,"")</f>
        <v/>
      </c>
      <c r="J7" s="2" t="n">
        <v>1</v>
      </c>
      <c r="K7" s="2" t="n">
        <v>2</v>
      </c>
      <c r="L7" s="2" t="n">
        <v>3</v>
      </c>
      <c r="M7" s="2" t="n">
        <v>4</v>
      </c>
      <c r="N7" s="2" t="n">
        <v>5</v>
      </c>
      <c r="O7" s="2" t="n">
        <v>6</v>
      </c>
    </row>
    <row r="8">
      <c r="A8" s="2" t="inlineStr">
        <is>
          <t>Product Discovery &amp; User Research</t>
        </is>
      </c>
      <c r="B8" s="2" t="inlineStr">
        <is>
          <t>Customer segmentation &amp; personas</t>
        </is>
      </c>
      <c r="C8" s="2">
        <f>IFERROR(INDEX(J8:O8,MATCH($B$1,$J$3:$O$3,0)),"")</f>
        <v/>
      </c>
      <c r="D8" s="7" t="n"/>
      <c r="E8" s="7" t="n"/>
      <c r="F8" s="7" t="n"/>
      <c r="G8" s="2">
        <f>IFERROR(AVERAGE(D8:F8),"")</f>
        <v/>
      </c>
      <c r="H8" s="2">
        <f>IFERROR(G8-C8,"")</f>
        <v/>
      </c>
      <c r="J8" s="2" t="n">
        <v>1</v>
      </c>
      <c r="K8" s="2" t="n">
        <v>2</v>
      </c>
      <c r="L8" s="2" t="n">
        <v>3</v>
      </c>
      <c r="M8" s="2" t="n">
        <v>4</v>
      </c>
      <c r="N8" s="2" t="n">
        <v>5</v>
      </c>
      <c r="O8" s="2" t="n">
        <v>6</v>
      </c>
    </row>
    <row r="9">
      <c r="A9" s="2" t="inlineStr">
        <is>
          <t>Problem Definition &amp; Validation</t>
        </is>
      </c>
      <c r="B9" s="2" t="inlineStr">
        <is>
          <t>Problem statements &amp; outcome framing</t>
        </is>
      </c>
      <c r="C9" s="2">
        <f>IFERROR(INDEX(J9:O9,MATCH($B$1,$J$3:$O$3,0)),"")</f>
        <v/>
      </c>
      <c r="D9" s="7" t="n"/>
      <c r="E9" s="7" t="n"/>
      <c r="F9" s="7" t="n"/>
      <c r="G9" s="2">
        <f>IFERROR(AVERAGE(D9:F9),"")</f>
        <v/>
      </c>
      <c r="H9" s="2">
        <f>IFERROR(G9-C9,"")</f>
        <v/>
      </c>
      <c r="J9" s="2" t="n">
        <v>1</v>
      </c>
      <c r="K9" s="2" t="n">
        <v>2</v>
      </c>
      <c r="L9" s="2" t="n">
        <v>3</v>
      </c>
      <c r="M9" s="2" t="n">
        <v>4</v>
      </c>
      <c r="N9" s="2" t="n">
        <v>5</v>
      </c>
      <c r="O9" s="2" t="n">
        <v>6</v>
      </c>
    </row>
    <row r="10">
      <c r="A10" s="2" t="inlineStr">
        <is>
          <t>Problem Definition &amp; Validation</t>
        </is>
      </c>
      <c r="B10" s="2" t="inlineStr">
        <is>
          <t>Jobs-to-be-done framing</t>
        </is>
      </c>
      <c r="C10" s="2">
        <f>IFERROR(INDEX(J10:O10,MATCH($B$1,$J$3:$O$3,0)),"")</f>
        <v/>
      </c>
      <c r="D10" s="7" t="n"/>
      <c r="E10" s="7" t="n"/>
      <c r="F10" s="7" t="n"/>
      <c r="G10" s="2">
        <f>IFERROR(AVERAGE(D10:F10),"")</f>
        <v/>
      </c>
      <c r="H10" s="2">
        <f>IFERROR(G10-C10,"")</f>
        <v/>
      </c>
      <c r="J10" s="2" t="n">
        <v>1</v>
      </c>
      <c r="K10" s="2" t="n">
        <v>2</v>
      </c>
      <c r="L10" s="2" t="n">
        <v>3</v>
      </c>
      <c r="M10" s="2" t="n">
        <v>4</v>
      </c>
      <c r="N10" s="2" t="n">
        <v>5</v>
      </c>
      <c r="O10" s="2" t="n">
        <v>6</v>
      </c>
    </row>
    <row r="11">
      <c r="A11" s="2" t="inlineStr">
        <is>
          <t>Problem Definition &amp; Validation</t>
        </is>
      </c>
      <c r="B11" s="2" t="inlineStr">
        <is>
          <t>Assumption mapping &amp; risk framing</t>
        </is>
      </c>
      <c r="C11" s="2">
        <f>IFERROR(INDEX(J11:O11,MATCH($B$1,$J$3:$O$3,0)),"")</f>
        <v/>
      </c>
      <c r="D11" s="7" t="n"/>
      <c r="E11" s="7" t="n"/>
      <c r="F11" s="7" t="n"/>
      <c r="G11" s="2">
        <f>IFERROR(AVERAGE(D11:F11),"")</f>
        <v/>
      </c>
      <c r="H11" s="2">
        <f>IFERROR(G11-C11,"")</f>
        <v/>
      </c>
      <c r="J11" s="2" t="n">
        <v>1</v>
      </c>
      <c r="K11" s="2" t="n">
        <v>2</v>
      </c>
      <c r="L11" s="2" t="n">
        <v>3</v>
      </c>
      <c r="M11" s="2" t="n">
        <v>4</v>
      </c>
      <c r="N11" s="2" t="n">
        <v>5</v>
      </c>
      <c r="O11" s="2" t="n">
        <v>6</v>
      </c>
    </row>
    <row r="12">
      <c r="A12" s="2" t="inlineStr">
        <is>
          <t>Problem Definition &amp; Validation</t>
        </is>
      </c>
      <c r="B12" s="2" t="inlineStr">
        <is>
          <t>Assumption testing &amp; experiments</t>
        </is>
      </c>
      <c r="C12" s="2">
        <f>IFERROR(INDEX(J12:O12,MATCH($B$1,$J$3:$O$3,0)),"")</f>
        <v/>
      </c>
      <c r="D12" s="7" t="n"/>
      <c r="E12" s="7" t="n"/>
      <c r="F12" s="7" t="n"/>
      <c r="G12" s="2">
        <f>IFERROR(AVERAGE(D12:F12),"")</f>
        <v/>
      </c>
      <c r="H12" s="2">
        <f>IFERROR(G12-C12,"")</f>
        <v/>
      </c>
      <c r="J12" s="2" t="n">
        <v>1</v>
      </c>
      <c r="K12" s="2" t="n">
        <v>2</v>
      </c>
      <c r="L12" s="2" t="n">
        <v>3</v>
      </c>
      <c r="M12" s="2" t="n">
        <v>4</v>
      </c>
      <c r="N12" s="2" t="n">
        <v>5</v>
      </c>
      <c r="O12" s="2" t="n">
        <v>6</v>
      </c>
    </row>
    <row r="13">
      <c r="A13" s="2" t="inlineStr">
        <is>
          <t>Problem Definition &amp; Validation</t>
        </is>
      </c>
      <c r="B13" s="2" t="inlineStr">
        <is>
          <t>Prototype &amp; solution testing</t>
        </is>
      </c>
      <c r="C13" s="2">
        <f>IFERROR(INDEX(J13:O13,MATCH($B$1,$J$3:$O$3,0)),"")</f>
        <v/>
      </c>
      <c r="D13" s="7" t="n"/>
      <c r="E13" s="7" t="n"/>
      <c r="F13" s="7" t="n"/>
      <c r="G13" s="2">
        <f>IFERROR(AVERAGE(D13:F13),"")</f>
        <v/>
      </c>
      <c r="H13" s="2">
        <f>IFERROR(G13-C13,"")</f>
        <v/>
      </c>
      <c r="J13" s="2" t="n">
        <v>1</v>
      </c>
      <c r="K13" s="2" t="n">
        <v>2</v>
      </c>
      <c r="L13" s="2" t="n">
        <v>3</v>
      </c>
      <c r="M13" s="2" t="n">
        <v>4</v>
      </c>
      <c r="N13" s="2" t="n">
        <v>5</v>
      </c>
      <c r="O13" s="2" t="n">
        <v>6</v>
      </c>
    </row>
    <row r="14">
      <c r="A14" s="2" t="inlineStr">
        <is>
          <t>Product Strategy &amp; Vision</t>
        </is>
      </c>
      <c r="B14" s="2" t="inlineStr">
        <is>
          <t>Product strategy formulation</t>
        </is>
      </c>
      <c r="C14" s="2">
        <f>IFERROR(INDEX(J14:O14,MATCH($B$1,$J$3:$O$3,0)),"")</f>
        <v/>
      </c>
      <c r="D14" s="7" t="n"/>
      <c r="E14" s="7" t="n"/>
      <c r="F14" s="7" t="n"/>
      <c r="G14" s="2">
        <f>IFERROR(AVERAGE(D14:F14),"")</f>
        <v/>
      </c>
      <c r="H14" s="2">
        <f>IFERROR(G14-C14,"")</f>
        <v/>
      </c>
      <c r="J14" s="2" t="n">
        <v>1</v>
      </c>
      <c r="K14" s="2" t="n">
        <v>2</v>
      </c>
      <c r="L14" s="2" t="n">
        <v>3</v>
      </c>
      <c r="M14" s="2" t="n">
        <v>4</v>
      </c>
      <c r="N14" s="2" t="n">
        <v>5</v>
      </c>
      <c r="O14" s="2" t="n">
        <v>6</v>
      </c>
    </row>
    <row r="15">
      <c r="A15" s="2" t="inlineStr">
        <is>
          <t>Product Strategy &amp; Vision</t>
        </is>
      </c>
      <c r="B15" s="2" t="inlineStr">
        <is>
          <t>Positioning &amp; differentiation</t>
        </is>
      </c>
      <c r="C15" s="2">
        <f>IFERROR(INDEX(J15:O15,MATCH($B$1,$J$3:$O$3,0)),"")</f>
        <v/>
      </c>
      <c r="D15" s="7" t="n"/>
      <c r="E15" s="7" t="n"/>
      <c r="F15" s="7" t="n"/>
      <c r="G15" s="2">
        <f>IFERROR(AVERAGE(D15:F15),"")</f>
        <v/>
      </c>
      <c r="H15" s="2">
        <f>IFERROR(G15-C15,"")</f>
        <v/>
      </c>
      <c r="J15" s="2" t="n">
        <v>1</v>
      </c>
      <c r="K15" s="2" t="n">
        <v>2</v>
      </c>
      <c r="L15" s="2" t="n">
        <v>3</v>
      </c>
      <c r="M15" s="2" t="n">
        <v>4</v>
      </c>
      <c r="N15" s="2" t="n">
        <v>5</v>
      </c>
      <c r="O15" s="2" t="n">
        <v>6</v>
      </c>
    </row>
    <row r="16">
      <c r="A16" s="2" t="inlineStr">
        <is>
          <t>Product Strategy &amp; Vision</t>
        </is>
      </c>
      <c r="B16" s="2" t="inlineStr">
        <is>
          <t>Product vision narrative</t>
        </is>
      </c>
      <c r="C16" s="2">
        <f>IFERROR(INDEX(J16:O16,MATCH($B$1,$J$3:$O$3,0)),"")</f>
        <v/>
      </c>
      <c r="D16" s="7" t="n"/>
      <c r="E16" s="7" t="n"/>
      <c r="F16" s="7" t="n"/>
      <c r="G16" s="2">
        <f>IFERROR(AVERAGE(D16:F16),"")</f>
        <v/>
      </c>
      <c r="H16" s="2">
        <f>IFERROR(G16-C16,"")</f>
        <v/>
      </c>
      <c r="J16" s="2" t="n">
        <v>1</v>
      </c>
      <c r="K16" s="2" t="n">
        <v>2</v>
      </c>
      <c r="L16" s="2" t="n">
        <v>3</v>
      </c>
      <c r="M16" s="2" t="n">
        <v>4</v>
      </c>
      <c r="N16" s="2" t="n">
        <v>5</v>
      </c>
      <c r="O16" s="2" t="n">
        <v>6</v>
      </c>
    </row>
    <row r="17">
      <c r="A17" s="2" t="inlineStr">
        <is>
          <t>Product Strategy &amp; Vision</t>
        </is>
      </c>
      <c r="B17" s="2" t="inlineStr">
        <is>
          <t>Outcome-based roadmapping</t>
        </is>
      </c>
      <c r="C17" s="2">
        <f>IFERROR(INDEX(J17:O17,MATCH($B$1,$J$3:$O$3,0)),"")</f>
        <v/>
      </c>
      <c r="D17" s="7" t="n"/>
      <c r="E17" s="7" t="n"/>
      <c r="F17" s="7" t="n"/>
      <c r="G17" s="2">
        <f>IFERROR(AVERAGE(D17:F17),"")</f>
        <v/>
      </c>
      <c r="H17" s="2">
        <f>IFERROR(G17-C17,"")</f>
        <v/>
      </c>
      <c r="J17" s="2" t="n">
        <v>1</v>
      </c>
      <c r="K17" s="2" t="n">
        <v>2</v>
      </c>
      <c r="L17" s="2" t="n">
        <v>3</v>
      </c>
      <c r="M17" s="2" t="n">
        <v>4</v>
      </c>
      <c r="N17" s="2" t="n">
        <v>5</v>
      </c>
      <c r="O17" s="2" t="n">
        <v>6</v>
      </c>
    </row>
    <row r="18">
      <c r="A18" s="2" t="inlineStr">
        <is>
          <t>Product Strategy &amp; Vision</t>
        </is>
      </c>
      <c r="B18" s="2" t="inlineStr">
        <is>
          <t>Goal setting &amp; OKRs</t>
        </is>
      </c>
      <c r="C18" s="2">
        <f>IFERROR(INDEX(J18:O18,MATCH($B$1,$J$3:$O$3,0)),"")</f>
        <v/>
      </c>
      <c r="D18" s="7" t="n"/>
      <c r="E18" s="7" t="n"/>
      <c r="F18" s="7" t="n"/>
      <c r="G18" s="2">
        <f>IFERROR(AVERAGE(D18:F18),"")</f>
        <v/>
      </c>
      <c r="H18" s="2">
        <f>IFERROR(G18-C18,"")</f>
        <v/>
      </c>
      <c r="J18" s="2" t="n">
        <v>1</v>
      </c>
      <c r="K18" s="2" t="n">
        <v>2</v>
      </c>
      <c r="L18" s="2" t="n">
        <v>3</v>
      </c>
      <c r="M18" s="2" t="n">
        <v>4</v>
      </c>
      <c r="N18" s="2" t="n">
        <v>5</v>
      </c>
      <c r="O18" s="2" t="n">
        <v>6</v>
      </c>
    </row>
    <row r="19">
      <c r="A19" s="2" t="inlineStr">
        <is>
          <t>Data &amp; Analytics</t>
        </is>
      </c>
      <c r="B19" s="2" t="inlineStr">
        <is>
          <t>Success metrics &amp; KPI design</t>
        </is>
      </c>
      <c r="C19" s="2">
        <f>IFERROR(INDEX(J19:O19,MATCH($B$1,$J$3:$O$3,0)),"")</f>
        <v/>
      </c>
      <c r="D19" s="7" t="n"/>
      <c r="E19" s="7" t="n"/>
      <c r="F19" s="7" t="n"/>
      <c r="G19" s="2">
        <f>IFERROR(AVERAGE(D19:F19),"")</f>
        <v/>
      </c>
      <c r="H19" s="2">
        <f>IFERROR(G19-C19,"")</f>
        <v/>
      </c>
      <c r="J19" s="2" t="n">
        <v>1</v>
      </c>
      <c r="K19" s="2" t="n">
        <v>2</v>
      </c>
      <c r="L19" s="2" t="n">
        <v>3</v>
      </c>
      <c r="M19" s="2" t="n">
        <v>4</v>
      </c>
      <c r="N19" s="2" t="n">
        <v>5</v>
      </c>
      <c r="O19" s="2" t="n">
        <v>6</v>
      </c>
    </row>
    <row r="20">
      <c r="A20" s="2" t="inlineStr">
        <is>
          <t>Data &amp; Analytics</t>
        </is>
      </c>
      <c r="B20" s="2" t="inlineStr">
        <is>
          <t>Funnel &amp; behavioral analysis</t>
        </is>
      </c>
      <c r="C20" s="2">
        <f>IFERROR(INDEX(J20:O20,MATCH($B$1,$J$3:$O$3,0)),"")</f>
        <v/>
      </c>
      <c r="D20" s="7" t="n"/>
      <c r="E20" s="7" t="n"/>
      <c r="F20" s="7" t="n"/>
      <c r="G20" s="2">
        <f>IFERROR(AVERAGE(D20:F20),"")</f>
        <v/>
      </c>
      <c r="H20" s="2">
        <f>IFERROR(G20-C20,"")</f>
        <v/>
      </c>
      <c r="J20" s="2" t="n">
        <v>1</v>
      </c>
      <c r="K20" s="2" t="n">
        <v>2</v>
      </c>
      <c r="L20" s="2" t="n">
        <v>3</v>
      </c>
      <c r="M20" s="2" t="n">
        <v>4</v>
      </c>
      <c r="N20" s="2" t="n">
        <v>5</v>
      </c>
      <c r="O20" s="2" t="n">
        <v>6</v>
      </c>
    </row>
    <row r="21">
      <c r="A21" s="2" t="inlineStr">
        <is>
          <t>Data &amp; Analytics</t>
        </is>
      </c>
      <c r="B21" s="2" t="inlineStr">
        <is>
          <t>A/B test design &amp; analysis</t>
        </is>
      </c>
      <c r="C21" s="2">
        <f>IFERROR(INDEX(J21:O21,MATCH($B$1,$J$3:$O$3,0)),"")</f>
        <v/>
      </c>
      <c r="D21" s="7" t="n"/>
      <c r="E21" s="7" t="n"/>
      <c r="F21" s="7" t="n"/>
      <c r="G21" s="2">
        <f>IFERROR(AVERAGE(D21:F21),"")</f>
        <v/>
      </c>
      <c r="H21" s="2">
        <f>IFERROR(G21-C21,"")</f>
        <v/>
      </c>
      <c r="J21" s="2" t="n">
        <v>1</v>
      </c>
      <c r="K21" s="2" t="n">
        <v>2</v>
      </c>
      <c r="L21" s="2" t="n">
        <v>3</v>
      </c>
      <c r="M21" s="2" t="n">
        <v>4</v>
      </c>
      <c r="N21" s="2" t="n">
        <v>5</v>
      </c>
      <c r="O21" s="2" t="n">
        <v>6</v>
      </c>
    </row>
    <row r="22">
      <c r="A22" s="2" t="inlineStr">
        <is>
          <t>Data &amp; Analytics</t>
        </is>
      </c>
      <c r="B22" s="2" t="inlineStr">
        <is>
          <t>Decision quality under uncertainty</t>
        </is>
      </c>
      <c r="C22" s="2">
        <f>IFERROR(INDEX(J22:O22,MATCH($B$1,$J$3:$O$3,0)),"")</f>
        <v/>
      </c>
      <c r="D22" s="7" t="n"/>
      <c r="E22" s="7" t="n"/>
      <c r="F22" s="7" t="n"/>
      <c r="G22" s="2">
        <f>IFERROR(AVERAGE(D22:F22),"")</f>
        <v/>
      </c>
      <c r="H22" s="2">
        <f>IFERROR(G22-C22,"")</f>
        <v/>
      </c>
      <c r="J22" s="2" t="n">
        <v>1</v>
      </c>
      <c r="K22" s="2" t="n">
        <v>2</v>
      </c>
      <c r="L22" s="2" t="n">
        <v>3</v>
      </c>
      <c r="M22" s="2" t="n">
        <v>4</v>
      </c>
      <c r="N22" s="2" t="n">
        <v>5</v>
      </c>
      <c r="O22" s="2" t="n">
        <v>6</v>
      </c>
    </row>
    <row r="23">
      <c r="A23" s="2" t="inlineStr">
        <is>
          <t>Execution &amp; Delivery</t>
        </is>
      </c>
      <c r="B23" s="2" t="inlineStr">
        <is>
          <t>Prioritization &amp; sequencing</t>
        </is>
      </c>
      <c r="C23" s="2">
        <f>IFERROR(INDEX(J23:O23,MATCH($B$1,$J$3:$O$3,0)),"")</f>
        <v/>
      </c>
      <c r="D23" s="7" t="n"/>
      <c r="E23" s="7" t="n"/>
      <c r="F23" s="7" t="n"/>
      <c r="G23" s="2">
        <f>IFERROR(AVERAGE(D23:F23),"")</f>
        <v/>
      </c>
      <c r="H23" s="2">
        <f>IFERROR(G23-C23,"")</f>
        <v/>
      </c>
      <c r="J23" s="2" t="n">
        <v>1</v>
      </c>
      <c r="K23" s="2" t="n">
        <v>2</v>
      </c>
      <c r="L23" s="2" t="n">
        <v>3</v>
      </c>
      <c r="M23" s="2" t="n">
        <v>4</v>
      </c>
      <c r="N23" s="2" t="n">
        <v>5</v>
      </c>
      <c r="O23" s="2" t="n">
        <v>6</v>
      </c>
    </row>
    <row r="24">
      <c r="A24" s="2" t="inlineStr">
        <is>
          <t>Execution &amp; Delivery</t>
        </is>
      </c>
      <c r="B24" s="2" t="inlineStr">
        <is>
          <t>Scope-cutting &amp; trade-offs</t>
        </is>
      </c>
      <c r="C24" s="2">
        <f>IFERROR(INDEX(J24:O24,MATCH($B$1,$J$3:$O$3,0)),"")</f>
        <v/>
      </c>
      <c r="D24" s="7" t="n"/>
      <c r="E24" s="7" t="n"/>
      <c r="F24" s="7" t="n"/>
      <c r="G24" s="2">
        <f>IFERROR(AVERAGE(D24:F24),"")</f>
        <v/>
      </c>
      <c r="H24" s="2">
        <f>IFERROR(G24-C24,"")</f>
        <v/>
      </c>
      <c r="J24" s="2" t="n">
        <v>1</v>
      </c>
      <c r="K24" s="2" t="n">
        <v>2</v>
      </c>
      <c r="L24" s="2" t="n">
        <v>3</v>
      </c>
      <c r="M24" s="2" t="n">
        <v>4</v>
      </c>
      <c r="N24" s="2" t="n">
        <v>5</v>
      </c>
      <c r="O24" s="2" t="n">
        <v>6</v>
      </c>
    </row>
    <row r="25">
      <c r="A25" s="2" t="inlineStr">
        <is>
          <t>Execution &amp; Delivery</t>
        </is>
      </c>
      <c r="B25" s="2" t="inlineStr">
        <is>
          <t>Product trio partnership</t>
        </is>
      </c>
      <c r="C25" s="2">
        <f>IFERROR(INDEX(J25:O25,MATCH($B$1,$J$3:$O$3,0)),"")</f>
        <v/>
      </c>
      <c r="D25" s="7" t="n"/>
      <c r="E25" s="7" t="n"/>
      <c r="F25" s="7" t="n"/>
      <c r="G25" s="2">
        <f>IFERROR(AVERAGE(D25:F25),"")</f>
        <v/>
      </c>
      <c r="H25" s="2">
        <f>IFERROR(G25-C25,"")</f>
        <v/>
      </c>
      <c r="J25" s="2" t="n">
        <v>1</v>
      </c>
      <c r="K25" s="2" t="n">
        <v>2</v>
      </c>
      <c r="L25" s="2" t="n">
        <v>3</v>
      </c>
      <c r="M25" s="2" t="n">
        <v>4</v>
      </c>
      <c r="N25" s="2" t="n">
        <v>5</v>
      </c>
      <c r="O25" s="2" t="n">
        <v>6</v>
      </c>
    </row>
    <row r="26">
      <c r="A26" s="2" t="inlineStr">
        <is>
          <t>Execution &amp; Delivery</t>
        </is>
      </c>
      <c r="B26" s="2" t="inlineStr">
        <is>
          <t>Requirements, specs &amp; acceptance criteria</t>
        </is>
      </c>
      <c r="C26" s="2">
        <f>IFERROR(INDEX(J26:O26,MATCH($B$1,$J$3:$O$3,0)),"")</f>
        <v/>
      </c>
      <c r="D26" s="7" t="n"/>
      <c r="E26" s="7" t="n"/>
      <c r="F26" s="7" t="n"/>
      <c r="G26" s="2">
        <f>IFERROR(AVERAGE(D26:F26),"")</f>
        <v/>
      </c>
      <c r="H26" s="2">
        <f>IFERROR(G26-C26,"")</f>
        <v/>
      </c>
      <c r="J26" s="2" t="n">
        <v>1</v>
      </c>
      <c r="K26" s="2" t="n">
        <v>2</v>
      </c>
      <c r="L26" s="2" t="n">
        <v>3</v>
      </c>
      <c r="M26" s="2" t="n">
        <v>4</v>
      </c>
      <c r="N26" s="2" t="n">
        <v>5</v>
      </c>
      <c r="O26" s="2" t="n">
        <v>6</v>
      </c>
    </row>
    <row r="27">
      <c r="A27" s="2" t="inlineStr">
        <is>
          <t>Execution &amp; Delivery</t>
        </is>
      </c>
      <c r="B27" s="2" t="inlineStr">
        <is>
          <t>Backlog &amp; delivery flow</t>
        </is>
      </c>
      <c r="C27" s="2">
        <f>IFERROR(INDEX(J27:O27,MATCH($B$1,$J$3:$O$3,0)),"")</f>
        <v/>
      </c>
      <c r="D27" s="7" t="n"/>
      <c r="E27" s="7" t="n"/>
      <c r="F27" s="7" t="n"/>
      <c r="G27" s="2">
        <f>IFERROR(AVERAGE(D27:F27),"")</f>
        <v/>
      </c>
      <c r="H27" s="2">
        <f>IFERROR(G27-C27,"")</f>
        <v/>
      </c>
      <c r="J27" s="2" t="n">
        <v>1</v>
      </c>
      <c r="K27" s="2" t="n">
        <v>2</v>
      </c>
      <c r="L27" s="2" t="n">
        <v>3</v>
      </c>
      <c r="M27" s="2" t="n">
        <v>4</v>
      </c>
      <c r="N27" s="2" t="n">
        <v>5</v>
      </c>
      <c r="O27" s="2" t="n">
        <v>6</v>
      </c>
    </row>
    <row r="28">
      <c r="A28" s="2" t="inlineStr">
        <is>
          <t>Execution &amp; Delivery</t>
        </is>
      </c>
      <c r="B28" s="2" t="inlineStr">
        <is>
          <t>Technical &amp; design fluency</t>
        </is>
      </c>
      <c r="C28" s="2">
        <f>IFERROR(INDEX(J28:O28,MATCH($B$1,$J$3:$O$3,0)),"")</f>
        <v/>
      </c>
      <c r="D28" s="7" t="n"/>
      <c r="E28" s="7" t="n"/>
      <c r="F28" s="7" t="n"/>
      <c r="G28" s="2">
        <f>IFERROR(AVERAGE(D28:F28),"")</f>
        <v/>
      </c>
      <c r="H28" s="2">
        <f>IFERROR(G28-C28,"")</f>
        <v/>
      </c>
      <c r="J28" s="2" t="n">
        <v>1</v>
      </c>
      <c r="K28" s="2" t="n">
        <v>2</v>
      </c>
      <c r="L28" s="2" t="n">
        <v>3</v>
      </c>
      <c r="M28" s="2" t="n">
        <v>3</v>
      </c>
      <c r="N28" s="2" t="n">
        <v>4</v>
      </c>
      <c r="O28" s="2" t="n">
        <v>4</v>
      </c>
    </row>
    <row r="29">
      <c r="A29" s="2" t="inlineStr">
        <is>
          <t>Execution &amp; Delivery</t>
        </is>
      </c>
      <c r="B29" s="2" t="inlineStr">
        <is>
          <t>Launch management &amp; readiness</t>
        </is>
      </c>
      <c r="C29" s="2">
        <f>IFERROR(INDEX(J29:O29,MATCH($B$1,$J$3:$O$3,0)),"")</f>
        <v/>
      </c>
      <c r="D29" s="7" t="n"/>
      <c r="E29" s="7" t="n"/>
      <c r="F29" s="7" t="n"/>
      <c r="G29" s="2">
        <f>IFERROR(AVERAGE(D29:F29),"")</f>
        <v/>
      </c>
      <c r="H29" s="2">
        <f>IFERROR(G29-C29,"")</f>
        <v/>
      </c>
      <c r="J29" s="2" t="n">
        <v>1</v>
      </c>
      <c r="K29" s="2" t="n">
        <v>2</v>
      </c>
      <c r="L29" s="2" t="n">
        <v>3</v>
      </c>
      <c r="M29" s="2" t="n">
        <v>4</v>
      </c>
      <c r="N29" s="2" t="n">
        <v>5</v>
      </c>
      <c r="O29" s="2" t="n">
        <v>6</v>
      </c>
    </row>
    <row r="30">
      <c r="A30" s="2" t="inlineStr">
        <is>
          <t>Execution &amp; Delivery</t>
        </is>
      </c>
      <c r="B30" s="2" t="inlineStr">
        <is>
          <t>Post-launch iteration &amp; lifecycle</t>
        </is>
      </c>
      <c r="C30" s="2">
        <f>IFERROR(INDEX(J30:O30,MATCH($B$1,$J$3:$O$3,0)),"")</f>
        <v/>
      </c>
      <c r="D30" s="7" t="n"/>
      <c r="E30" s="7" t="n"/>
      <c r="F30" s="7" t="n"/>
      <c r="G30" s="2">
        <f>IFERROR(AVERAGE(D30:F30),"")</f>
        <v/>
      </c>
      <c r="H30" s="2">
        <f>IFERROR(G30-C30,"")</f>
        <v/>
      </c>
      <c r="J30" s="2" t="n">
        <v>1</v>
      </c>
      <c r="K30" s="2" t="n">
        <v>2</v>
      </c>
      <c r="L30" s="2" t="n">
        <v>3</v>
      </c>
      <c r="M30" s="2" t="n">
        <v>4</v>
      </c>
      <c r="N30" s="2" t="n">
        <v>5</v>
      </c>
      <c r="O30" s="2" t="n">
        <v>6</v>
      </c>
    </row>
    <row r="31">
      <c r="A31" s="2" t="inlineStr">
        <is>
          <t>Business, Market &amp; Go-to-Market</t>
        </is>
      </c>
      <c r="B31" s="2" t="inlineStr">
        <is>
          <t>Business model &amp; unit economics</t>
        </is>
      </c>
      <c r="C31" s="2">
        <f>IFERROR(INDEX(J31:O31,MATCH($B$1,$J$3:$O$3,0)),"")</f>
        <v/>
      </c>
      <c r="D31" s="7" t="n"/>
      <c r="E31" s="7" t="n"/>
      <c r="F31" s="7" t="n"/>
      <c r="G31" s="2">
        <f>IFERROR(AVERAGE(D31:F31),"")</f>
        <v/>
      </c>
      <c r="H31" s="2">
        <f>IFERROR(G31-C31,"")</f>
        <v/>
      </c>
      <c r="J31" s="2" t="n">
        <v>1</v>
      </c>
      <c r="K31" s="2" t="n">
        <v>2</v>
      </c>
      <c r="L31" s="2" t="n">
        <v>3</v>
      </c>
      <c r="M31" s="2" t="n">
        <v>4</v>
      </c>
      <c r="N31" s="2" t="n">
        <v>5</v>
      </c>
      <c r="O31" s="2" t="n">
        <v>6</v>
      </c>
    </row>
    <row r="32">
      <c r="A32" s="2" t="inlineStr">
        <is>
          <t>Business, Market &amp; Go-to-Market</t>
        </is>
      </c>
      <c r="B32" s="2" t="inlineStr">
        <is>
          <t>Pricing &amp; packaging</t>
        </is>
      </c>
      <c r="C32" s="2">
        <f>IFERROR(INDEX(J32:O32,MATCH($B$1,$J$3:$O$3,0)),"")</f>
        <v/>
      </c>
      <c r="D32" s="7" t="n"/>
      <c r="E32" s="7" t="n"/>
      <c r="F32" s="7" t="n"/>
      <c r="G32" s="2">
        <f>IFERROR(AVERAGE(D32:F32),"")</f>
        <v/>
      </c>
      <c r="H32" s="2">
        <f>IFERROR(G32-C32,"")</f>
        <v/>
      </c>
      <c r="J32" s="2" t="n">
        <v>1</v>
      </c>
      <c r="K32" s="2" t="n">
        <v>2</v>
      </c>
      <c r="L32" s="2" t="n">
        <v>3</v>
      </c>
      <c r="M32" s="2" t="n">
        <v>4</v>
      </c>
      <c r="N32" s="2" t="n">
        <v>5</v>
      </c>
      <c r="O32" s="2" t="n">
        <v>6</v>
      </c>
    </row>
    <row r="33">
      <c r="A33" s="2" t="inlineStr">
        <is>
          <t>Business, Market &amp; Go-to-Market</t>
        </is>
      </c>
      <c r="B33" s="2" t="inlineStr">
        <is>
          <t>Competitive &amp; market analysis</t>
        </is>
      </c>
      <c r="C33" s="2">
        <f>IFERROR(INDEX(J33:O33,MATCH($B$1,$J$3:$O$3,0)),"")</f>
        <v/>
      </c>
      <c r="D33" s="7" t="n"/>
      <c r="E33" s="7" t="n"/>
      <c r="F33" s="7" t="n"/>
      <c r="G33" s="2">
        <f>IFERROR(AVERAGE(D33:F33),"")</f>
        <v/>
      </c>
      <c r="H33" s="2">
        <f>IFERROR(G33-C33,"")</f>
        <v/>
      </c>
      <c r="J33" s="2" t="n">
        <v>1</v>
      </c>
      <c r="K33" s="2" t="n">
        <v>2</v>
      </c>
      <c r="L33" s="2" t="n">
        <v>3</v>
      </c>
      <c r="M33" s="2" t="n">
        <v>4</v>
      </c>
      <c r="N33" s="2" t="n">
        <v>5</v>
      </c>
      <c r="O33" s="2" t="n">
        <v>6</v>
      </c>
    </row>
    <row r="34">
      <c r="A34" s="2" t="inlineStr">
        <is>
          <t>Business, Market &amp; Go-to-Market</t>
        </is>
      </c>
      <c r="B34" s="2" t="inlineStr">
        <is>
          <t>Domain &amp; industry fluency</t>
        </is>
      </c>
      <c r="C34" s="2">
        <f>IFERROR(INDEX(J34:O34,MATCH($B$1,$J$3:$O$3,0)),"")</f>
        <v/>
      </c>
      <c r="D34" s="7" t="n"/>
      <c r="E34" s="7" t="n"/>
      <c r="F34" s="7" t="n"/>
      <c r="G34" s="2">
        <f>IFERROR(AVERAGE(D34:F34),"")</f>
        <v/>
      </c>
      <c r="H34" s="2">
        <f>IFERROR(G34-C34,"")</f>
        <v/>
      </c>
      <c r="J34" s="2" t="n">
        <v>1</v>
      </c>
      <c r="K34" s="2" t="n">
        <v>2</v>
      </c>
      <c r="L34" s="2" t="n">
        <v>3</v>
      </c>
      <c r="M34" s="2" t="n">
        <v>4</v>
      </c>
      <c r="N34" s="2" t="n">
        <v>5</v>
      </c>
      <c r="O34" s="2" t="n">
        <v>6</v>
      </c>
    </row>
    <row r="35">
      <c r="A35" s="2" t="inlineStr">
        <is>
          <t>Business, Market &amp; Go-to-Market</t>
        </is>
      </c>
      <c r="B35" s="2" t="inlineStr">
        <is>
          <t>GTM planning &amp; partnership</t>
        </is>
      </c>
      <c r="C35" s="2">
        <f>IFERROR(INDEX(J35:O35,MATCH($B$1,$J$3:$O$3,0)),"")</f>
        <v/>
      </c>
      <c r="D35" s="7" t="n"/>
      <c r="E35" s="7" t="n"/>
      <c r="F35" s="7" t="n"/>
      <c r="G35" s="2">
        <f>IFERROR(AVERAGE(D35:F35),"")</f>
        <v/>
      </c>
      <c r="H35" s="2">
        <f>IFERROR(G35-C35,"")</f>
        <v/>
      </c>
      <c r="J35" s="2" t="n">
        <v>1</v>
      </c>
      <c r="K35" s="2" t="n">
        <v>2</v>
      </c>
      <c r="L35" s="2" t="n">
        <v>3</v>
      </c>
      <c r="M35" s="2" t="n">
        <v>4</v>
      </c>
      <c r="N35" s="2" t="n">
        <v>5</v>
      </c>
      <c r="O35" s="2" t="n">
        <v>6</v>
      </c>
    </row>
    <row r="36">
      <c r="A36" s="2" t="inlineStr">
        <is>
          <t>Business, Market &amp; Go-to-Market</t>
        </is>
      </c>
      <c r="B36" s="2" t="inlineStr">
        <is>
          <t>Field feedback &amp; enablement</t>
        </is>
      </c>
      <c r="C36" s="2">
        <f>IFERROR(INDEX(J36:O36,MATCH($B$1,$J$3:$O$3,0)),"")</f>
        <v/>
      </c>
      <c r="D36" s="7" t="n"/>
      <c r="E36" s="7" t="n"/>
      <c r="F36" s="7" t="n"/>
      <c r="G36" s="2">
        <f>IFERROR(AVERAGE(D36:F36),"")</f>
        <v/>
      </c>
      <c r="H36" s="2">
        <f>IFERROR(G36-C36,"")</f>
        <v/>
      </c>
      <c r="J36" s="2" t="n">
        <v>1</v>
      </c>
      <c r="K36" s="2" t="n">
        <v>2</v>
      </c>
      <c r="L36" s="2" t="n">
        <v>3</v>
      </c>
      <c r="M36" s="2" t="n">
        <v>4</v>
      </c>
      <c r="N36" s="2" t="n">
        <v>5</v>
      </c>
      <c r="O36" s="2" t="n">
        <v>6</v>
      </c>
    </row>
    <row r="37">
      <c r="A37" s="2" t="inlineStr">
        <is>
          <t>Communication, Influence &amp; Craft Leadership</t>
        </is>
      </c>
      <c r="B37" s="2" t="inlineStr">
        <is>
          <t>Product narratives &amp; written communication</t>
        </is>
      </c>
      <c r="C37" s="2">
        <f>IFERROR(INDEX(J37:O37,MATCH($B$1,$J$3:$O$3,0)),"")</f>
        <v/>
      </c>
      <c r="D37" s="7" t="n"/>
      <c r="E37" s="7" t="n"/>
      <c r="F37" s="7" t="n"/>
      <c r="G37" s="2">
        <f>IFERROR(AVERAGE(D37:F37),"")</f>
        <v/>
      </c>
      <c r="H37" s="2">
        <f>IFERROR(G37-C37,"")</f>
        <v/>
      </c>
      <c r="J37" s="2" t="n">
        <v>1</v>
      </c>
      <c r="K37" s="2" t="n">
        <v>2</v>
      </c>
      <c r="L37" s="2" t="n">
        <v>3</v>
      </c>
      <c r="M37" s="2" t="n">
        <v>4</v>
      </c>
      <c r="N37" s="2" t="n">
        <v>5</v>
      </c>
      <c r="O37" s="2" t="n">
        <v>6</v>
      </c>
    </row>
    <row r="38">
      <c r="A38" s="2" t="inlineStr">
        <is>
          <t>Communication, Influence &amp; Craft Leadership</t>
        </is>
      </c>
      <c r="B38" s="2" t="inlineStr">
        <is>
          <t>Executive communication</t>
        </is>
      </c>
      <c r="C38" s="2">
        <f>IFERROR(INDEX(J38:O38,MATCH($B$1,$J$3:$O$3,0)),"")</f>
        <v/>
      </c>
      <c r="D38" s="7" t="n"/>
      <c r="E38" s="7" t="n"/>
      <c r="F38" s="7" t="n"/>
      <c r="G38" s="2">
        <f>IFERROR(AVERAGE(D38:F38),"")</f>
        <v/>
      </c>
      <c r="H38" s="2">
        <f>IFERROR(G38-C38,"")</f>
        <v/>
      </c>
      <c r="J38" s="2" t="n">
        <v>1</v>
      </c>
      <c r="K38" s="2" t="n">
        <v>2</v>
      </c>
      <c r="L38" s="2" t="n">
        <v>3</v>
      </c>
      <c r="M38" s="2" t="n">
        <v>4</v>
      </c>
      <c r="N38" s="2" t="n">
        <v>5</v>
      </c>
      <c r="O38" s="2" t="n">
        <v>6</v>
      </c>
    </row>
    <row r="39">
      <c r="A39" s="2" t="inlineStr">
        <is>
          <t>Communication, Influence &amp; Craft Leadership</t>
        </is>
      </c>
      <c r="B39" s="2" t="inlineStr">
        <is>
          <t>Stakeholder alignment &amp; expectations</t>
        </is>
      </c>
      <c r="C39" s="2">
        <f>IFERROR(INDEX(J39:O39,MATCH($B$1,$J$3:$O$3,0)),"")</f>
        <v/>
      </c>
      <c r="D39" s="7" t="n"/>
      <c r="E39" s="7" t="n"/>
      <c r="F39" s="7" t="n"/>
      <c r="G39" s="2">
        <f>IFERROR(AVERAGE(D39:F39),"")</f>
        <v/>
      </c>
      <c r="H39" s="2">
        <f>IFERROR(G39-C39,"")</f>
        <v/>
      </c>
      <c r="J39" s="2" t="n">
        <v>1</v>
      </c>
      <c r="K39" s="2" t="n">
        <v>2</v>
      </c>
      <c r="L39" s="2" t="n">
        <v>3</v>
      </c>
      <c r="M39" s="2" t="n">
        <v>4</v>
      </c>
      <c r="N39" s="2" t="n">
        <v>5</v>
      </c>
      <c r="O39" s="2" t="n">
        <v>6</v>
      </c>
    </row>
    <row r="40">
      <c r="A40" s="2" t="inlineStr">
        <is>
          <t>Communication, Influence &amp; Craft Leadership</t>
        </is>
      </c>
      <c r="B40" s="2" t="inlineStr">
        <is>
          <t>Saying no &amp; negotiation</t>
        </is>
      </c>
      <c r="C40" s="2">
        <f>IFERROR(INDEX(J40:O40,MATCH($B$1,$J$3:$O$3,0)),"")</f>
        <v/>
      </c>
      <c r="D40" s="7" t="n"/>
      <c r="E40" s="7" t="n"/>
      <c r="F40" s="7" t="n"/>
      <c r="G40" s="2">
        <f>IFERROR(AVERAGE(D40:F40),"")</f>
        <v/>
      </c>
      <c r="H40" s="2">
        <f>IFERROR(G40-C40,"")</f>
        <v/>
      </c>
      <c r="J40" s="2" t="n">
        <v>1</v>
      </c>
      <c r="K40" s="2" t="n">
        <v>2</v>
      </c>
      <c r="L40" s="2" t="n">
        <v>3</v>
      </c>
      <c r="M40" s="2" t="n">
        <v>4</v>
      </c>
      <c r="N40" s="2" t="n">
        <v>5</v>
      </c>
      <c r="O40" s="2" t="n">
        <v>6</v>
      </c>
    </row>
    <row r="41">
      <c r="A41" s="2" t="inlineStr">
        <is>
          <t>Communication, Influence &amp; Craft Leadership</t>
        </is>
      </c>
      <c r="B41" s="2" t="inlineStr">
        <is>
          <t>Mentoring &amp; coaching PMs</t>
        </is>
      </c>
      <c r="C41" s="2">
        <f>IFERROR(INDEX(J41:O41,MATCH($B$1,$J$3:$O$3,0)),"")</f>
        <v/>
      </c>
      <c r="D41" s="7" t="n"/>
      <c r="E41" s="7" t="n"/>
      <c r="F41" s="7" t="n"/>
      <c r="G41" s="2">
        <f>IFERROR(AVERAGE(D41:F41),"")</f>
        <v/>
      </c>
      <c r="H41" s="2">
        <f>IFERROR(G41-C41,"")</f>
        <v/>
      </c>
      <c r="J41" s="2" t="n">
        <v>1</v>
      </c>
      <c r="K41" s="2" t="n">
        <v>2</v>
      </c>
      <c r="L41" s="2" t="n">
        <v>3</v>
      </c>
      <c r="M41" s="2" t="n">
        <v>4</v>
      </c>
      <c r="N41" s="2" t="n">
        <v>5</v>
      </c>
      <c r="O41" s="2" t="n">
        <v>6</v>
      </c>
    </row>
    <row r="42">
      <c r="A42" s="2" t="inlineStr">
        <is>
          <t>Communication, Influence &amp; Craft Leadership</t>
        </is>
      </c>
      <c r="B42" s="2" t="inlineStr">
        <is>
          <t>Raising the craft bar</t>
        </is>
      </c>
      <c r="C42" s="2">
        <f>IFERROR(INDEX(J42:O42,MATCH($B$1,$J$3:$O$3,0)),"")</f>
        <v/>
      </c>
      <c r="D42" s="7" t="n"/>
      <c r="E42" s="7" t="n"/>
      <c r="F42" s="7" t="n"/>
      <c r="G42" s="2">
        <f>IFERROR(AVERAGE(D42:F42),"")</f>
        <v/>
      </c>
      <c r="H42" s="2">
        <f>IFERROR(G42-C42,"")</f>
        <v/>
      </c>
      <c r="J42" s="2" t="n">
        <v>1</v>
      </c>
      <c r="K42" s="2" t="n">
        <v>2</v>
      </c>
      <c r="L42" s="2" t="n">
        <v>3</v>
      </c>
      <c r="M42" s="2" t="n">
        <v>4</v>
      </c>
      <c r="N42" s="2" t="n">
        <v>5</v>
      </c>
      <c r="O42" s="2" t="n">
        <v>6</v>
      </c>
    </row>
    <row r="43">
      <c r="A43" s="2" t="inlineStr">
        <is>
          <t>Communication, Influence &amp; Craft Leadership</t>
        </is>
      </c>
      <c r="B43" s="2" t="inlineStr">
        <is>
          <t>Hiring &amp; interviewing PMs</t>
        </is>
      </c>
      <c r="C43" s="2">
        <f>IFERROR(INDEX(J43:O43,MATCH($B$1,$J$3:$O$3,0)),"")</f>
        <v/>
      </c>
      <c r="D43" s="7" t="n"/>
      <c r="E43" s="7" t="n"/>
      <c r="F43" s="7" t="n"/>
      <c r="G43" s="2">
        <f>IFERROR(AVERAGE(D43:F43),"")</f>
        <v/>
      </c>
      <c r="H43" s="2">
        <f>IFERROR(G43-C43,"")</f>
        <v/>
      </c>
      <c r="J43" s="2" t="n">
        <v>1</v>
      </c>
      <c r="K43" s="2" t="n">
        <v>2</v>
      </c>
      <c r="L43" s="2" t="n">
        <v>3</v>
      </c>
      <c r="M43" s="2" t="n">
        <v>4</v>
      </c>
      <c r="N43" s="2" t="n">
        <v>5</v>
      </c>
      <c r="O43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  <col width="45" customWidth="1" min="4" max="4"/>
  </cols>
  <sheetData>
    <row r="1">
      <c r="A1" s="1" t="inlineStr">
        <is>
          <t>Framework</t>
        </is>
      </c>
      <c r="B1" s="1" t="inlineStr">
        <is>
          <t>Source</t>
        </is>
      </c>
      <c r="C1" s="1" t="inlineStr">
        <is>
          <t>Grounds</t>
        </is>
      </c>
      <c r="D1" s="1" t="inlineStr">
        <is>
          <t>Link</t>
        </is>
      </c>
    </row>
    <row r="2">
      <c r="A2" s="4" t="inlineStr">
        <is>
          <t>Weekly-touchpoint discovery cadence and the opportunity-solution-tree method</t>
        </is>
      </c>
      <c r="B2" s="4" t="inlineStr">
        <is>
          <t>Torres, Continuous Discovery Habits: Discover Products that Create Customer Value and Business Value (Product Talk LLC, 2021)</t>
        </is>
      </c>
      <c r="C2" s="4" t="inlineStr">
        <is>
          <t>Customer interviewing</t>
        </is>
      </c>
      <c r="D2" s="4" t="inlineStr">
        <is>
          <t>https://www.producttalk.org/continuous-discovery-habits-book/</t>
        </is>
      </c>
    </row>
    <row r="3">
      <c r="A3" s="4" t="inlineStr">
        <is>
          <t>Canonical goal-directed interaction-design method and pattern catalog</t>
        </is>
      </c>
      <c r="B3" s="4" t="inlineStr">
        <is>
          <t>Cooper, Reimann, Cronin &amp; Noessel, About Face: The Essentials of Interaction Design, 4th Edition (Wiley, 2014)</t>
        </is>
      </c>
      <c r="C3" s="4" t="inlineStr">
        <is>
          <t>Customer segmentation &amp; personas</t>
        </is>
      </c>
      <c r="D3" s="4" t="inlineStr">
        <is>
          <t>https://www.wiley.com/en-us/About+Face%3A+The+Essentials+of+Interaction+Design%2C+4th+Edition-p-9781118766576</t>
        </is>
      </c>
    </row>
    <row r="4">
      <c r="A4" s="4" t="inlineStr">
        <is>
          <t>Org-level product strategy vs. output-shipping; grounds strategic/commercial leveling</t>
        </is>
      </c>
      <c r="B4" s="4" t="inlineStr">
        <is>
          <t>Perri, Escaping the Build Trap: How Effective Product Management Creates Real Value (O'Reilly, 2018)</t>
        </is>
      </c>
      <c r="C4" s="4" t="inlineStr">
        <is>
          <t>Problem statements &amp; outcome framing</t>
        </is>
      </c>
      <c r="D4" s="4" t="inlineStr">
        <is>
          <t>https://www.oreilly.com/library/view/escaping-the-build/9781491973783/</t>
        </is>
      </c>
    </row>
    <row r="5">
      <c r="A5" s="4" t="inlineStr">
        <is>
          <t>Jobs-to-be-done theory: circumstance, progress sought, competing alternatives including non-consumption</t>
        </is>
      </c>
      <c r="B5" s="4" t="inlineStr">
        <is>
          <t>Christensen, Hall, Dillon &amp; Duncan, Competing Against Luck: The Story of Innovation and Customer Choice (HarperBusiness, 2016)</t>
        </is>
      </c>
      <c r="C5" s="4" t="inlineStr">
        <is>
          <t>Jobs-to-be-done framing</t>
        </is>
      </c>
      <c r="D5" s="4" t="inlineStr">
        <is>
          <t>https://archive.org/details/competingagainst0000chri</t>
        </is>
      </c>
    </row>
    <row r="6">
      <c r="A6" s="4" t="inlineStr">
        <is>
          <t>Assumptions mapping (desirability/viability/feasibility ranked by importance x evidence) and the experiment library</t>
        </is>
      </c>
      <c r="B6" s="4" t="inlineStr">
        <is>
          <t>Bland &amp; Osterwalder, Testing Business Ideas: A Field Guide for Rapid Experimentation (Wiley, 2019)</t>
        </is>
      </c>
      <c r="C6" s="4" t="inlineStr">
        <is>
          <t>Assumption mapping &amp; risk framing</t>
        </is>
      </c>
      <c r="D6" s="4" t="inlineStr">
        <is>
          <t>https://www.wiley.com/en-us/Testing+Business+Ideas%3A+A+Field+Guide+for+Rapid+Experimentation-p-9781119551447</t>
        </is>
      </c>
    </row>
    <row r="7">
      <c r="A7" s="4" t="inlineStr">
        <is>
          <t>Build-measure-learn loop and validated learning as falsifiable, staged commitment</t>
        </is>
      </c>
      <c r="B7" s="4" t="inlineStr">
        <is>
          <t>Ries, The Lean Startup: How Today's Entrepreneurs Use Continuous Innovation to Create Radically Successful Businesses (Crown Business, 2011)</t>
        </is>
      </c>
      <c r="C7" s="4" t="inlineStr">
        <is>
          <t>Assumption testing &amp; experiments</t>
        </is>
      </c>
      <c r="D7" s="4" t="inlineStr">
        <is>
          <t>https://theleanstartup.com/book</t>
        </is>
      </c>
    </row>
    <row r="8">
      <c r="A8" s="4" t="inlineStr">
        <is>
          <t>Strategy kernel (diagnosis, guiding policy, coherent action) as the test for real vs. bad strategy</t>
        </is>
      </c>
      <c r="B8" s="4" t="inlineStr">
        <is>
          <t>Rumelt, Good Strategy Bad Strategy: The Difference and Why It Matters (Crown Business, 2011)</t>
        </is>
      </c>
      <c r="C8" s="4" t="inlineStr">
        <is>
          <t>Product strategy formulation</t>
        </is>
      </c>
      <c r="D8" s="4" t="inlineStr">
        <is>
          <t>https://www.penguinrandomhouse.com/books/198888/good-strategy-bad-strategy-by-richard-p-rumelt/</t>
        </is>
      </c>
    </row>
    <row r="9">
      <c r="A9" s="4" t="inlineStr">
        <is>
          <t>Positioning canvas: competitive alternatives, differentiated value, target market characteristics</t>
        </is>
      </c>
      <c r="B9" s="4" t="inlineStr">
        <is>
          <t>Dunford, Obviously Awesome: How to Nail Product Positioning (Ambient Press, 2019)</t>
        </is>
      </c>
      <c r="C9" s="4" t="inlineStr">
        <is>
          <t>Positioning &amp; differentiation</t>
        </is>
      </c>
      <c r="D9" s="4" t="inlineStr">
        <is>
          <t>https://www.aprildunford.com/obviously-awesome</t>
        </is>
      </c>
    </row>
    <row r="10">
      <c r="A10" s="4" t="inlineStr">
        <is>
          <t>SVPG discovery-risk framework (value/usability/feasibility/viability); PM domain-expertise and discovery-judgment anchor</t>
        </is>
      </c>
      <c r="B10" s="4" t="inlineStr">
        <is>
          <t>Cagan, INSPIRED: How to Create Tech Products Customers Love, 2nd Edition (Wiley, 2018)</t>
        </is>
      </c>
      <c r="C10" s="4" t="inlineStr">
        <is>
          <t>Product vision narrative</t>
        </is>
      </c>
      <c r="D10" s="4" t="inlineStr">
        <is>
          <t>https://www.svpg.com/inspired-2nd-edition/</t>
        </is>
      </c>
    </row>
    <row r="11">
      <c r="A11" s="4" t="inlineStr">
        <is>
          <t>OKR format (objective plus measurable key results) and cascading goal alignment</t>
        </is>
      </c>
      <c r="B11" s="4" t="inlineStr">
        <is>
          <t>Doerr, Measure What Matters (Portfolio/Penguin, 2018)</t>
        </is>
      </c>
      <c r="C11" s="4" t="inlineStr">
        <is>
          <t>Goal setting &amp; OKRs</t>
        </is>
      </c>
      <c r="D11" s="4" t="inlineStr">
        <is>
          <t>https://www.whatmatters.com/the-book</t>
        </is>
      </c>
    </row>
    <row r="12">
      <c r="A12" s="4" t="inlineStr">
        <is>
          <t>One Metric That Matters, stage-based metrics model, and vanity-metric diagnosis</t>
        </is>
      </c>
      <c r="B12" s="4" t="inlineStr">
        <is>
          <t>Croll &amp; Yoskovitz, Lean Analytics: Use Data to Build a Better Startup Faster (O'Reilly, 2013)</t>
        </is>
      </c>
      <c r="C12" s="4" t="inlineStr">
        <is>
          <t>Success metrics &amp; KPI design</t>
        </is>
      </c>
      <c r="D12" s="4" t="inlineStr">
        <is>
          <t>https://leananalyticsbook.com/</t>
        </is>
      </c>
    </row>
    <row r="13">
      <c r="A13" s="4" t="inlineStr">
        <is>
          <t>Canonical reference on rigorous online experimentation, confounds and guardrails</t>
        </is>
      </c>
      <c r="B13" s="4" t="inlineStr">
        <is>
          <t>Kohavi, Tang &amp; Xu, Trustworthy Online Controlled Experiments: A Practical Guide to A/B Testing (Cambridge University Press, 2020)</t>
        </is>
      </c>
      <c r="C13" s="4" t="inlineStr">
        <is>
          <t>A/B test design &amp; analysis</t>
        </is>
      </c>
      <c r="D13" s="4" t="inlineStr">
        <is>
          <t>https://experimentguide.com/</t>
        </is>
      </c>
    </row>
    <row r="14">
      <c r="A14" s="4" t="inlineStr">
        <is>
          <t>System 1 / System 2 reasoning; basis for structured decision-making under uncertainty</t>
        </is>
      </c>
      <c r="B14" s="4" t="inlineStr">
        <is>
          <t>Kahneman, Thinking, Fast and Slow (Farrar, Straus and Giroux, 2011)</t>
        </is>
      </c>
      <c r="C14" s="4" t="inlineStr">
        <is>
          <t>Decision quality under uncertainty</t>
        </is>
      </c>
      <c r="D14" s="4" t="inlineStr">
        <is>
          <t>https://en.wikipedia.org/wiki/Thinking,_Fast_and_Slow</t>
        </is>
      </c>
    </row>
    <row r="15">
      <c r="A15" s="4" t="inlineStr">
        <is>
          <t>Cost-of-delay and queueing-theory economics for prioritization decisions; verified via web search</t>
        </is>
      </c>
      <c r="B15" s="4" t="inlineStr">
        <is>
          <t>Reinertsen, The Principles of Product Development Flow: Second Generation Lean Product Development (Celeritas, 2009)</t>
        </is>
      </c>
      <c r="C15" s="4" t="inlineStr">
        <is>
          <t>Prioritization &amp; sequencing</t>
        </is>
      </c>
      <c r="D15" s="4" t="inlineStr"/>
    </row>
    <row r="16">
      <c r="A16" s="4" t="inlineStr">
        <is>
          <t>Executive trust-building and organizational product-leadership practice</t>
        </is>
      </c>
      <c r="B16" s="4" t="inlineStr">
        <is>
          <t>Cagan &amp; Jones, EMPOWERED: Ordinary People, Extraordinary Products (Wiley, 2020)</t>
        </is>
      </c>
      <c r="C16" s="4" t="inlineStr">
        <is>
          <t>Product trio partnership</t>
        </is>
      </c>
      <c r="D16" s="4" t="inlineStr">
        <is>
          <t>https://www.svpg.com/empowered/</t>
        </is>
      </c>
    </row>
    <row r="17">
      <c r="A17" s="4" t="inlineStr">
        <is>
          <t>Requirements elicitation and business-analysis competency standard</t>
        </is>
      </c>
      <c r="B17" s="4" t="inlineStr">
        <is>
          <t>IIBA, A Guide to the Business Analysis Body of Knowledge (BABOK Guide), Version 3 (2015)</t>
        </is>
      </c>
      <c r="C17" s="4" t="inlineStr">
        <is>
          <t>Requirements, specs &amp; acceptance criteria</t>
        </is>
      </c>
      <c r="D17" s="4" t="inlineStr">
        <is>
          <t>https://www.iiba.org/contentassets/a566a72f87314878bbed046681829fb8/business-analysis-body-of-knowledge-babok-guide-v3.pdf</t>
        </is>
      </c>
    </row>
    <row r="18">
      <c r="A18" s="4" t="inlineStr">
        <is>
          <t>Slicing and sequencing work for incremental value delivery</t>
        </is>
      </c>
      <c r="B18" s="4" t="inlineStr">
        <is>
          <t>Patton, User Story Mapping: Discover the Whole Story, Build the Right Product (O'Reilly, 2014)</t>
        </is>
      </c>
      <c r="C18" s="4" t="inlineStr">
        <is>
          <t>Backlog &amp; delivery flow</t>
        </is>
      </c>
      <c r="D18" s="4" t="inlineStr">
        <is>
          <t>https://www.oreilly.com/library/view/user-story-mapping/9781491904893/</t>
        </is>
      </c>
    </row>
    <row r="19">
      <c r="A19" s="4" t="inlineStr">
        <is>
          <t>Business Model Canvas as the standard business-modeling template</t>
        </is>
      </c>
      <c r="B19" s="4" t="inlineStr">
        <is>
          <t>Osterwalder &amp; Pigneur, Business Model Generation (Wiley, 2010)</t>
        </is>
      </c>
      <c r="C19" s="4" t="inlineStr">
        <is>
          <t>Business model &amp; unit economics</t>
        </is>
      </c>
      <c r="D19" s="4" t="inlineStr">
        <is>
          <t>https://www.strategyzer.com/library/business-model-generation</t>
        </is>
      </c>
    </row>
    <row r="20">
      <c r="A20" s="4" t="inlineStr">
        <is>
          <t>Value-based pricing and the value cascade, as against cost-plus defaults</t>
        </is>
      </c>
      <c r="B20" s="4" t="inlineStr">
        <is>
          <t>Nagle, Muller &amp; Gruyaert, The Strategy and Tactics of Pricing: A Guide to Growing More Profitably, 7th Edition (Routledge, 2023)</t>
        </is>
      </c>
      <c r="C20" s="4" t="inlineStr">
        <is>
          <t>Pricing &amp; packaging</t>
        </is>
      </c>
      <c r="D20" s="4" t="inlineStr">
        <is>
          <t>https://www.routledge.com/The-Strategy-and-Tactics-of-Pricing-A-Guide-to-Growing-More-Profitably/Nagle-Muller-Gruyaert/p/book/9781032016825</t>
        </is>
      </c>
    </row>
    <row r="21">
      <c r="A21" s="4" t="inlineStr">
        <is>
          <t>Technology adoption lifecycle and the chasm between early and mainstream markets; whitespace and launch-beachhead strategy</t>
        </is>
      </c>
      <c r="B21" s="4" t="inlineStr">
        <is>
          <t>Moore, Crossing the Chasm: Marketing and Selling High-Tech Products to Mainstream Customers, 3rd Edition (HarperBusiness, 2014; orig. 1991)</t>
        </is>
      </c>
      <c r="C21" s="4" t="inlineStr">
        <is>
          <t>Competitive &amp; market analysis</t>
        </is>
      </c>
      <c r="D21" s="4" t="inlineStr">
        <is>
          <t>https://archive.org/details/crossingthechasm_202002</t>
        </is>
      </c>
    </row>
    <row r="22">
      <c r="A22" s="4" t="inlineStr">
        <is>
          <t>Classic clarity-in-writing reference; grounds written communication leveling</t>
        </is>
      </c>
      <c r="B22" s="4" t="inlineStr">
        <is>
          <t>Zinsser, On Writing Well: The Classic Guide to Writing Nonfiction, 30th Anniversary Edition (Harper Perennial, 2006)</t>
        </is>
      </c>
      <c r="C22" s="4" t="inlineStr">
        <is>
          <t>Product narratives &amp; written communication</t>
        </is>
      </c>
      <c r="D22" s="4" t="inlineStr">
        <is>
          <t>https://openlibrary.org/books/OL3430145M/On_Writing_Well</t>
        </is>
      </c>
    </row>
    <row r="23">
      <c r="A23" s="4" t="inlineStr">
        <is>
          <t>Answer-first, structured argument method; grounds executive-communication and design-doc leveling</t>
        </is>
      </c>
      <c r="B23" s="4" t="inlineStr">
        <is>
          <t>Minto, The Minto Pyramid Principle: Logic in Writing, Thinking, and Problem Solving (Minto International, 1996)</t>
        </is>
      </c>
      <c r="C23" s="4" t="inlineStr">
        <is>
          <t>Executive communication</t>
        </is>
      </c>
      <c r="D23" s="4" t="inlineStr">
        <is>
          <t>https://www.barbaraminto.com/</t>
        </is>
      </c>
    </row>
    <row r="24">
      <c r="A24" s="4" t="inlineStr"/>
      <c r="B24" s="4" t="inlineStr">
        <is>
          <t>Torres, Continuous Discovery Habits: Discover Products that Create Customer Value and Business Value (Product Talk LLC, 2021) — https://www.producttalk.org/continuous-discovery-habits-book/</t>
        </is>
      </c>
      <c r="C24" s="4" t="inlineStr"/>
      <c r="D24" s="4" t="inlineStr"/>
    </row>
    <row r="25">
      <c r="A25" s="4" t="inlineStr"/>
      <c r="B25" s="4" t="inlineStr">
        <is>
          <t>Fitzpatrick, The Mom Test: How to Talk to Customers and Learn If Your Business Is a Good Idea When Everyone Is Lying to You (self-published, 2013) — https://www.momtestbook.com/</t>
        </is>
      </c>
      <c r="C25" s="4" t="inlineStr"/>
      <c r="D25" s="4" t="inlineStr"/>
    </row>
    <row r="26">
      <c r="A26" s="4" t="inlineStr"/>
      <c r="B26" s="4" t="inlineStr">
        <is>
          <t>SFIA Foundation, Skills Framework for the Information Age, version 9 (2024) — https://sfia-online.org/en/sfia-9</t>
        </is>
      </c>
      <c r="C26" s="4" t="inlineStr"/>
      <c r="D26" s="4" t="inlineStr"/>
    </row>
    <row r="27">
      <c r="A27" s="4" t="inlineStr"/>
      <c r="B27" s="4" t="inlineStr">
        <is>
          <t>Larson, Staff Engineer: Leadership Beyond the Management Track (self-published, 2021) — https://staffeng.com/book/</t>
        </is>
      </c>
      <c r="C27" s="4" t="inlineStr"/>
      <c r="D27" s="4" t="inlineStr"/>
    </row>
    <row r="28">
      <c r="A28" s="4" t="inlineStr"/>
      <c r="B28" s="4" t="inlineStr">
        <is>
          <t>Cagan, INSPIRED: How to Create Tech Products Customers Love, 2nd Edition (Wiley, 2018) — https://www.svpg.com/inspired-2nd-edition/</t>
        </is>
      </c>
      <c r="C28" s="4" t="inlineStr"/>
      <c r="D28" s="4" t="inlineStr"/>
    </row>
    <row r="29">
      <c r="A29" s="4" t="inlineStr"/>
      <c r="B29" s="4" t="inlineStr">
        <is>
          <t>Cooper, Reimann, Cronin &amp; Noessel, About Face: The Essentials of Interaction Design, 4th Edition (Wiley, 2014) — https://www.wiley.com/en-us/About+Face%3A+The+Essentials+of+Interaction+Design%2C+4th+Edition-p-9781118766576</t>
        </is>
      </c>
      <c r="C29" s="4" t="inlineStr"/>
      <c r="D29" s="4" t="inlineStr"/>
    </row>
    <row r="30">
      <c r="A30" s="4" t="inlineStr"/>
      <c r="B30" s="4" t="inlineStr">
        <is>
          <t>Moore, Crossing the Chasm: Marketing and Selling High-Tech Products to Mainstream Customers, 3rd Edition (HarperBusiness, 2014; orig. 1991) — https://archive.org/details/crossingthechasm_202002</t>
        </is>
      </c>
      <c r="C30" s="4" t="inlineStr"/>
      <c r="D30" s="4" t="inlineStr"/>
    </row>
    <row r="31">
      <c r="A31" s="4" t="inlineStr"/>
      <c r="B31" s="4" t="inlineStr">
        <is>
          <t>Perri, Escaping the Build Trap: How Effective Product Management Creates Real Value (O'Reilly, 2018) — https://www.oreilly.com/library/view/escaping-the-build/9781491973783/</t>
        </is>
      </c>
      <c r="C31" s="4" t="inlineStr"/>
      <c r="D31" s="4" t="inlineStr"/>
    </row>
    <row r="32">
      <c r="A32" s="4" t="inlineStr"/>
      <c r="B32" s="4" t="inlineStr">
        <is>
          <t>Christensen, Hall, Dillon &amp; Duncan, Competing Against Luck: The Story of Innovation and Customer Choice (HarperBusiness, 2016) — https://archive.org/details/competingagainst0000chri</t>
        </is>
      </c>
      <c r="C32" s="4" t="inlineStr"/>
      <c r="D32" s="4" t="inlineStr"/>
    </row>
    <row r="33">
      <c r="A33" s="4" t="inlineStr"/>
      <c r="B33" s="4" t="inlineStr">
        <is>
          <t>Bland &amp; Osterwalder, Testing Business Ideas: A Field Guide for Rapid Experimentation (Wiley, 2019) — https://www.wiley.com/en-us/Testing+Business+Ideas%3A+A+Field+Guide+for+Rapid+Experimentation-p-9781119551447</t>
        </is>
      </c>
      <c r="C33" s="4" t="inlineStr"/>
      <c r="D33" s="4" t="inlineStr"/>
    </row>
    <row r="34">
      <c r="A34" s="4" t="inlineStr"/>
      <c r="B34" s="4" t="inlineStr">
        <is>
          <t>Ries, The Lean Startup: How Today's Entrepreneurs Use Continuous Innovation to Create Radically Successful Businesses (Crown Business, 2011) — https://theleanstartup.com/book</t>
        </is>
      </c>
      <c r="C34" s="4" t="inlineStr"/>
      <c r="D34" s="4" t="inlineStr"/>
    </row>
    <row r="35">
      <c r="A35" s="4" t="inlineStr"/>
      <c r="B35" s="4" t="inlineStr">
        <is>
          <t>Rumelt, Good Strategy Bad Strategy: The Difference and Why It Matters (Crown Business, 2011) — https://www.penguinrandomhouse.com/books/198888/good-strategy-bad-strategy-by-richard-p-rumelt/</t>
        </is>
      </c>
      <c r="C35" s="4" t="inlineStr"/>
      <c r="D35" s="4" t="inlineStr"/>
    </row>
    <row r="36">
      <c r="A36" s="4" t="inlineStr"/>
      <c r="B36" s="4" t="inlineStr">
        <is>
          <t>Dunford, Obviously Awesome: How to Nail Product Positioning (Ambient Press, 2019) — https://www.aprildunford.com/obviously-awesome</t>
        </is>
      </c>
      <c r="C36" s="4" t="inlineStr"/>
      <c r="D36" s="4" t="inlineStr"/>
    </row>
    <row r="37">
      <c r="A37" s="4" t="inlineStr"/>
      <c r="B37" s="4" t="inlineStr">
        <is>
          <t>Lombardo, McCarthy, Ryan &amp; Connors, Product Roadmaps Relaunched: How to Set Direction while Embracing Uncertainty (O'Reilly, 2017) — https://www.oreilly.com/library/view/product-roadmaps-relaunched/9781491971710/</t>
        </is>
      </c>
      <c r="C37" s="4" t="inlineStr"/>
      <c r="D37" s="4" t="inlineStr"/>
    </row>
    <row r="38">
      <c r="A38" s="4" t="inlineStr"/>
      <c r="B38" s="4" t="inlineStr">
        <is>
          <t>Doerr, Measure What Matters (Portfolio/Penguin, 2018) — https://www.whatmatters.com/the-book</t>
        </is>
      </c>
      <c r="C38" s="4" t="inlineStr"/>
      <c r="D38" s="4" t="inlineStr"/>
    </row>
    <row r="39">
      <c r="A39" s="4" t="inlineStr"/>
      <c r="B39" s="4" t="inlineStr">
        <is>
          <t>Croll &amp; Yoskovitz, Lean Analytics: Use Data to Build a Better Startup Faster (O'Reilly, 2013) — https://leananalyticsbook.com/</t>
        </is>
      </c>
      <c r="C39" s="4" t="inlineStr"/>
      <c r="D39" s="4" t="inlineStr"/>
    </row>
    <row r="40">
      <c r="A40" s="4" t="inlineStr"/>
      <c r="B40" s="4" t="inlineStr">
        <is>
          <t>Kohavi, Tang &amp; Xu, Trustworthy Online Controlled Experiments: A Practical Guide to A/B Testing (Cambridge University Press, 2020) — https://experimentguide.com/</t>
        </is>
      </c>
      <c r="C40" s="4" t="inlineStr"/>
      <c r="D40" s="4" t="inlineStr"/>
    </row>
    <row r="41">
      <c r="A41" s="4" t="inlineStr"/>
      <c r="B41" s="4" t="inlineStr">
        <is>
          <t>Kahneman, Thinking, Fast and Slow (Farrar, Straus and Giroux, 2011) — https://en.wikipedia.org/wiki/Thinking,_Fast_and_Slow</t>
        </is>
      </c>
      <c r="C41" s="4" t="inlineStr"/>
      <c r="D41" s="4" t="inlineStr"/>
    </row>
    <row r="42">
      <c r="A42" s="4" t="inlineStr"/>
      <c r="B42" s="4" t="inlineStr">
        <is>
          <t>Reinertsen, The Principles of Product Development Flow: Second Generation Lean Product Development (Celeritas, 2009)</t>
        </is>
      </c>
      <c r="C42" s="4" t="inlineStr"/>
      <c r="D42" s="4" t="inlineStr"/>
    </row>
    <row r="43">
      <c r="A43" s="4" t="inlineStr"/>
      <c r="B43" s="4" t="inlineStr">
        <is>
          <t>Cagan &amp; Jones, EMPOWERED: Ordinary People, Extraordinary Products (Wiley, 2020) — https://www.svpg.com/empowered/</t>
        </is>
      </c>
      <c r="C43" s="4" t="inlineStr"/>
      <c r="D43" s="4" t="inlineStr"/>
    </row>
    <row r="44">
      <c r="A44" s="4" t="inlineStr"/>
      <c r="B44" s="4" t="inlineStr">
        <is>
          <t>IIBA, A Guide to the Business Analysis Body of Knowledge (BABOK Guide), Version 3 (2015) — https://www.iiba.org/contentassets/a566a72f87314878bbed046681829fb8/business-analysis-body-of-knowledge-babok-guide-v3.pdf</t>
        </is>
      </c>
      <c r="C44" s="4" t="inlineStr"/>
      <c r="D44" s="4" t="inlineStr"/>
    </row>
    <row r="45">
      <c r="A45" s="4" t="inlineStr"/>
      <c r="B45" s="4" t="inlineStr">
        <is>
          <t>ISO/IEC/IEEE, Systems and Software Engineering -- Life Cycle Processes -- Requirements Engineering, ISO/IEC/IEEE 29148:2018 — https://www.iso.org/standard/72089.html</t>
        </is>
      </c>
      <c r="C45" s="4" t="inlineStr"/>
      <c r="D45" s="4" t="inlineStr"/>
    </row>
    <row r="46">
      <c r="A46" s="4" t="inlineStr"/>
      <c r="B46" s="4" t="inlineStr">
        <is>
          <t>Patton, User Story Mapping: Discover the Whole Story, Build the Right Product (O'Reilly, 2014) — https://www.oreilly.com/library/view/user-story-mapping/9781491904893/</t>
        </is>
      </c>
      <c r="C46" s="4" t="inlineStr"/>
      <c r="D46" s="4" t="inlineStr"/>
    </row>
    <row r="47">
      <c r="A47" s="4" t="inlineStr"/>
      <c r="B47" s="4" t="inlineStr">
        <is>
          <t>Osterwalder &amp; Pigneur, Business Model Generation (Wiley, 2010) — https://www.strategyzer.com/library/business-model-generation</t>
        </is>
      </c>
      <c r="C47" s="4" t="inlineStr"/>
      <c r="D47" s="4" t="inlineStr"/>
    </row>
    <row r="48">
      <c r="A48" s="4" t="inlineStr"/>
      <c r="B48" s="4" t="inlineStr">
        <is>
          <t>Nagle, Muller &amp; Gruyaert, The Strategy and Tactics of Pricing: A Guide to Growing More Profitably, 7th Edition (Routledge, 2023) — https://www.routledge.com/The-Strategy-and-Tactics-of-Pricing-A-Guide-to-Growing-More-Profitably/Nagle-Muller-Gruyaert/p/book/9781032016825</t>
        </is>
      </c>
      <c r="C48" s="4" t="inlineStr"/>
      <c r="D48" s="4" t="inlineStr"/>
    </row>
    <row r="49">
      <c r="A49" s="4" t="inlineStr"/>
      <c r="B49" s="4" t="inlineStr">
        <is>
          <t>Zinsser, On Writing Well: The Classic Guide to Writing Nonfiction, 30th Anniversary Edition (Harper Perennial, 2006) — https://openlibrary.org/books/OL3430145M/On_Writing_Well</t>
        </is>
      </c>
      <c r="C49" s="4" t="inlineStr"/>
      <c r="D49" s="4" t="inlineStr"/>
    </row>
    <row r="50">
      <c r="A50" s="4" t="inlineStr"/>
      <c r="B50" s="4" t="inlineStr">
        <is>
          <t>Minto, The Minto Pyramid Principle: Logic in Writing, Thinking, and Problem Solving (Minto International, 1996) — https://www.barbaraminto.com/</t>
        </is>
      </c>
      <c r="C50" s="4" t="inlineStr"/>
      <c r="D50" s="4" t="inlineStr"/>
    </row>
    <row r="51">
      <c r="A51" s="4" t="inlineStr"/>
      <c r="B51" s="4" t="inlineStr">
        <is>
          <t>Grove, High Output Management (Random House, 1983) — https://www.penguinrandomhouse.com/books/163289/high-output-management-by-andrew-s-grove/</t>
        </is>
      </c>
      <c r="C51" s="4" t="inlineStr"/>
      <c r="D5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2026-07-09T19:41:48Z</dcterms:created>
  <dcterms:modified xsi:type="dcterms:W3CDTF">2026-07-09T19:41:48Z</dcterms:modified>
</cp:coreProperties>
</file>