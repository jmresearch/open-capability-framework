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Competency Matrix" sheetId="2" state="visible" r:id="rId2"/>
    <sheet name="Rating Template" sheetId="3" state="visible" r:id="rId3"/>
    <sheet name="Sources" sheetId="4" state="visible" r:id="rId4"/>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0"/>
    </font>
    <font>
      <name val="Arial"/>
      <sz val="10"/>
    </font>
    <font>
      <name val="Arial"/>
      <color rgb="FF0563C1"/>
      <sz val="10"/>
      <u val="single"/>
    </font>
    <font>
      <name val="Arial"/>
      <color rgb="FF0000CC"/>
      <sz val="10"/>
    </font>
  </fonts>
  <fills count="2">
    <fill>
      <patternFill/>
    </fill>
    <fill>
      <patternFill patternType="gray125"/>
    </fill>
  </fills>
  <borders count="1">
    <border>
      <left/>
      <right/>
      <top/>
      <bottom/>
      <diagonal/>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2" fillId="0" borderId="0" applyAlignment="1" pivotButton="0" quotePrefix="0" xfId="0">
      <alignment vertical="top"/>
    </xf>
    <xf numFmtId="0" fontId="2" fillId="0" borderId="0" applyAlignment="1" pivotButton="0" quotePrefix="0" xfId="0">
      <alignment vertical="top" wrapText="1"/>
    </xf>
    <xf numFmtId="0" fontId="3" fillId="0" borderId="0" pivotButton="0" quotePrefix="0" xfId="0"/>
    <xf numFmtId="0" fontId="3" fillId="0" borderId="0" applyAlignment="1" pivotButton="0" quotePrefix="0" xfId="0">
      <alignment vertical="top" wrapText="1"/>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jmresearch/open-capability-framework" TargetMode="External" Id="rId1" /></Relationships>
</file>

<file path=xl/worksheets/_rels/sheet2.xml.rels><Relationships xmlns="http://schemas.openxmlformats.org/package/2006/relationships"><Relationship Type="http://schemas.openxmlformats.org/officeDocument/2006/relationships/hyperlink" Target="https://github.com/jmresearch/open-capability-framework/blob/main/data/capabilities.md#pm-01" TargetMode="External" Id="rId1" /><Relationship Type="http://schemas.openxmlformats.org/officeDocument/2006/relationships/hyperlink" Target="https://github.com/jmresearch/open-capability-framework/blob/main/data/capabilities.md#pm-01" TargetMode="External" Id="rId2" /><Relationship Type="http://schemas.openxmlformats.org/officeDocument/2006/relationships/hyperlink" Target="https://github.com/jmresearch/open-capability-framework/blob/main/contrib/2026-07-opportunity-mapping-framing.md" TargetMode="External" Id="rId3" /><Relationship Type="http://schemas.openxmlformats.org/officeDocument/2006/relationships/hyperlink" Target="https://github.com/jmresearch/open-capability-framework/blob/main/data/capabilities.md#pm-01" TargetMode="External" Id="rId4" /><Relationship Type="http://schemas.openxmlformats.org/officeDocument/2006/relationships/hyperlink" Target="https://github.com/jmresearch/open-capability-framework/blob/main/data/capabilities.md#pm-02" TargetMode="External" Id="rId5" /><Relationship Type="http://schemas.openxmlformats.org/officeDocument/2006/relationships/hyperlink" Target="https://github.com/jmresearch/open-capability-framework/blob/main/contrib/2026-07-problem-framing-outcome-definition.md" TargetMode="External" Id="rId6" /><Relationship Type="http://schemas.openxmlformats.org/officeDocument/2006/relationships/hyperlink" Target="https://github.com/jmresearch/open-capability-framework/blob/main/contrib/2026-07-jobs-to-be-done-analysis.md" TargetMode="External" Id="rId7" /><Relationship Type="http://schemas.openxmlformats.org/officeDocument/2006/relationships/hyperlink" Target="https://github.com/jmresearch/open-capability-framework/blob/main/contrib/2026-07-assumption-mapping-discovery-testing.md" TargetMode="External" Id="rId8" /><Relationship Type="http://schemas.openxmlformats.org/officeDocument/2006/relationships/hyperlink" Target="https://github.com/jmresearch/open-capability-framework/blob/main/contrib/2026-07-assumption-mapping-discovery-testing.md" TargetMode="External" Id="rId9" /><Relationship Type="http://schemas.openxmlformats.org/officeDocument/2006/relationships/hyperlink" Target="https://github.com/jmresearch/open-capability-framework/blob/main/contrib/2026-07-assumption-mapping-discovery-testing.md" TargetMode="External" Id="rId10" /><Relationship Type="http://schemas.openxmlformats.org/officeDocument/2006/relationships/hyperlink" Target="https://github.com/jmresearch/open-capability-framework/blob/main/data/capabilities.md#pm-04" TargetMode="External" Id="rId11" /><Relationship Type="http://schemas.openxmlformats.org/officeDocument/2006/relationships/hyperlink" Target="https://github.com/jmresearch/open-capability-framework/blob/main/data/capabilities.md#pm-04" TargetMode="External" Id="rId12" /><Relationship Type="http://schemas.openxmlformats.org/officeDocument/2006/relationships/hyperlink" Target="https://github.com/jmresearch/open-capability-framework/blob/main/data/capabilities.md#pm-06" TargetMode="External" Id="rId13" /><Relationship Type="http://schemas.openxmlformats.org/officeDocument/2006/relationships/hyperlink" Target="https://github.com/jmresearch/open-capability-framework/blob/main/data/capabilities.md#pm-05" TargetMode="External" Id="rId14" /><Relationship Type="http://schemas.openxmlformats.org/officeDocument/2006/relationships/hyperlink" Target="https://github.com/jmresearch/open-capability-framework/blob/main/data/capabilities.md#pm-06" TargetMode="External" Id="rId15" /><Relationship Type="http://schemas.openxmlformats.org/officeDocument/2006/relationships/hyperlink" Target="https://github.com/jmresearch/open-capability-framework/blob/main/data/capabilities.md#pm-10" TargetMode="External" Id="rId16" /><Relationship Type="http://schemas.openxmlformats.org/officeDocument/2006/relationships/hyperlink" Target="https://github.com/jmresearch/open-capability-framework/blob/main/data/capabilities.md#pm-10" TargetMode="External" Id="rId17" /><Relationship Type="http://schemas.openxmlformats.org/officeDocument/2006/relationships/hyperlink" Target="https://github.com/jmresearch/open-capability-framework/blob/main/data/capabilities.md#pm-11" TargetMode="External" Id="rId18" /><Relationship Type="http://schemas.openxmlformats.org/officeDocument/2006/relationships/hyperlink" Target="https://github.com/jmresearch/open-capability-framework/blob/main/data/capabilities.md#li-04" TargetMode="External" Id="rId19" /><Relationship Type="http://schemas.openxmlformats.org/officeDocument/2006/relationships/hyperlink" Target="https://github.com/jmresearch/open-capability-framework/blob/main/data/capabilities.md#pd-02" TargetMode="External" Id="rId20" /><Relationship Type="http://schemas.openxmlformats.org/officeDocument/2006/relationships/hyperlink" Target="https://github.com/jmresearch/open-capability-framework/blob/main/data/capabilities.md#pd-01" TargetMode="External" Id="rId21" /><Relationship Type="http://schemas.openxmlformats.org/officeDocument/2006/relationships/hyperlink" Target="https://github.com/jmresearch/open-capability-framework/blob/main/data/capabilities.md#cc-03" TargetMode="External" Id="rId22" /><Relationship Type="http://schemas.openxmlformats.org/officeDocument/2006/relationships/hyperlink" Target="https://github.com/jmresearch/open-capability-framework/blob/main/data/capabilities.md#pm-07" TargetMode="External" Id="rId23" /><Relationship Type="http://schemas.openxmlformats.org/officeDocument/2006/relationships/hyperlink" Target="https://github.com/jmresearch/open-capability-framework/blob/main/data/capabilities.md#pm-08" TargetMode="External" Id="rId24" /><Relationship Type="http://schemas.openxmlformats.org/officeDocument/2006/relationships/hyperlink" Target="https://github.com/jmresearch/open-capability-framework/blob/main/data/capabilities.md#li-06" TargetMode="External" Id="rId25" /><Relationship Type="http://schemas.openxmlformats.org/officeDocument/2006/relationships/hyperlink" Target="https://github.com/jmresearch/open-capability-framework/blob/main/data/capabilities.md#pm-09" TargetMode="External" Id="rId26" /><Relationship Type="http://schemas.openxmlformats.org/officeDocument/2006/relationships/hyperlink" Target="https://github.com/jmresearch/open-capability-framework/blob/main/data/capabilities.md#pm-10" TargetMode="External" Id="rId27" /><Relationship Type="http://schemas.openxmlformats.org/officeDocument/2006/relationships/hyperlink" Target="https://github.com/jmresearch/open-capability-framework/blob/main/data/capabilities.md#pd-07" TargetMode="External" Id="rId28" /><Relationship Type="http://schemas.openxmlformats.org/officeDocument/2006/relationships/hyperlink" Target="https://github.com/jmresearch/open-capability-framework/blob/main/data/capabilities.md#pm-12" TargetMode="External" Id="rId29" /><Relationship Type="http://schemas.openxmlformats.org/officeDocument/2006/relationships/hyperlink" Target="https://github.com/jmresearch/open-capability-framework/blob/main/data/capabilities.md#pm-03" TargetMode="External" Id="rId30" /><Relationship Type="http://schemas.openxmlformats.org/officeDocument/2006/relationships/hyperlink" Target="https://github.com/jmresearch/open-capability-framework/blob/main/contrib/2026-07-domain-industry-fluency.md" TargetMode="External" Id="rId31" /><Relationship Type="http://schemas.openxmlformats.org/officeDocument/2006/relationships/hyperlink" Target="https://github.com/jmresearch/open-capability-framework/blob/main/data/capabilities.md#pm-09" TargetMode="External" Id="rId32" /><Relationship Type="http://schemas.openxmlformats.org/officeDocument/2006/relationships/hyperlink" Target="https://github.com/jmresearch/open-capability-framework/blob/main/data/capabilities.md#pm-14" TargetMode="External" Id="rId33" /><Relationship Type="http://schemas.openxmlformats.org/officeDocument/2006/relationships/hyperlink" Target="https://github.com/jmresearch/open-capability-framework/blob/main/data/capabilities.md#cc-01" TargetMode="External" Id="rId34" /><Relationship Type="http://schemas.openxmlformats.org/officeDocument/2006/relationships/hyperlink" Target="https://github.com/jmresearch/open-capability-framework/blob/main/data/capabilities.md#cc-06" TargetMode="External" Id="rId35" /><Relationship Type="http://schemas.openxmlformats.org/officeDocument/2006/relationships/hyperlink" Target="https://github.com/jmresearch/open-capability-framework/blob/main/data/capabilities.md#pm-13" TargetMode="External" Id="rId36" /><Relationship Type="http://schemas.openxmlformats.org/officeDocument/2006/relationships/hyperlink" Target="https://github.com/jmresearch/open-capability-framework/blob/main/data/capabilities.md#cc-05" TargetMode="External" Id="rId37" /><Relationship Type="http://schemas.openxmlformats.org/officeDocument/2006/relationships/hyperlink" Target="https://github.com/jmresearch/open-capability-framework/blob/main/data/capabilities.md#li-01" TargetMode="External" Id="rId38" /><Relationship Type="http://schemas.openxmlformats.org/officeDocument/2006/relationships/hyperlink" Target="https://github.com/jmresearch/open-capability-framework/blob/main/data/capabilities.md#li-03" TargetMode="External" Id="rId39" /><Relationship Type="http://schemas.openxmlformats.org/officeDocument/2006/relationships/hyperlink" Target="https://github.com/jmresearch/open-capability-framework/blob/main/data/capabilities.md#li-02" TargetMode="External" Id="rId40" /></Relationships>
</file>

<file path=xl/worksheets/sheet1.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2" customWidth="1" min="1" max="1"/>
    <col width="36" customWidth="1" min="2" max="2"/>
    <col width="34" customWidth="1" min="3" max="3"/>
    <col width="60" customWidth="1" min="4" max="4"/>
  </cols>
  <sheetData>
    <row r="1">
      <c r="A1" s="1" t="inlineStr">
        <is>
          <t>Role</t>
        </is>
      </c>
      <c r="B1" s="2" t="inlineStr">
        <is>
          <t>Product Manager</t>
        </is>
      </c>
    </row>
    <row r="2">
      <c r="A2" s="1" t="inlineStr">
        <is>
          <t>Slug</t>
        </is>
      </c>
      <c r="B2" s="2" t="inlineStr">
        <is>
          <t>product-manager</t>
        </is>
      </c>
    </row>
    <row r="3">
      <c r="A3" s="1" t="inlineStr">
        <is>
          <t>Variant</t>
        </is>
      </c>
      <c r="B3" s="2" t="inlineStr">
        <is>
          <t>ic_technical</t>
        </is>
      </c>
    </row>
    <row r="4">
      <c r="A4" s="1" t="inlineStr">
        <is>
          <t>Minted</t>
        </is>
      </c>
      <c r="B4" s="2" t="inlineStr">
        <is>
          <t>2026-07-02</t>
        </is>
      </c>
    </row>
    <row r="6">
      <c r="A6" s="1" t="inlineStr">
        <is>
          <t>Level</t>
        </is>
      </c>
      <c r="B6" s="1" t="inlineStr">
        <is>
          <t>Title</t>
        </is>
      </c>
      <c r="C6" s="1" t="inlineStr">
        <is>
          <t>Scope</t>
        </is>
      </c>
      <c r="D6" s="1" t="inlineStr">
        <is>
          <t>Focus</t>
        </is>
      </c>
    </row>
    <row r="7">
      <c r="A7" s="3" t="inlineStr">
        <is>
          <t>P1</t>
        </is>
      </c>
      <c r="B7" s="3" t="inlineStr">
        <is>
          <t>Associate Product Manager</t>
        </is>
      </c>
      <c r="C7" s="4" t="inlineStr">
        <is>
          <t>one feature/epic</t>
        </is>
      </c>
      <c r="D7" s="4" t="inlineStr">
        <is>
          <t>Learns the craft; ships well-defined slices with guidance</t>
        </is>
      </c>
    </row>
    <row r="8">
      <c r="A8" s="3" t="inlineStr">
        <is>
          <t>P2</t>
        </is>
      </c>
      <c r="B8" s="3" t="inlineStr">
        <is>
          <t>Product Manager</t>
        </is>
      </c>
      <c r="C8" s="4" t="inlineStr">
        <is>
          <t>a product area</t>
        </is>
      </c>
      <c r="D8" s="4" t="inlineStr">
        <is>
          <t>Runs discovery-to-delivery independently for an area</t>
        </is>
      </c>
    </row>
    <row r="9">
      <c r="A9" s="3" t="inlineStr">
        <is>
          <t>P3</t>
        </is>
      </c>
      <c r="B9" s="3" t="inlineStr">
        <is>
          <t>Senior Product Manager</t>
        </is>
      </c>
      <c r="C9" s="4" t="inlineStr">
        <is>
          <t>a product/capability (terminal level)</t>
        </is>
      </c>
      <c r="D9" s="4" t="inlineStr">
        <is>
          <t>Owns outcomes for a product; sets the bar others copy</t>
        </is>
      </c>
    </row>
    <row r="10">
      <c r="A10" s="3" t="inlineStr">
        <is>
          <t>P4</t>
        </is>
      </c>
      <c r="B10" s="3" t="inlineStr">
        <is>
          <t>Staff/Group Product Manager</t>
        </is>
      </c>
      <c r="C10" s="4" t="inlineStr">
        <is>
          <t>multiple product areas</t>
        </is>
      </c>
      <c r="D10" s="4" t="inlineStr">
        <is>
          <t>Aligns strategy and craft across several product teams</t>
        </is>
      </c>
    </row>
    <row r="11">
      <c r="A11" s="3" t="inlineStr">
        <is>
          <t>P5</t>
        </is>
      </c>
      <c r="B11" s="3" t="inlineStr">
        <is>
          <t>Principal Product Manager</t>
        </is>
      </c>
      <c r="C11" s="4" t="inlineStr">
        <is>
          <t>product organization</t>
        </is>
      </c>
      <c r="D11" s="4" t="inlineStr">
        <is>
          <t>Sets product direction and practice the org builds against</t>
        </is>
      </c>
    </row>
    <row r="12">
      <c r="A12" s="3" t="inlineStr">
        <is>
          <t>P6</t>
        </is>
      </c>
      <c r="B12" s="3" t="inlineStr">
        <is>
          <t>Distinguished PM / Head of Product Craft</t>
        </is>
      </c>
      <c r="C12" s="4" t="inlineStr">
        <is>
          <t>company portfolio</t>
        </is>
      </c>
      <c r="D12" s="4" t="inlineStr">
        <is>
          <t>Shapes portfolio bets and the company's product craft</t>
        </is>
      </c>
    </row>
    <row r="14" ht="60" customHeight="1">
      <c r="A14" s="4" t="inlineStr">
        <is>
          <t>How to read: each row of the Competency Matrix is one competency, mapped to an Open Capability Framework capability (OCF ID column — click through for the catalog entry and its P1-P6 profile). Level columns describe observable behavior at each level; use the Rating Template for self/peer/manager scoring.</t>
        </is>
      </c>
    </row>
    <row r="16">
      <c r="A16" s="1" t="inlineStr">
        <is>
          <t>Framework repository</t>
        </is>
      </c>
      <c r="B16" s="5" t="inlineStr">
        <is>
          <t>https://github.com/jmresearch/open-capability-framework</t>
        </is>
      </c>
    </row>
  </sheetData>
  <mergeCells count="1">
    <mergeCell ref="A14:D14"/>
  </mergeCells>
  <hyperlinks>
    <hyperlink xmlns:r="http://schemas.openxmlformats.org/officeDocument/2006/relationships" ref="B16" r:id="rId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41"/>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24" customWidth="1" min="3" max="3"/>
    <col width="12" customWidth="1" min="4" max="4"/>
    <col width="40" customWidth="1" min="5" max="5"/>
    <col width="55" customWidth="1" min="6" max="6"/>
    <col width="55" customWidth="1" min="7" max="7"/>
    <col width="55" customWidth="1" min="8" max="8"/>
    <col width="55" customWidth="1" min="9" max="9"/>
    <col width="55" customWidth="1" min="10" max="10"/>
    <col width="55" customWidth="1" min="11" max="11"/>
  </cols>
  <sheetData>
    <row r="1">
      <c r="A1" s="1" t="inlineStr">
        <is>
          <t>Key Area</t>
        </is>
      </c>
      <c r="B1" s="1" t="inlineStr">
        <is>
          <t>Focus Area</t>
        </is>
      </c>
      <c r="C1" s="1" t="inlineStr">
        <is>
          <t>Competency</t>
        </is>
      </c>
      <c r="D1" s="1" t="inlineStr">
        <is>
          <t>OCF ID</t>
        </is>
      </c>
      <c r="E1" s="1" t="inlineStr">
        <is>
          <t>Theory Anchor</t>
        </is>
      </c>
      <c r="F1" s="1" t="inlineStr">
        <is>
          <t>P1</t>
        </is>
      </c>
      <c r="G1" s="1" t="inlineStr">
        <is>
          <t>P2</t>
        </is>
      </c>
      <c r="H1" s="1" t="inlineStr">
        <is>
          <t>P3</t>
        </is>
      </c>
      <c r="I1" s="1" t="inlineStr">
        <is>
          <t>P4</t>
        </is>
      </c>
      <c r="J1" s="1" t="inlineStr">
        <is>
          <t>P5</t>
        </is>
      </c>
      <c r="K1" s="1" t="inlineStr">
        <is>
          <t>P6</t>
        </is>
      </c>
    </row>
    <row r="2">
      <c r="A2" s="4" t="inlineStr">
        <is>
          <t>Product Discovery &amp; User Research</t>
        </is>
      </c>
      <c r="B2" s="4" t="inlineStr">
        <is>
          <t>Continuous Discovery</t>
        </is>
      </c>
      <c r="C2" s="4" t="inlineStr">
        <is>
          <t>Customer interviewing</t>
        </is>
      </c>
      <c r="D2" s="6" t="inlineStr">
        <is>
          <t>PM-01</t>
        </is>
      </c>
      <c r="E2" s="4" t="inlineStr">
        <is>
          <t>Torres, *Continuous Discovery Habits* (2021); Portigal, *Interviewing Users* (2013)</t>
        </is>
      </c>
      <c r="F2" s="4" t="inlineStr">
        <is>
          <t>Depth: Runs customer interviews from a prepared story-based guide and captures verbatim notes, asking follow-up questions that pull specific past behavior rather than opinions; debriefs findings with their lead. Scope: interviews recruited for one feature or epic.</t>
        </is>
      </c>
      <c r="G2" s="4" t="inlineStr">
        <is>
          <t>Depth: Maintains a weekly interviewing cadence without being told to, writing their own discussion guides, avoiding leading questions, and turning each session into snapshots teammates actually read. Scope: continuous touchpoints across their product area.</t>
        </is>
      </c>
      <c r="H2" s="4" t="inlineStr">
        <is>
          <t>Depth: Runs the interviewing practice for their product - builds the recruiting pipeline, brings engineers and designers into sessions, and redirects interviews that drift into feature-request collection back to behavior. Scope: their product/capability; teammates cite their interview snapshots in decisions.</t>
        </is>
      </c>
      <c r="I2" s="4" t="inlineStr">
        <is>
          <t>Depth: Teaches interviewing so visibly that other teams' guides and snapshot formats trace back to them; sits in on other PMs' sessions and gives technique-level feedback. Scope: interviewing practice across multiple product areas.</t>
        </is>
      </c>
      <c r="J2" s="4" t="inlineStr">
        <is>
          <t>Depth: Installs the org's interviewing infrastructure - recruiting panels, consent and incentive norms, snapshot repositories - and audits whether teams' customer contact is real or theater. Scope: product org.</t>
        </is>
      </c>
      <c r="K2" s="4" t="inlineStr">
        <is>
          <t>Depth: Sets the company's standard for customer contact and argues it externally in talks or writing that practitioners cite. Scope: company portfolio; executives quote customer evidence in the register this person established.</t>
        </is>
      </c>
    </row>
    <row r="3">
      <c r="A3" s="4" t="inlineStr">
        <is>
          <t>Product Discovery &amp; User Research</t>
        </is>
      </c>
      <c r="B3" s="4" t="inlineStr">
        <is>
          <t>Continuous Discovery</t>
        </is>
      </c>
      <c r="C3" s="4" t="inlineStr">
        <is>
          <t>Discovery cadence &amp; habits</t>
        </is>
      </c>
      <c r="D3" s="6" t="inlineStr">
        <is>
          <t>PM-01</t>
        </is>
      </c>
      <c r="E3" s="4" t="inlineStr">
        <is>
          <t>Torres, *Continuous Discovery Habits* (2021); Cagan, *Inspired* (2nd ed., 2018)</t>
        </is>
      </c>
      <c r="F3" s="4" t="inlineStr">
        <is>
          <t>Depth: Keeps discovery activities visible on the team board - interviews scheduled, assumptions listed, findings logged - and follows the cadence the team has set. Scope: their epic's discovery tasks.</t>
        </is>
      </c>
      <c r="G3" s="4" t="inlineStr">
        <is>
          <t>Depth: Runs discovery and delivery in parallel without stalling either - the team ships weekly and talks to customers weekly, and standups show both tracks moving. Scope: the discovery rhythm of their area.</t>
        </is>
      </c>
      <c r="H3" s="4" t="inlineStr">
        <is>
          <t>Depth: Sustains the discovery habit through pressure - deadlines, exec pushes, re-orgs - and visibly renegotiates scope rather than silently dropping customer contact. Scope: a product's discovery culture; their cadence is the example cited to new teams.</t>
        </is>
      </c>
      <c r="I3" s="4" t="inlineStr">
        <is>
          <t>Depth: Audits discovery health across teams from artifacts and calendars, names which teams have quietly stopped learning, and gets the habit restarted. Scope: multiple product areas.</t>
        </is>
      </c>
      <c r="J3" s="4" t="inlineStr">
        <is>
          <t>Depth: Designs the operating rhythm that makes discovery the default - planning rituals, review gates, and funding rules that assume continuous learning. Scope: product org.</t>
        </is>
      </c>
      <c r="K3" s="4" t="inlineStr">
        <is>
          <t>Depth: Holds the company accountable to discovery at the portfolio level, challenging major investments that lack recent customer evidence in front of executive audiences. Scope: company portfolio.</t>
        </is>
      </c>
    </row>
    <row r="4">
      <c r="A4" s="4" t="inlineStr">
        <is>
          <t>Product Discovery &amp; User Research</t>
        </is>
      </c>
      <c r="B4" s="4" t="inlineStr">
        <is>
          <t>Synthesis &amp; Customer Modeling</t>
        </is>
      </c>
      <c r="C4" s="4" t="inlineStr">
        <is>
          <t>Opportunity mapping</t>
        </is>
      </c>
      <c r="D4" s="6" t="inlineStr">
        <is>
          <t>proposed</t>
        </is>
      </c>
      <c r="E4" s="4" t="inlineStr">
        <is>
          <t>Torres, *Continuous Discovery Habits* (2021)</t>
        </is>
      </c>
      <c r="F4" s="4" t="inlineStr">
        <is>
          <t>Depth: Sorts interview evidence into needs, pain points, and desires on an existing opportunity map, distinguishing an opportunity from a solution when asked to label one. Scope: contributes nodes to a map their lead owns.</t>
        </is>
      </c>
      <c r="G4" s="4" t="inlineStr">
        <is>
          <t>Depth: Builds and maintains the opportunity solution tree for their area, sizing branches with evidence counts and pruning opportunities no interview supports. Scope: their product area; the tree is the artifact planning meetings open with.</t>
        </is>
      </c>
      <c r="H4" s="4" t="inlineStr">
        <is>
          <t>Depth: Frames the target opportunity space against the product outcome and defends why one branch is being pursued over its siblings, naming the evidence and the trade-off. Scope: their product; adjacent teams borrow the map to see where their work intersects.</t>
        </is>
      </c>
      <c r="I4" s="4" t="inlineStr">
        <is>
          <t>Depth: Reconciles opportunity maps across teams into a shared structure, exposing duplicate bets and gaps between areas that no single team could see. Scope: multiple product areas.</t>
        </is>
      </c>
      <c r="J4" s="4" t="inlineStr">
        <is>
          <t>Depth: Makes opportunity mapping the org's default synthesis method, reviewing trees in strategy checkpoints and rejecting solution-first proposals that skip the structure. Scope: product org.</t>
        </is>
      </c>
      <c r="K4" s="4" t="inlineStr">
        <is>
          <t>Depth: Shapes how the company represents customer needs at portfolio level, connecting opportunity structures to corporate strategy in artifacts the executive team plans against. Scope: company portfolio.</t>
        </is>
      </c>
    </row>
    <row r="5">
      <c r="A5" s="4" t="inlineStr">
        <is>
          <t>Product Discovery &amp; User Research</t>
        </is>
      </c>
      <c r="B5" s="4" t="inlineStr">
        <is>
          <t>Synthesis &amp; Customer Modeling</t>
        </is>
      </c>
      <c r="C5" s="4" t="inlineStr">
        <is>
          <t>Research synthesis &amp; insight</t>
        </is>
      </c>
      <c r="D5" s="6" t="inlineStr">
        <is>
          <t>PM-01</t>
        </is>
      </c>
      <c r="E5" s="4" t="inlineStr">
        <is>
          <t>Olsen, *The Lean Product Playbook* (2015)</t>
        </is>
      </c>
      <c r="F5" s="4" t="inlineStr">
        <is>
          <t>Depth: Tags and clusters interview notes into themes using the team's synthesis method, and can point to the specific quotes behind each theme. Scope: synthesis for one feature's research.</t>
        </is>
      </c>
      <c r="G5" s="4" t="inlineStr">
        <is>
          <t>Depth: Turns a batch of interviews, tickets, and usage data into a ranked set of underserved needs with the supporting evidence attached, and presents it without over-claiming. Scope: synthesis their area's decisions cite.</t>
        </is>
      </c>
      <c r="H5" s="4" t="inlineStr">
        <is>
          <t>Depth: Integrates qualitative and quantitative evidence into insight documents that change what the team builds; peers checking their synthesis find the chain from quote to claim intact. Scope: insight base for a product; other teams cite their write-ups.</t>
        </is>
      </c>
      <c r="I5" s="4" t="inlineStr">
        <is>
          <t>Depth: Spots contradictions between teams' research conclusions and forces reconciliation - same customers, conflicting claims - until the shared evidence base is consistent. Scope: multiple product areas share one coherent picture of the customer.</t>
        </is>
      </c>
      <c r="J5" s="4" t="inlineStr">
        <is>
          <t>Depth: Builds the org's insight infrastructure - repositories, tagging conventions, and synthesis reviews - so findings compound across teams instead of evaporating per project. Scope: product org.</t>
        </is>
      </c>
      <c r="K5" s="4" t="inlineStr">
        <is>
          <t>Depth: Distills company-wide customer understanding into the few durable insights executives and boards reason from, and retires folklore that no longer survives the evidence. Scope: company portfolio.</t>
        </is>
      </c>
    </row>
    <row r="6">
      <c r="A6" s="4" t="inlineStr">
        <is>
          <t>Product Discovery &amp; User Research</t>
        </is>
      </c>
      <c r="B6" s="4" t="inlineStr">
        <is>
          <t>Synthesis &amp; Customer Modeling</t>
        </is>
      </c>
      <c r="C6" s="4" t="inlineStr">
        <is>
          <t>Customer segmentation &amp; personas</t>
        </is>
      </c>
      <c r="D6" s="6" t="inlineStr">
        <is>
          <t>PM-02</t>
        </is>
      </c>
      <c r="E6" s="4" t="inlineStr">
        <is>
          <t>Cooper, *The Inmates Are Running the Asylum* (1999)</t>
        </is>
      </c>
      <c r="F6" s="4" t="inlineStr">
        <is>
          <t>Depth: Uses the team's personas and segments correctly in specs and interview recruiting - names which persona a story serves, and flags work that serves no one in particular. Scope: one epic's user definitions.</t>
        </is>
      </c>
      <c r="G6" s="4" t="inlineStr">
        <is>
          <t>Depth: Keeps their area's personas and segments evidence-based - refreshes them from interview and usage data, splits a segment when behavior diverges, and retires personas that no longer match observed users. Scope: their product area's segmentation.</t>
        </is>
      </c>
      <c r="H6" s="4" t="inlineStr">
        <is>
          <t>Depth: Chooses the target segment for their product deliberately and defends it - names who the product is not for, sizes segments with data, and maps the end-to-end journey per segment so gaps become visible. Scope: their product; design and marketing build from their segment definitions.</t>
        </is>
      </c>
      <c r="I6" s="4" t="inlineStr">
        <is>
          <t>Depth: Reconciles segment and persona models across teams so the portfolio addresses one coherent map of users rather than overlapping caricatures. Scope: multiple product areas.</t>
        </is>
      </c>
      <c r="J6" s="4" t="inlineStr">
        <is>
          <t>Depth: Owns the org's customer model - the shared segmentation the org plans, staffs, and measures against - and audits products for segment drift. Scope: product org.</t>
        </is>
      </c>
      <c r="K6" s="4" t="inlineStr">
        <is>
          <t>Depth: Defines how the company sees its market's customers - the segment map used in company strategy and board materials - and updates it ahead of market shifts. Scope: company portfolio.</t>
        </is>
      </c>
    </row>
    <row r="7">
      <c r="A7" s="4" t="inlineStr">
        <is>
          <t>Problem Definition &amp; Validation</t>
        </is>
      </c>
      <c r="B7" s="4" t="inlineStr">
        <is>
          <t>Problem Framing</t>
        </is>
      </c>
      <c r="C7" s="4" t="inlineStr">
        <is>
          <t>Problem statements &amp; outcome framing</t>
        </is>
      </c>
      <c r="D7" s="6" t="inlineStr">
        <is>
          <t>proposed</t>
        </is>
      </c>
      <c r="E7" s="4" t="inlineStr">
        <is>
          <t>Perri, *Escaping the Build Trap* (2018)</t>
        </is>
      </c>
      <c r="F7" s="4" t="inlineStr">
        <is>
          <t>Depth: Writes a one-page problem statement naming the user, the struggle, and the evidence - and separates the problem from the requested feature when a stakeholder hands them a solution. Scope: one epic.</t>
        </is>
      </c>
      <c r="G7" s="4" t="inlineStr">
        <is>
          <t>Depth: Frames work as outcomes the team can move ("reduce time-to-first-value") rather than outputs to ship, and rewrites incoming feature requests into the underlying problem before triage. Scope: their product area's backlog.</t>
        </is>
      </c>
      <c r="H7" s="4" t="inlineStr">
        <is>
          <t>Depth: Sets the outcome their product is accountable for and keeps the team pointed at it, publicly re-framing efforts that drift into output-counting. Scope: their product; the problem framing survives their absence in planning docs.</t>
        </is>
      </c>
      <c r="I7" s="4" t="inlineStr">
        <is>
          <t>Depth: Arbitrates problem framing across teams - spots when two areas are solving the same problem differently or optimizing conflicting outcomes, and reconciles the framing. Scope: multiple product areas.</t>
        </is>
      </c>
      <c r="J7" s="4" t="inlineStr">
        <is>
          <t>Depth: Defines the outcome architecture of the product org - how team-level outcomes ladder to product-level results - and retires vanity outcomes that don't. Scope: product org.</t>
        </is>
      </c>
      <c r="K7" s="4" t="inlineStr">
        <is>
          <t>Depth: Frames the company's hardest, most ambiguous product problems - the ones with no owner - into tractable outcome statements executives fund. Scope: company portfolio.</t>
        </is>
      </c>
    </row>
    <row r="8">
      <c r="A8" s="4" t="inlineStr">
        <is>
          <t>Problem Definition &amp; Validation</t>
        </is>
      </c>
      <c r="B8" s="4" t="inlineStr">
        <is>
          <t>Problem Framing</t>
        </is>
      </c>
      <c r="C8" s="4" t="inlineStr">
        <is>
          <t>Jobs-to-be-done framing</t>
        </is>
      </c>
      <c r="D8" s="6" t="inlineStr">
        <is>
          <t>proposed</t>
        </is>
      </c>
      <c r="E8" s="4" t="inlineStr">
        <is>
          <t>Christensen, Hall, Dillon &amp; Duncan, *Competing Against Luck* (2016)</t>
        </is>
      </c>
      <c r="F8" s="4" t="inlineStr">
        <is>
          <t>Depth: Restates a feature request as the job the customer is hiring it for, including the circumstance and the progress sought, with coaching on the functional/emotional/social split. Scope: individual requests on one feature.</t>
        </is>
      </c>
      <c r="G8" s="4" t="inlineStr">
        <is>
          <t>Depth: Maps the main jobs in their area from interview evidence, identifying what customers currently hire (including non-consumption and workarounds) and where those hires fail. Scope: their product area.</t>
        </is>
      </c>
      <c r="H8" s="4" t="inlineStr">
        <is>
          <t>Depth: Anchors their product's definition and boundaries in its core job, using the job to rule scope in or out and to identify non-obvious competitors. Scope: their product; the job statement appears in the team's strategy doc, in their words.</t>
        </is>
      </c>
      <c r="I8" s="4" t="inlineStr">
        <is>
          <t>Depth: Aligns job maps across areas into one view of customer progress, exposing where the portfolio makes customers stitch products together to finish one job. Scope: multiple product areas.</t>
        </is>
      </c>
      <c r="J8" s="4" t="inlineStr">
        <is>
          <t>Depth: Uses jobs analysis to shape org-level portfolio choices - which jobs the org serves end-to-end, which it exits - in documents the leadership team debates from. Scope: product org.</t>
        </is>
      </c>
      <c r="K8" s="4" t="inlineStr">
        <is>
          <t>Depth: Frames company strategy in jobs terms that reveal disruption threats and adjacent-market entries before the market makes them obvious. Scope: company portfolio.</t>
        </is>
      </c>
    </row>
    <row r="9">
      <c r="A9" s="4" t="inlineStr">
        <is>
          <t>Problem Definition &amp; Validation</t>
        </is>
      </c>
      <c r="B9" s="4" t="inlineStr">
        <is>
          <t>Assumption Testing &amp; Validation</t>
        </is>
      </c>
      <c r="C9" s="4" t="inlineStr">
        <is>
          <t>Assumption mapping &amp; risk framing</t>
        </is>
      </c>
      <c r="D9" s="6" t="inlineStr">
        <is>
          <t>proposed</t>
        </is>
      </c>
      <c r="E9" s="4" t="inlineStr">
        <is>
          <t>Bland &amp; Osterwalder, *Testing Business Ideas* (2019); Cagan, *Inspired* (2nd ed., 2018)</t>
        </is>
      </c>
      <c r="F9" s="4" t="inlineStr">
        <is>
          <t>Depth: Lists the assumptions behind their epic and sorts them by importance and evidence, using the four-risks lens with coaching. Scope: one epic's risk map.</t>
        </is>
      </c>
      <c r="G9" s="4" t="inlineStr">
        <is>
          <t>Depth: Identifies the riskiest assumption before any build starts and says so in planning, choosing what to test first rather than testing what is easiest. Scope: their area's bets.</t>
        </is>
      </c>
      <c r="H9" s="4" t="inlineStr">
        <is>
          <t>Depth: Surfaces the assumptions others treat as facts - in their own bets and in reviews of others' - and kills initiatives whose load-bearing assumptions fail. Scope: a product's risk discipline; their pre-mortems are copied.</t>
        </is>
      </c>
      <c r="I9" s="4" t="inlineStr">
        <is>
          <t>Depth: Standardizes how multiple teams express and rank risk so bets are comparable across areas, and challenges cross-team initiatives carrying untested compound assumptions. Scope: multiple product areas.</t>
        </is>
      </c>
      <c r="J9" s="4" t="inlineStr">
        <is>
          <t>Depth: Builds risk review into the org's investment process - big funding asks arrive with assumption maps or go back - and calibrates the org's risk appetite explicitly. Scope: product org.</t>
        </is>
      </c>
      <c r="K9" s="4" t="inlineStr">
        <is>
          <t>Depth: Stress-tests portfolio bets' foundational assumptions in executive forums, naming the belief that would have to be true and what evidence exists for it. Scope: company portfolio.</t>
        </is>
      </c>
    </row>
    <row r="10">
      <c r="A10" s="4" t="inlineStr">
        <is>
          <t>Problem Definition &amp; Validation</t>
        </is>
      </c>
      <c r="B10" s="4" t="inlineStr">
        <is>
          <t>Assumption Testing &amp; Validation</t>
        </is>
      </c>
      <c r="C10" s="4" t="inlineStr">
        <is>
          <t>Assumption testing &amp; experiments</t>
        </is>
      </c>
      <c r="D10" s="6" t="inlineStr">
        <is>
          <t>proposed</t>
        </is>
      </c>
      <c r="E10" s="4" t="inlineStr">
        <is>
          <t>Ries, *The Lean Startup* (2011); Torres, *Continuous Discovery Habits* (2021)</t>
        </is>
      </c>
      <c r="F10" s="4" t="inlineStr">
        <is>
          <t>Depth: Builds simple tests - fake-door links, clickable prototypes, concierge runs - from a design someone else specified, and logs what was learned. Scope: one assumption at a time.</t>
        </is>
      </c>
      <c r="G10" s="4" t="inlineStr">
        <is>
          <t>Depth: Chooses the test type that matches the assumption - prototype for usability, painted door for demand, Wizard of Oz for feasibility - and defines pass/fail before launching it. Scope: their area's assumption tests.</t>
        </is>
      </c>
      <c r="H10" s="4" t="inlineStr">
        <is>
          <t>Depth: Designs test sequences that retire the most risk per week of effort, and rejects tests whose result couldn't change the decision. Scope: a product; their test designs are the examples in onboarding.</t>
        </is>
      </c>
      <c r="I10" s="4" t="inlineStr">
        <is>
          <t>Depth: Unblocks teams whose experiments keep coming back inconclusive, redesigning the test rather than rerunning it bigger. Scope: multiple product areas.</t>
        </is>
      </c>
      <c r="J10" s="4" t="inlineStr">
        <is>
          <t>Depth: Builds the org's testing toolkit - reusable painted-door infrastructure, prototype panels, templates - dropping the cost of a first test to hours. Scope: product org.</t>
        </is>
      </c>
      <c r="K10" s="4" t="inlineStr">
        <is>
          <t>Depth: Designs validation for bets too big to A/B - new markets, pricing models, platforms - using staged commitments and falsifiable milestones. Scope: company portfolio.</t>
        </is>
      </c>
    </row>
    <row r="11">
      <c r="A11" s="4" t="inlineStr">
        <is>
          <t>Problem Definition &amp; Validation</t>
        </is>
      </c>
      <c r="B11" s="4" t="inlineStr">
        <is>
          <t>Assumption Testing &amp; Validation</t>
        </is>
      </c>
      <c r="C11" s="4" t="inlineStr">
        <is>
          <t>Prototype &amp; solution testing</t>
        </is>
      </c>
      <c r="D11" s="6" t="inlineStr">
        <is>
          <t>proposed</t>
        </is>
      </c>
      <c r="E11" s="4" t="inlineStr">
        <is>
          <t>Olsen, *The Lean Product Playbook* (2015)</t>
        </is>
      </c>
      <c r="F11" s="4" t="inlineStr">
        <is>
          <t>Depth: Runs moderated tests of an existing prototype from a task script, noting where users struggle without explaining the design to them. Scope: usability of one feature.</t>
        </is>
      </c>
      <c r="G11" s="4" t="inlineStr">
        <is>
          <t>Depth: Pairs with design to build the right-fidelity prototype for the question at hand and iterates it between test rounds, reporting what changed and why. Scope: solution tests across their product area.</t>
        </is>
      </c>
      <c r="H11" s="4" t="inlineStr">
        <is>
          <t>Depth: Chooses the testing method by risk - prototype, Wizard-of-Oz, live-data test - and calls when the evidence is sufficient to commit to build. Scope: their product; design partners treat them as a peer in test planning.</t>
        </is>
      </c>
      <c r="I11" s="4" t="inlineStr">
        <is>
          <t>Depth: Reviews other teams' solution tests before major commitments and catches tests that can only confirm, never falsify. Scope: multiple product areas.</t>
        </is>
      </c>
      <c r="J11" s="4" t="inlineStr">
        <is>
          <t>Depth: Builds the org's prototyping-and-testing muscle - tooling, research-ops support, fidelity norms - so testing before building is the cheap default everywhere. Scope: product org.</t>
        </is>
      </c>
      <c r="K11" s="4" t="inlineStr">
        <is>
          <t>Depth: Represents test-before-build as company doctrine, defending the practice when executive pressure pushes for committed roadmaps without evidence. Scope: company portfolio.</t>
        </is>
      </c>
    </row>
    <row r="12">
      <c r="A12" s="4" t="inlineStr">
        <is>
          <t>Product Strategy &amp; Vision</t>
        </is>
      </c>
      <c r="B12" s="4" t="inlineStr">
        <is>
          <t>Strategy &amp; Positioning</t>
        </is>
      </c>
      <c r="C12" s="4" t="inlineStr">
        <is>
          <t>Product strategy formulation</t>
        </is>
      </c>
      <c r="D12" s="6" t="inlineStr">
        <is>
          <t>PM-04</t>
        </is>
      </c>
      <c r="E12" s="4" t="inlineStr">
        <is>
          <t>Rumelt, *Good Strategy Bad Strategy* (2011)</t>
        </is>
      </c>
      <c r="F12" s="4" t="inlineStr">
        <is>
          <t>Depth: Explains their team's strategy in their own words and connects their epic's work to it when asked. Scope: consumes strategy for one epic.</t>
        </is>
      </c>
      <c r="G12" s="4" t="inlineStr">
        <is>
          <t>Depth: Derives their area's priorities from the product strategy explicitly, writing them down as choices - what they are doing and what they are explicitly not - and flags work that doesn't serve it. Scope: a product area.</t>
        </is>
      </c>
      <c r="H12" s="4" t="inlineStr">
        <is>
          <t>Depth: Writes the strategy for their product - a diagnosis, a guiding policy, and the coherent bets - and defends the kill-list it implies in front of the stakeholders who asked. Scope: owns strategy for a product; the team quotes the strategy when declining work.</t>
        </is>
      </c>
      <c r="I12" s="4" t="inlineStr">
        <is>
          <t>Depth: Writes strategies other PMs adopt as the frame for their own areas, and reviews area strategies for incoherence between diagnosis and bets. Scope: multiple product areas.</t>
        </is>
      </c>
      <c r="J12" s="4" t="inlineStr">
        <is>
          <t>Depth: Shapes the product org's strategy - where to concentrate, what to starve - in documents leadership funds against. Scope: product organization.</t>
        </is>
      </c>
      <c r="K12" s="4" t="inlineStr">
        <is>
          <t>Depth: Co-authors company strategy from the product side, and the portfolio's shape reflects arguments they made. Scope: company portfolio.</t>
        </is>
      </c>
    </row>
    <row r="13">
      <c r="A13" s="4" t="inlineStr">
        <is>
          <t>Product Strategy &amp; Vision</t>
        </is>
      </c>
      <c r="B13" s="4" t="inlineStr">
        <is>
          <t>Strategy &amp; Positioning</t>
        </is>
      </c>
      <c r="C13" s="4" t="inlineStr">
        <is>
          <t>Positioning &amp; differentiation</t>
        </is>
      </c>
      <c r="D13" s="6" t="inlineStr">
        <is>
          <t>PM-04</t>
        </is>
      </c>
      <c r="E13" s="4" t="inlineStr">
        <is>
          <t>Dunford, *Obviously Awesome* (2019); Moore, *Crossing the Chasm* (3rd ed., 2014)</t>
        </is>
      </c>
      <c r="F13" s="4" t="inlineStr">
        <is>
          <t>Depth: States who the product is for, what it replaces, and why it wins in two sentences consistent with the team's positioning canvas. Scope: describes their feature's value accurately.</t>
        </is>
      </c>
      <c r="G13" s="4" t="inlineStr">
        <is>
          <t>Depth: Maintains the positioning for their area - target segment, competitive alternatives, differentiated value - and flags when a proposed feature blurs it. Scope: a product area's positioning artifacts.</t>
        </is>
      </c>
      <c r="H13" s="4" t="inlineStr">
        <is>
          <t>Depth: Repositions a product deliberately when the market shifts, running the analysis of alternatives and trade-offs in writing; marketing builds messaging from their positioning work. Scope: a product; sales and marketing treat their positioning doc as source of truth.</t>
        </is>
      </c>
      <c r="I13" s="4" t="inlineStr">
        <is>
          <t>Depth: Keeps positioning coherent across a product family, resolving where products in the portfolio overlap, undercut, or contradict each other in-market. Scope: multiple product areas.</t>
        </is>
      </c>
      <c r="J13" s="4" t="inlineStr">
        <is>
          <t>Depth: Sets the org's differentiation strategy - which capabilities the org will be known for and which it deliberately concedes - and holds roadmaps to it. Scope: product org.</t>
        </is>
      </c>
      <c r="K13" s="4" t="inlineStr">
        <is>
          <t>Depth: Positions the company itself - category creation or category redefinition arguments that analysts and competitors respond to. Scope: company portfolio and market narrative.</t>
        </is>
      </c>
    </row>
    <row r="14">
      <c r="A14" s="4" t="inlineStr">
        <is>
          <t>Product Strategy &amp; Vision</t>
        </is>
      </c>
      <c r="B14" s="4" t="inlineStr">
        <is>
          <t>Vision, Roadmaps &amp; Goals</t>
        </is>
      </c>
      <c r="C14" s="4" t="inlineStr">
        <is>
          <t>Product vision narrative</t>
        </is>
      </c>
      <c r="D14" s="6" t="inlineStr">
        <is>
          <t>PM-06</t>
        </is>
      </c>
      <c r="E14" s="4" t="inlineStr">
        <is>
          <t>Cagan, *Inspired* (2nd ed., 2018)</t>
        </is>
      </c>
      <c r="F14" s="4" t="inlineStr">
        <is>
          <t>Depth: Retells the product vision accurately and uses it to answer "why are we building this" for their epic. Scope: one epic.</t>
        </is>
      </c>
      <c r="G14" s="4" t="inlineStr">
        <is>
          <t>Depth: Connects their area's roadmap to the vision in planning docs, noticing when proposed work leads away from it, and aligns their team and stakeholders behind it. Scope: a product area.</t>
        </is>
      </c>
      <c r="H14" s="4" t="inlineStr">
        <is>
          <t>Depth: Writes a vision narrative (visiontype, storyboard, or press-release-style doc) that teams reference months later when making local decisions. Scope: a product's vision; engineers and designers cite it unprompted.</t>
        </is>
      </c>
      <c r="I14" s="4" t="inlineStr">
        <is>
          <t>Depth: Crafts vision artifacts that align several products toward one future, resolving contradictions between area visions before they become shipped contradictions. Scope: multiple product areas.</t>
        </is>
      </c>
      <c r="J14" s="4" t="inlineStr">
        <is>
          <t>Depth: Owns the product org's north-star narrative and refreshes it when the diagnosis changes, visibly retiring the old one. Scope: product organization.</t>
        </is>
      </c>
      <c r="K14" s="4" t="inlineStr">
        <is>
          <t>Depth: Articulates the company's product future in narratives used for recruiting, fundraising, and board alignment. Scope: company portfolio.</t>
        </is>
      </c>
    </row>
    <row r="15">
      <c r="A15" s="4" t="inlineStr">
        <is>
          <t>Product Strategy &amp; Vision</t>
        </is>
      </c>
      <c r="B15" s="4" t="inlineStr">
        <is>
          <t>Vision, Roadmaps &amp; Goals</t>
        </is>
      </c>
      <c r="C15" s="4" t="inlineStr">
        <is>
          <t>Outcome-based roadmapping</t>
        </is>
      </c>
      <c r="D15" s="6" t="inlineStr">
        <is>
          <t>PM-05</t>
        </is>
      </c>
      <c r="E15" s="4" t="inlineStr">
        <is>
          <t>Perri, *Escaping the Build Trap* (2018); Lombardo, McCarthy, Ryan &amp; Connors, *Product Roadmaps Relaunched* (2017)</t>
        </is>
      </c>
      <c r="F15" s="4" t="inlineStr">
        <is>
          <t>Depth: Keeps their epic's roadmap entry current - status, confidence, what was learned - and explains to stakeholders why items are time-horizoned rather than dated. Scope: one epic's slice of the roadmap.</t>
        </is>
      </c>
      <c r="G15" s="4" t="inlineStr">
        <is>
          <t>Depth: Builds their area's roadmap around outcomes with now/next/later horizons and explicit confidence levels, resisting stakeholder pressure to convert it into a promise list. Scope: their product area.</t>
        </is>
      </c>
      <c r="H15" s="4" t="inlineStr">
        <is>
          <t>Depth: Runs the roadmap as a strategic negotiation - trades scope against outcomes with leadership, and shows in review how roadmap changes trace to discovery evidence. Scope: their product; sales and CS plan against their roadmap without being burned.</t>
        </is>
      </c>
      <c r="I15" s="4" t="inlineStr">
        <is>
          <t>Depth: Aligns roadmaps across areas into a coherent sequence, surfacing cross-team dependencies and outcome conflicts before they collide in delivery. Scope: multiple product areas.</t>
        </is>
      </c>
      <c r="J15" s="4" t="inlineStr">
        <is>
          <t>Depth: Owns the org's roadmap process - cadence, format, confidence language - and defends outcome framing when executives ask for date certainty the evidence can't support. Scope: product org.</t>
        </is>
      </c>
      <c r="K15" s="4" t="inlineStr">
        <is>
          <t>Depth: Presents the portfolio roadmap to boards and top customers as a strategy narrative, and sets the company norm for what roadmaps do and don't commit. Scope: company portfolio.</t>
        </is>
      </c>
    </row>
    <row r="16">
      <c r="A16" s="4" t="inlineStr">
        <is>
          <t>Product Strategy &amp; Vision</t>
        </is>
      </c>
      <c r="B16" s="4" t="inlineStr">
        <is>
          <t>Vision, Roadmaps &amp; Goals</t>
        </is>
      </c>
      <c r="C16" s="4" t="inlineStr">
        <is>
          <t>Goal setting &amp; OKRs</t>
        </is>
      </c>
      <c r="D16" s="6" t="inlineStr">
        <is>
          <t>PM-06</t>
        </is>
      </c>
      <c r="E16" s="4" t="inlineStr">
        <is>
          <t>Doerr, *Measure What Matters* (2018)</t>
        </is>
      </c>
      <c r="F16" s="4" t="inlineStr">
        <is>
          <t>Depth: Writes measurable key results for their epic that describe user/business change rather than shipping ("activation +5pts" not "launch onboarding"), with review. Scope: one epic's goals.</t>
        </is>
      </c>
      <c r="G16" s="4" t="inlineStr">
        <is>
          <t>Depth: Sets their area's quarterly OKRs and grades them honestly at quarter end, separating "we shipped it" from "it worked" in the retro. Scope: their product area.</t>
        </is>
      </c>
      <c r="H16" s="4" t="inlineStr">
        <is>
          <t>Depth: Negotiates their product's goals up and down the ladder - pushes back on cascaded targets the evidence can't support, and re-scopes mid-quarter when a key result is learned to be wrong. Scope: their product; their goal reviews are where the team's real trade-offs get made.</t>
        </is>
      </c>
      <c r="I16" s="4" t="inlineStr">
        <is>
          <t>Depth: Reviews goal quality across teams, catching output-dressed-as-outcome and metrics teams can't actually influence, and coaches the rewrite. Scope: multiple product areas.</t>
        </is>
      </c>
      <c r="J16" s="4" t="inlineStr">
        <is>
          <t>Depth: Designs the org's goal architecture - how product OKRs ladder to company results without becoming a cascade of fiction - and runs the calibration where conflicts get resolved. Scope: product org.</t>
        </is>
      </c>
      <c r="K16" s="4" t="inlineStr">
        <is>
          <t>Depth: Shapes company-level objectives and the discipline around them, holding the line on measurable outcomes at the executive table. Scope: company portfolio.</t>
        </is>
      </c>
    </row>
    <row r="17">
      <c r="A17" s="4" t="inlineStr">
        <is>
          <t>Data &amp; Analytics</t>
        </is>
      </c>
      <c r="B17" s="4" t="inlineStr">
        <is>
          <t>Metrics &amp; Behavioral Analysis</t>
        </is>
      </c>
      <c r="C17" s="4" t="inlineStr">
        <is>
          <t>Success metrics &amp; KPI design</t>
        </is>
      </c>
      <c r="D17" s="6" t="inlineStr">
        <is>
          <t>PM-10</t>
        </is>
      </c>
      <c r="E17" s="4" t="inlineStr">
        <is>
          <t>Croll &amp; Yoskovitz, *Lean Analytics* (2013)</t>
        </is>
      </c>
      <c r="F17" s="4" t="inlineStr">
        <is>
          <t>Depth: Defines success and guardrail metrics for their feature before build starts and states how each will be instrumented, distinguishing a vanity count from an actionable rate with guidance. Scope: one feature's metric set.</t>
        </is>
      </c>
      <c r="G17" s="4" t="inlineStr">
        <is>
          <t>Depth: Owns their area's metrics tree - how feature metrics roll to the area's north-star input - and retires metrics that move without meaning anything. Scope: their product area's dashboard, which they built or specified.</t>
        </is>
      </c>
      <c r="H17" s="4" t="inlineStr">
        <is>
          <t>Depth: Designs the metric their product is judged by and defends its trade-offs (gameability, lag, proxy distance from value) when leadership wants a friendlier number. Scope: their product; other functions report against metrics this person defined.</t>
        </is>
      </c>
      <c r="I17" s="4" t="inlineStr">
        <is>
          <t>Depth: Reconciles metric definitions across teams so "activation" means one thing everywhere, and reviews new metrics for perverse incentives before they ship. Scope: multiple product areas.</t>
        </is>
      </c>
      <c r="J17" s="4" t="inlineStr">
        <is>
          <t>Depth: Sets the org's measurement standards - north-star framework, guardrail policy, instrumentation quality bar - and audits whether dashboards reflect reality. Scope: product org.</t>
        </is>
      </c>
      <c r="K17" s="4" t="inlineStr">
        <is>
          <t>Depth: Defines how the company measures product success at portfolio level, connecting product metrics to financial outcomes in models the CFO's team uses. Scope: company portfolio.</t>
        </is>
      </c>
    </row>
    <row r="18">
      <c r="A18" s="4" t="inlineStr">
        <is>
          <t>Data &amp; Analytics</t>
        </is>
      </c>
      <c r="B18" s="4" t="inlineStr">
        <is>
          <t>Metrics &amp; Behavioral Analysis</t>
        </is>
      </c>
      <c r="C18" s="4" t="inlineStr">
        <is>
          <t>Funnel &amp; behavioral analysis</t>
        </is>
      </c>
      <c r="D18" s="6" t="inlineStr">
        <is>
          <t>PM-10</t>
        </is>
      </c>
      <c r="E18" s="4" t="inlineStr">
        <is>
          <t>McClure, "Startup Metrics for Pirates" (AARRR, 2007); Croll &amp; Yoskovitz, *Lean Analytics* (2013)</t>
        </is>
      </c>
      <c r="F18" s="4" t="inlineStr">
        <is>
          <t>Depth: Pulls their own funnel and retention numbers using the analytics stack, and describes what the data shows without inferring cause from correlation. Scope: their feature's usage data.</t>
        </is>
      </c>
      <c r="G18" s="4" t="inlineStr">
        <is>
          <t>Depth: Runs cohort and segmentation analyses that locate where their area leaks value, and pairs the quantitative "where" with qualitative "why" before proposing fixes. Scope: a product area's behavioral picture.</t>
        </is>
      </c>
      <c r="H18" s="4" t="inlineStr">
        <is>
          <t>Depth: Catches analytical traps in their own and others' analyses - survivorship, seasonality, mix shifts, Simpson's paradox - and their read of ambiguous data settles debates. Scope: a product; teams bring them analyses for sanity-checking.</t>
        </is>
      </c>
      <c r="I18" s="4" t="inlineStr">
        <is>
          <t>Depth: Traces customer journeys across product boundaries, quantifying cross-product friction no single team's dashboard shows. Scope: multiple product areas.</t>
        </is>
      </c>
      <c r="J18" s="4" t="inlineStr">
        <is>
          <t>Depth: Sets the org's analytical standards and self-serve tooling priorities so teams answer their own questions correctly without a data-science queue. Scope: product org.</t>
        </is>
      </c>
      <c r="K18" s="4" t="inlineStr">
        <is>
          <t>Depth: Reads portfolio-level behavioral shifts early - usage patterns that presage churn, expansion, or disruption - and gets the company to act on them. Scope: company portfolio.</t>
        </is>
      </c>
    </row>
    <row r="19">
      <c r="A19" s="4" t="inlineStr">
        <is>
          <t>Data &amp; Analytics</t>
        </is>
      </c>
      <c r="B19" s="4" t="inlineStr">
        <is>
          <t>Experimentation &amp; Decision Quality</t>
        </is>
      </c>
      <c r="C19" s="4" t="inlineStr">
        <is>
          <t>A/B test design &amp; analysis</t>
        </is>
      </c>
      <c r="D19" s="6" t="inlineStr">
        <is>
          <t>PM-11</t>
        </is>
      </c>
      <c r="E19" s="4" t="inlineStr">
        <is>
          <t>Kohavi, Tang &amp; Xu, *Trustworthy Online Controlled Experiments* (2020)</t>
        </is>
      </c>
      <c r="F19" s="4" t="inlineStr">
        <is>
          <t>Depth: Writes a test plan with hypothesis, primary metric, and minimum sample worked out with an analyst, and waits for the pre-agreed end date before reading results. Scope: one feature's experiments.</t>
        </is>
      </c>
      <c r="G19" s="4" t="inlineStr">
        <is>
          <t>Depth: Designs and ships their own A/B tests correctly - power calculation, guardrail metrics, no peeking, no post-hoc metric shopping - and writes up null results as findings. Scope: their area's experiment pipeline.</t>
        </is>
      </c>
      <c r="H19" s="4" t="inlineStr">
        <is>
          <t>Depth: Catches invalid experiments before decisions get made on them - SRM, novelty effects, interaction between concurrent tests - and knows when an A/B test is the wrong instrument entirely. Scope: a product's experimentation quality; they are the reviewer of record for others' test designs.</t>
        </is>
      </c>
      <c r="I19" s="4" t="inlineStr">
        <is>
          <t>Depth: Audits experiment practice across teams, catching cherry-picked segments and re-run-until-significant patterns, and standardizes the readout format others adopt. Scope: multiple product areas.</t>
        </is>
      </c>
      <c r="J19" s="4" t="inlineStr">
        <is>
          <t>Depth: Builds the org's experimentation culture and platform requirements - institutional memory of past results, meta-analysis of what interventions work - so learning compounds. Scope: product org.</t>
        </is>
      </c>
      <c r="K19" s="4" t="inlineStr">
        <is>
          <t>Depth: Sets company policy on evidence standards for product decisions, including where experimentation is mandatory and where judgment rightly overrides it. Scope: company portfolio.</t>
        </is>
      </c>
    </row>
    <row r="20">
      <c r="A20" s="4" t="inlineStr">
        <is>
          <t>Data &amp; Analytics</t>
        </is>
      </c>
      <c r="B20" s="4" t="inlineStr">
        <is>
          <t>Experimentation &amp; Decision Quality</t>
        </is>
      </c>
      <c r="C20" s="4" t="inlineStr">
        <is>
          <t>Decision quality under uncertainty</t>
        </is>
      </c>
      <c r="D20" s="6" t="inlineStr">
        <is>
          <t>LI-04</t>
        </is>
      </c>
      <c r="E20" s="4" t="inlineStr">
        <is>
          <t>Duke, *Thinking in Bets* (2018)</t>
        </is>
      </c>
      <c r="F20" s="4" t="inlineStr">
        <is>
          <t>Depth: Writes down the options considered and the reasoning before a decision, and distinguishes a bad outcome from a bad decision in retros, with prompting. Scope: decisions within one epic.</t>
        </is>
      </c>
      <c r="G20" s="4" t="inlineStr">
        <is>
          <t>Depth: States confidence levels and reversibility when deciding - moves fast on two-way doors, slows down on one-way doors - and keeps a decision log the team consults. Scope: their product area's calls.</t>
        </is>
      </c>
      <c r="H20" s="4" t="inlineStr">
        <is>
          <t>Depth: Runs decision-making the team trusts under pressure: names the disconfirming evidence, invites the strongest counter-argument, and changes course publicly when wrong. Scope: their product; escalations come to them because their reasoning is legible, not because of their title.</t>
        </is>
      </c>
      <c r="I20" s="4" t="inlineStr">
        <is>
          <t>Depth: Reviews other PMs' consequential decisions pre-commitment, surfacing sunk-cost and confirmation patterns, and their decision-record format spreads across teams. Scope: multiple product areas.</t>
        </is>
      </c>
      <c r="J20" s="4" t="inlineStr">
        <is>
          <t>Depth: Designs the org's decision mechanisms - who decides what, at what evidence bar, with what escalation path - and runs pre-mortems on the biggest bets. Scope: product org.</t>
        </is>
      </c>
      <c r="K20" s="4" t="inlineStr">
        <is>
          <t>Depth: Is the judgment of last resort on company-level product calls, brought into ambiguous, high-stakes decisions precisely because their reasoning record is public and audited. Scope: company portfolio.</t>
        </is>
      </c>
    </row>
    <row r="21">
      <c r="A21" s="4" t="inlineStr">
        <is>
          <t>Execution &amp; Delivery</t>
        </is>
      </c>
      <c r="B21" s="4" t="inlineStr">
        <is>
          <t>Prioritization &amp; Trade-offs</t>
        </is>
      </c>
      <c r="C21" s="4" t="inlineStr">
        <is>
          <t>Prioritization &amp; sequencing</t>
        </is>
      </c>
      <c r="D21" s="6" t="inlineStr">
        <is>
          <t>PD-02</t>
        </is>
      </c>
      <c r="E21" s="4" t="inlineStr">
        <is>
          <t>Reinertsen, *The Principles of Product Development Flow* (2009)</t>
        </is>
      </c>
      <c r="F21" s="4" t="inlineStr">
        <is>
          <t>Depth: Orders their epic's backlog with stated reasoning - value, urgency, dependency - and updates the order when facts change rather than defending it. Scope: one epic's backlog.</t>
        </is>
      </c>
      <c r="G21" s="4" t="inlineStr">
        <is>
          <t>Depth: Prioritizes across their whole area using an explicit method (cost of delay, RICE, or similar) and shows the math when stakeholders challenge the order. Scope: a product area's backlog.</t>
        </is>
      </c>
      <c r="H21" s="4" t="inlineStr">
        <is>
          <t>Depth: Prioritizes across incommensurables - debt vs. features vs. compliance vs. bets - with written trade-off reasoning that stakeholders accept even when they lose. Scope: a product; their prioritization write-ups are the template others use.</t>
        </is>
      </c>
      <c r="I21" s="4" t="inlineStr">
        <is>
          <t>Depth: Sequences investment across teams, moving scope between teams when the portfolio-level ordering demands it, with the displaced team's agreement on record. Scope: multiple product areas.</t>
        </is>
      </c>
      <c r="J21" s="4" t="inlineStr">
        <is>
          <t>Depth: Shapes the org's resource allocation logic - the explicit framework by which the org funds run/grow/transform - and defends it through planning cycles. Scope: product org.</t>
        </is>
      </c>
      <c r="K21" s="4" t="inlineStr">
        <is>
          <t>Depth: Influences portfolio-level capital allocation, making the economic case for which products get funded, harvested, or killed. Scope: company portfolio.</t>
        </is>
      </c>
    </row>
    <row r="22">
      <c r="A22" s="4" t="inlineStr">
        <is>
          <t>Execution &amp; Delivery</t>
        </is>
      </c>
      <c r="B22" s="4" t="inlineStr">
        <is>
          <t>Prioritization &amp; Trade-offs</t>
        </is>
      </c>
      <c r="C22" s="4" t="inlineStr">
        <is>
          <t>Scope-cutting &amp; trade-offs</t>
        </is>
      </c>
      <c r="D22" s="6" t="inlineStr">
        <is>
          <t>PD-01</t>
        </is>
      </c>
      <c r="E22" s="4" t="inlineStr">
        <is>
          <t>Cagan, *Inspired* (2nd ed., 2018)</t>
        </is>
      </c>
      <c r="F22" s="4" t="inlineStr">
        <is>
          <t>Depth: Proposes which parts of their feature can ship later without breaking the core job, and writes the cut list with what's lost by each cut, for their lead to decide. Scope: one feature.</t>
        </is>
      </c>
      <c r="G22" s="4" t="inlineStr">
        <is>
          <t>Depth: Cuts scope decisively when timelines slip - protects the outcome-critical path, defers the rest, and tells affected stakeholders before they find out. Scope: their product area's releases.</t>
        </is>
      </c>
      <c r="H22" s="4" t="inlineStr">
        <is>
          <t>Depth: Negotiates three-way trade-offs (scope, time, quality) with engineering as a peer, distinguishing an MVP that tests the hypothesis from a demo that fakes it, and refusing quality cuts that mortgage the roadmap. Scope: their product; engineering leads seek their trade-off call rather than working around them.</t>
        </is>
      </c>
      <c r="I22" s="4" t="inlineStr">
        <is>
          <t>Depth: Untangles trade-offs that span teams - where one area's cut breaks another's launch - and sets the shared definition of "minimum" for cross-area releases. Scope: multiple product areas.</t>
        </is>
      </c>
      <c r="J22" s="4" t="inlineStr">
        <is>
          <t>Depth: Sets the org's norms for scope discipline - MVP standards, quality floors, cut-decision authority - and intervenes when a flagship effort is bloating toward a death march. Scope: product org.</t>
        </is>
      </c>
      <c r="K22" s="4" t="inlineStr">
        <is>
          <t>Depth: Makes the company-level calls on scope of ambition - when to ship the narrow wedge versus the platform play - in bets the whole portfolio sequences around. Scope: company portfolio.</t>
        </is>
      </c>
    </row>
    <row r="23">
      <c r="A23" s="4" t="inlineStr">
        <is>
          <t>Execution &amp; Delivery</t>
        </is>
      </c>
      <c r="B23" s="4" t="inlineStr">
        <is>
          <t>Building with the Team</t>
        </is>
      </c>
      <c r="C23" s="4" t="inlineStr">
        <is>
          <t>Product trio partnership</t>
        </is>
      </c>
      <c r="D23" s="6" t="inlineStr">
        <is>
          <t>CC-03</t>
        </is>
      </c>
      <c r="E23" s="4" t="inlineStr">
        <is>
          <t>Cagan, *Empowered* (2020)</t>
        </is>
      </c>
      <c r="F23" s="4" t="inlineStr">
        <is>
          <t>Depth: Brings problems and evidence to engineers and designers early - not finished specs - and incorporates their feasibility and usability pushback into the plan visibly. Scope: one feature team.</t>
        </is>
      </c>
      <c r="G23" s="4" t="inlineStr">
        <is>
          <t>Depth: Runs a working trio: engineers join discovery calls, designers see strategy context, and technical constraints reshape the product approach rather than getting escalated as blockers. Scope: their product area's team.</t>
        </is>
      </c>
      <c r="H23" s="4" t="inlineStr">
        <is>
          <t>Depth: Builds a team engineers and designers ask to join - shares full business context, defends the team's discovery time, creates the safety for the best idea to win regardless of whose it was, observably in decision records. Scope: their product; their trio is cited internally as how it should work.</t>
        </is>
      </c>
      <c r="I23" s="4" t="inlineStr">
        <is>
          <t>Depth: Repairs dysfunctional PM-engineering-design relationships on other teams, diagnosing whether the failure is context-starvation, requirement-throwing, or trust, and coaching the fix. Scope: multiple product areas.</t>
        </is>
      </c>
      <c r="J23" s="4" t="inlineStr">
        <is>
          <t>Depth: Shapes the org's team model - how trios form, what empowerment means operationally, how tech-debt time is protected - in norms engineering and design leadership co-sign. Scope: product org.</t>
        </is>
      </c>
      <c r="K23" s="4" t="inlineStr">
        <is>
          <t>Depth: Sets the company's bar for how product, engineering, and design work together, arguing the empowered-team model at the executive level when delivery pressure pushes toward feature factories. Scope: company portfolio.</t>
        </is>
      </c>
    </row>
    <row r="24">
      <c r="A24" s="4" t="inlineStr">
        <is>
          <t>Execution &amp; Delivery</t>
        </is>
      </c>
      <c r="B24" s="4" t="inlineStr">
        <is>
          <t>Building with the Team</t>
        </is>
      </c>
      <c r="C24" s="4" t="inlineStr">
        <is>
          <t>Requirements, specs &amp; acceptance criteria</t>
        </is>
      </c>
      <c r="D24" s="6" t="inlineStr">
        <is>
          <t>PM-07</t>
        </is>
      </c>
      <c r="E24" s="4" t="inlineStr">
        <is>
          <t>Bryar &amp; Carr, *Working Backwards* (2021)</t>
        </is>
      </c>
      <c r="F24" s="4" t="inlineStr">
        <is>
          <t>Depth: Writes user stories with acceptance criteria that engineers implement without re-asking the basics, and keeps the spec updated as decisions land. Scope: one epic's spec.</t>
        </is>
      </c>
      <c r="G24" s="4" t="inlineStr">
        <is>
          <t>Depth: Writes one-pagers and PRDs that lead with the customer problem and success measures, covering edge cases and non-goals; the build raises design questions, not intent questions. Scope: their area's definition docs.</t>
        </is>
      </c>
      <c r="H24" s="4" t="inlineStr">
        <is>
          <t>Depth: Writes specs that de-risk before build - working-backwards narratives whose FAQ answers the hard questions first - and their review comments on others' specs prevent rework. Scope: a product; their spec format is the team standard.</t>
        </is>
      </c>
      <c r="I24" s="4" t="inlineStr">
        <is>
          <t>Depth: Sets definition standards across teams and reviews cross-team specs for interface gaps - the places where two teams' documents silently disagree. Scope: multiple product areas.</t>
        </is>
      </c>
      <c r="J24" s="4" t="inlineStr">
        <is>
          <t>Depth: Owns the org's definition bar - what "ready to build" means org-wide - and their document reviews are the org's quality gate for major initiatives. Scope: product org.</t>
        </is>
      </c>
      <c r="K24" s="4" t="inlineStr">
        <is>
          <t>Depth: Writes the founding documents for portfolio bets - the PR/FAQ or narrative that greenlights a new product line - with a hit rate the company trusts. Scope: company portfolio.</t>
        </is>
      </c>
    </row>
    <row r="25">
      <c r="A25" s="4" t="inlineStr">
        <is>
          <t>Execution &amp; Delivery</t>
        </is>
      </c>
      <c r="B25" s="4" t="inlineStr">
        <is>
          <t>Building with the Team</t>
        </is>
      </c>
      <c r="C25" s="4" t="inlineStr">
        <is>
          <t>Backlog &amp; delivery flow</t>
        </is>
      </c>
      <c r="D25" s="6" t="inlineStr">
        <is>
          <t>PM-08</t>
        </is>
      </c>
      <c r="E25" s="4" t="inlineStr">
        <is>
          <t>Patton, *User Story Mapping* (2014); Reinertsen, *The Principles of Product Development Flow* (2009)</t>
        </is>
      </c>
      <c r="F25" s="4" t="inlineStr">
        <is>
          <t>Depth: Keeps their epic's stories small, ordered, and ready two sprints ahead, and answers "what's next and why" without opening the tool. Scope: one epic's backlog.</t>
        </is>
      </c>
      <c r="G25" s="4" t="inlineStr">
        <is>
          <t>Depth: Maintains a story map that shows the release strategy at a glance, slices releases thin, runs the team's planning rituals cleanly, and watches WIP and cycle time with the team. Scope: their area's delivery flow.</t>
        </is>
      </c>
      <c r="H25" s="4" t="inlineStr">
        <is>
          <t>Depth: Diagnoses delivery problems from flow data - batch size, queue buildup, aging WIP - and fixes the system rather than pushing the team; their story maps anchor multi-quarter plans. Scope: a product's delivery system; other PMs copy their mapping sessions.</t>
        </is>
      </c>
      <c r="I25" s="4" t="inlineStr">
        <is>
          <t>Depth: Untangles cross-team delivery dependencies - shared components, sequencing, integration risk - before they surface as slips. Scope: multiple product areas.</t>
        </is>
      </c>
      <c r="J25" s="4" t="inlineStr">
        <is>
          <t>Depth: Improves the org's end-to-end flow - the idea-to-live lead time - by changing planning and handoff mechanics, with before/after numbers. Scope: product org.</t>
        </is>
      </c>
      <c r="K25" s="4" t="inlineStr">
        <is>
          <t>Depth: Removes company-scale delivery drag - the portfolio-level process, tooling, or structure that slows every team - with executive backing they built. Scope: company portfolio.</t>
        </is>
      </c>
    </row>
    <row r="26">
      <c r="A26" s="4" t="inlineStr">
        <is>
          <t>Execution &amp; Delivery</t>
        </is>
      </c>
      <c r="B26" s="4" t="inlineStr">
        <is>
          <t>Building with the Team</t>
        </is>
      </c>
      <c r="C26" s="4" t="inlineStr">
        <is>
          <t>Technical &amp; design fluency</t>
        </is>
      </c>
      <c r="D26" s="6" t="inlineStr">
        <is>
          <t>LI-06</t>
        </is>
      </c>
      <c r="E26" s="4" t="inlineStr">
        <is>
          <t>Cagan, *Inspired* (2nd ed., 2018)</t>
        </is>
      </c>
      <c r="F26" s="4" t="inlineStr">
        <is>
          <t>Depth: Follows the team's technical discussions and asks clarifying questions that show the homework was done - understands the platform's basic architecture and can tell deliberate design from decoration. Scope: one epic's technical and design context.</t>
        </is>
      </c>
      <c r="G26" s="4" t="inlineStr">
        <is>
          <t>Depth: Understands the architecture and dependencies of their area well enough to anticipate implementation challenges - raises security, scalability, and migration questions before engineers have to, and gives design feedback designers act on. Scope: their product area's stack and surfaces.</t>
        </is>
      </c>
      <c r="H26" s="4" t="inlineStr">
        <is>
          <t>Depth: Holds their own in architecture and design trade-off discussions - understands the cost drivers and constraints of the systems their product rides on, spots when a proposed solution fights the architecture, and dogfoods builds critically. Scope: their product; engineers bring them options early because the conversation is worth it.</t>
        </is>
      </c>
      <c r="I26" s="4" t="inlineStr">
        <is>
          <t>Depth: Bridges technical constraints across teams - catches when one area's roadmap assumes capabilities another team's architecture can't deliver, and translates platform trade-offs into product terms for other PMs. Scope: multiple product areas.</t>
        </is>
      </c>
      <c r="J26" s="4" t="inlineStr">
        <is>
          <t>Depth: Keeps the org's product decisions technically honest - represents platform realities in org planning and raises other PMs' technical fluency through review and teaching. Scope: product org.</t>
        </is>
      </c>
      <c r="K26" s="4" t="inlineStr">
        <is>
          <t>Depth: Frames company-level technology inflections in product terms - platform shifts, build/buy - reliably enough that executives act on the translation, while deferring deep technical authority to engineering leaders. Scope: company portfolio.</t>
        </is>
      </c>
    </row>
    <row r="27">
      <c r="A27" s="4" t="inlineStr">
        <is>
          <t>Execution &amp; Delivery</t>
        </is>
      </c>
      <c r="B27" s="4" t="inlineStr">
        <is>
          <t>Launch &amp; Iteration</t>
        </is>
      </c>
      <c r="C27" s="4" t="inlineStr">
        <is>
          <t>Launch management &amp; readiness</t>
        </is>
      </c>
      <c r="D27" s="6" t="inlineStr">
        <is>
          <t>PM-09</t>
        </is>
      </c>
      <c r="E27" s="4" t="inlineStr">
        <is>
          <t>Cagan, *Inspired* (2nd ed., 2018)</t>
        </is>
      </c>
      <c r="F27" s="4" t="inlineStr">
        <is>
          <t>Depth: Runs the launch checklist for their feature - flags, docs, support notes, comms - and staffs the first-day triage, escalating what they can't resolve. Scope: one feature launch.</t>
        </is>
      </c>
      <c r="G27" s="4" t="inlineStr">
        <is>
          <t>Depth: Plans and runs launches for their area end-to-end: rollout stages, success/rollback criteria decided in advance, and every dependent function briefed before go-live. Scope: their product area's launches.</t>
        </is>
      </c>
      <c r="H27" s="4" t="inlineStr">
        <is>
          <t>Depth: Owns launch calls under pressure - go/no-go, ramp pace, rollback - with criteria set before emotions run, and runs the post-launch review that feeds the next iteration. Scope: their product; other teams copy their launch-readiness template.</t>
        </is>
      </c>
      <c r="I27" s="4" t="inlineStr">
        <is>
          <t>Depth: Coordinates launches that span teams and products, sequencing dependencies and owning the integrated go/no-go where no single team can. Scope: multiple product areas.</t>
        </is>
      </c>
      <c r="J27" s="4" t="inlineStr">
        <is>
          <t>Depth: Sets the org's launch discipline - readiness standards, ramp policy, review practice - and is the escalation point for the launches with company-level blast radius. Scope: product org.</t>
        </is>
      </c>
      <c r="K27" s="4" t="inlineStr">
        <is>
          <t>Depth: Owns company-defining launches - the ones with board visibility and market coverage - and sets the standard for what the company considers launch-ready. Scope: company portfolio.</t>
        </is>
      </c>
    </row>
    <row r="28">
      <c r="A28" s="4" t="inlineStr">
        <is>
          <t>Execution &amp; Delivery</t>
        </is>
      </c>
      <c r="B28" s="4" t="inlineStr">
        <is>
          <t>Launch &amp; Iteration</t>
        </is>
      </c>
      <c r="C28" s="4" t="inlineStr">
        <is>
          <t>Post-launch iteration &amp; lifecycle</t>
        </is>
      </c>
      <c r="D28" s="6" t="inlineStr">
        <is>
          <t>PM-10</t>
        </is>
      </c>
      <c r="E28" s="4" t="inlineStr">
        <is>
          <t>Olsen, *The Lean Product Playbook* (2015)</t>
        </is>
      </c>
      <c r="F28" s="4" t="inlineStr">
        <is>
          <t>Depth: Tracks their feature's post-launch metrics against the targets set pre-launch and reports the gap honestly, proposing the first follow-up fix. Scope: one feature's first iterations.</t>
        </is>
      </c>
      <c r="G28" s="4" t="inlineStr">
        <is>
          <t>Depth: Budgets iteration capacity into every launch plan and runs the loop - measure, diagnose, fix, re-measure - until the feature hits its outcome or is deliberately parked. Scope: their product area.</t>
        </is>
      </c>
      <c r="H28" s="4" t="inlineStr">
        <is>
          <t>Depth: Makes the persevere/pivot/kill call on their product's bets on the evidence rather than sunk cost, and sunsets features with a migration plan, resisting the portfolio-of-zombies default. Scope: their product; the deprecation they ran is the template others use.</t>
        </is>
      </c>
      <c r="I28" s="4" t="inlineStr">
        <is>
          <t>Depth: Audits post-launch follow-through across teams, surfacing launched-and-abandoned features and getting iteration capacity re-protected. Scope: multiple product areas.</t>
        </is>
      </c>
      <c r="J28" s="4" t="inlineStr">
        <is>
          <t>Depth: Manages lifecycle at org level - which products get investment, maintenance, or end-of-life - with criteria applied consistently enough that teams predict the outcome. Scope: product org.</t>
        </is>
      </c>
      <c r="K28" s="4" t="inlineStr">
        <is>
          <t>Depth: Makes the company's hardest lifecycle calls - killing revenue-bearing products, betting through the J-curve - with reasoning the executive team adopts. Scope: company portfolio.</t>
        </is>
      </c>
    </row>
    <row r="29">
      <c r="A29" s="4" t="inlineStr">
        <is>
          <t>Business, Market &amp; Go-to-Market</t>
        </is>
      </c>
      <c r="B29" s="4" t="inlineStr">
        <is>
          <t>Business Fluency</t>
        </is>
      </c>
      <c r="C29" s="4" t="inlineStr">
        <is>
          <t>Business model &amp; unit economics</t>
        </is>
      </c>
      <c r="D29" s="6" t="inlineStr">
        <is>
          <t>PD-07</t>
        </is>
      </c>
      <c r="E29" s="4" t="inlineStr">
        <is>
          <t>Osterwalder &amp; Pigneur, *Business Model Generation* (2010)</t>
        </is>
      </c>
      <c r="F29" s="4" t="inlineStr">
        <is>
          <t>Depth: Explains how their product makes money - who pays, for what, through which motion - and traces how their feature touches cost or revenue, with coaching. Scope: one feature's business context.</t>
        </is>
      </c>
      <c r="G29" s="4" t="inlineStr">
        <is>
          <t>Depth: Builds simple business cases for their area's bets - revenue or cost impact, rough unit economics - and sanity-checks them with finance before pitching. Scope: their product area.</t>
        </is>
      </c>
      <c r="H29" s="4" t="inlineStr">
        <is>
          <t>Depth: Owns the viability case for their product: models how bets affect margin, CAC/LTV, or retention economics, and kills their own proposals when the economics don't clear. Scope: their product; finance treats their models as credible inputs.</t>
        </is>
      </c>
      <c r="I29" s="4" t="inlineStr">
        <is>
          <t>Depth: Pressure-tests business cases across teams, catching double-counted revenue and hockey-stick assumptions before they reach leadership. Scope: multiple product areas.</t>
        </is>
      </c>
      <c r="J29" s="4" t="inlineStr">
        <is>
          <t>Depth: Connects the org's product strategy to the P&amp;L - which products drive growth versus margin - in analyses the business planning cycle runs on. Scope: product org.</t>
        </is>
      </c>
      <c r="K29" s="4" t="inlineStr">
        <is>
          <t>Depth: Shapes the company's business model evolution - monetization shifts, platform economics, new revenue lines - at the level the CFO and CEO debate. Scope: company portfolio.</t>
        </is>
      </c>
    </row>
    <row r="30">
      <c r="A30" s="4" t="inlineStr">
        <is>
          <t>Business, Market &amp; Go-to-Market</t>
        </is>
      </c>
      <c r="B30" s="4" t="inlineStr">
        <is>
          <t>Business Fluency</t>
        </is>
      </c>
      <c r="C30" s="4" t="inlineStr">
        <is>
          <t>Pricing &amp; packaging</t>
        </is>
      </c>
      <c r="D30" s="6" t="inlineStr">
        <is>
          <t>PM-12</t>
        </is>
      </c>
      <c r="E30" s="4" t="inlineStr">
        <is>
          <t>Ramanujam &amp; Tacke, *Monetizing Innovation* (2016)</t>
        </is>
      </c>
      <c r="F30" s="4" t="inlineStr">
        <is>
          <t>Depth: Knows their product's pricing and can state which plan gates their feature, and flags when a build decision would leak paid value into free. Scope: one feature's packaging context.</t>
        </is>
      </c>
      <c r="G30" s="4" t="inlineStr">
        <is>
          <t>Depth: Raises willingness-to-pay questions during discovery, bringing upgrade/downgrade and win/loss signals into roadmap discussions, and flags when a feature belongs in a different tier than assumed. Scope: their product area's packaging fit.</t>
        </is>
      </c>
      <c r="H30" s="4" t="inlineStr">
        <is>
          <t>Depth: Drives a pricing or packaging change for their product - research, value-metric modeling, migration plan - in partnership with pricing owners as a peer. Scope: a product's monetization; pricing changes in their area don't happen without them in the room.</t>
        </is>
      </c>
      <c r="I30" s="4" t="inlineStr">
        <is>
          <t>Depth: Resolves packaging conflicts between products (bundling, gating, tier coherence) so the catalog makes sense to buyers, and reviews new packaging for cannibalization. Scope: multiple product areas.</t>
        </is>
      </c>
      <c r="J30" s="4" t="inlineStr">
        <is>
          <t>Depth: Shapes the org's monetization strategy - pricing metric, tier architecture, discount posture - with research and modeling leadership funds decisions from. Scope: product org.</t>
        </is>
      </c>
      <c r="K30" s="4" t="inlineStr">
        <is>
          <t>Depth: Sets company-level pricing philosophy - how the company captures the value it creates - in frameworks that persist across individual pricing decisions. Scope: company portfolio.</t>
        </is>
      </c>
    </row>
    <row r="31">
      <c r="A31" s="4" t="inlineStr">
        <is>
          <t>Business, Market &amp; Go-to-Market</t>
        </is>
      </c>
      <c r="B31" s="4" t="inlineStr">
        <is>
          <t>Market &amp; Domain Insight</t>
        </is>
      </c>
      <c r="C31" s="4" t="inlineStr">
        <is>
          <t>Competitive &amp; market analysis</t>
        </is>
      </c>
      <c r="D31" s="6" t="inlineStr">
        <is>
          <t>PM-03</t>
        </is>
      </c>
      <c r="E31" s="4" t="inlineStr">
        <is>
          <t>Moore, *Crossing the Chasm* (3rd ed., 2014)</t>
        </is>
      </c>
      <c r="F31" s="4" t="inlineStr">
        <is>
          <t>Depth: Produces a current, accurate comparison of how named competitors solve their feature's problem, from hands-on use of the competitor products where possible. Scope: one feature's competitive slice.</t>
        </is>
      </c>
      <c r="G31" s="4" t="inlineStr">
        <is>
          <t>Depth: Maintains a living competitive view for their area - releases tracked, win/loss notes read, sales anecdotes verified against evidence - and separates competitor moves worth responding to from noise. Scope: their product area.</t>
        </is>
      </c>
      <c r="H31" s="4" t="inlineStr">
        <is>
          <t>Depth: Reads the market structurally for their product - substitutes, adjacent entrants, disruption vectors, not just feature parity - and their competitive assessments visibly shape the strategy doc. Scope: their product; sales asks them for the competitive narrative, not the reverse.</t>
        </is>
      </c>
      <c r="I31" s="4" t="inlineStr">
        <is>
          <t>Depth: Synthesizes market intelligence across areas into portfolio-level threat and opportunity calls other PMs plan against. Scope: multiple product areas.</t>
        </is>
      </c>
      <c r="J31" s="4" t="inlineStr">
        <is>
          <t>Depth: Owns the org's market thesis - where the market is going and how the org wins there - updated on evidence and defended in planning. Scope: product org.</t>
        </is>
      </c>
      <c r="K31" s="4" t="inlineStr">
        <is>
          <t>Depth: Anticipates industry shifts at company level - platform transitions, business-model disruptions - early enough for the portfolio to reposition, in analyses the board sees. Scope: company portfolio.</t>
        </is>
      </c>
    </row>
    <row r="32">
      <c r="A32" s="4" t="inlineStr">
        <is>
          <t>Business, Market &amp; Go-to-Market</t>
        </is>
      </c>
      <c r="B32" s="4" t="inlineStr">
        <is>
          <t>Market &amp; Domain Insight</t>
        </is>
      </c>
      <c r="C32" s="4" t="inlineStr">
        <is>
          <t>Domain &amp; industry fluency</t>
        </is>
      </c>
      <c r="D32" s="6" t="inlineStr">
        <is>
          <t>proposed</t>
        </is>
      </c>
      <c r="E32" s="4" t="inlineStr">
        <is>
          <t>Cagan, *Inspired* (2nd ed., 2018)</t>
        </is>
      </c>
      <c r="F32" s="4" t="inlineStr">
        <is>
          <t>Depth: Learns the domain deliberately - shadows customers, reads the industry sources, asks engineers how the system actually works - and stops needing the glossary. Scope: their epic's domain slice.</t>
        </is>
      </c>
      <c r="G32" s="4" t="inlineStr">
        <is>
          <t>Depth: Answers most domain questions in refinement without deferring, corrects domain errors in specs and designs, and understands the operational challenges of the products they run. Scope: their product area's domain.</t>
        </is>
      </c>
      <c r="H32" s="4" t="inlineStr">
        <is>
          <t>Depth: Is the recognized domain reference for their product - customers, field teams, and engineers check facts with them - and spots domain-driven risks others miss. Scope: a product's domain.</t>
        </is>
      </c>
      <c r="I32" s="4" t="inlineStr">
        <is>
          <t>Depth: Connects domain knowledge across areas, catching where one team's roadmap violates another domain's constraints (regulatory, workflow, ecosystem). Scope: multiple product areas.</t>
        </is>
      </c>
      <c r="J32" s="4" t="inlineStr">
        <is>
          <t>Depth: Represents the company's domain understanding externally - industry forums, customer advisory boards, analyst briefings. Scope: product org.</t>
        </is>
      </c>
      <c r="K32" s="4" t="inlineStr">
        <is>
          <t>Depth: Anticipates domain evolution - where the industry's workflows and rules are heading - and seeds the portfolio for it. Scope: company portfolio.</t>
        </is>
      </c>
    </row>
    <row r="33">
      <c r="A33" s="4" t="inlineStr">
        <is>
          <t>Business, Market &amp; Go-to-Market</t>
        </is>
      </c>
      <c r="B33" s="4" t="inlineStr">
        <is>
          <t>Go-to-Market Partnership</t>
        </is>
      </c>
      <c r="C33" s="4" t="inlineStr">
        <is>
          <t>GTM planning &amp; partnership</t>
        </is>
      </c>
      <c r="D33" s="6" t="inlineStr">
        <is>
          <t>PM-09</t>
        </is>
      </c>
      <c r="E33" s="4" t="inlineStr">
        <is>
          <t>Moore, *Crossing the Chasm* (3rd ed., 2014)</t>
        </is>
      </c>
      <c r="F33" s="4" t="inlineStr">
        <is>
          <t>Depth: Delivers accurate launch inputs to GTM teams - what changed, who it's for, what to say - on their timeline, using the team's launch template. Scope: their feature's GTM inputs.</t>
        </is>
      </c>
      <c r="G33" s="4" t="inlineStr">
        <is>
          <t>Depth: Runs launch readiness for their area with marketing, sales, and support - tiering the launch, agreeing the bill of materials, confirming enablement landed before GA. Scope: a product area's launches.</t>
        </is>
      </c>
      <c r="H33" s="4" t="inlineStr">
        <is>
          <t>Depth: Plans GTM as part of product strategy, not an afterthought - segment-specific whole-product gaps identified in discovery, channel fit argued in the spec; GTM partners treat them as a peer planner. Scope: a product's route to market.</t>
        </is>
      </c>
      <c r="I33" s="4" t="inlineStr">
        <is>
          <t>Depth: Aligns GTM motions across products sold together - shared plays, coherent bundles, one story to the same buyer. Scope: multiple product areas.</t>
        </is>
      </c>
      <c r="J33" s="4" t="inlineStr">
        <is>
          <t>Depth: Shapes the org's GTM model jointly with sales and marketing leadership - PLG vs. sales-led boundaries, launch tiering standards, readiness gates. Scope: product org.</t>
        </is>
      </c>
      <c r="K33" s="4" t="inlineStr">
        <is>
          <t>Depth: Architects company-level GTM shifts - new channels, new buyer motions - tied to portfolio strategy and carried through executive planning. Scope: company portfolio.</t>
        </is>
      </c>
    </row>
    <row r="34">
      <c r="A34" s="4" t="inlineStr">
        <is>
          <t>Business, Market &amp; Go-to-Market</t>
        </is>
      </c>
      <c r="B34" s="4" t="inlineStr">
        <is>
          <t>Go-to-Market Partnership</t>
        </is>
      </c>
      <c r="C34" s="4" t="inlineStr">
        <is>
          <t>Field feedback &amp; enablement</t>
        </is>
      </c>
      <c r="D34" s="6" t="inlineStr">
        <is>
          <t>PM-14</t>
        </is>
      </c>
      <c r="E34" s="4" t="inlineStr">
        <is>
          <t>Cagan, *Inspired* (2nd ed., 2018)</t>
        </is>
      </c>
      <c r="F34" s="4" t="inlineStr">
        <is>
          <t>Depth: Works support tickets and sales notes for their feature into the backlog with the underlying problem stated, not the ticket verbatim. Scope: their feature's field signal.</t>
        </is>
      </c>
      <c r="G34" s="4" t="inlineStr">
        <is>
          <t>Depth: Runs a regular loop with sales and support for their area - win/loss notes, top-ticket themes, deal-blocker reviews - and closes the loop by telling the field what shipped because of them. Scope: a product area's feedback system.</t>
        </is>
      </c>
      <c r="H34" s="4" t="inlineStr">
        <is>
          <t>Depth: Filters field pressure into strategy without being captured by it - separates the loudest deal from the pattern, says no to one-off asks in writing, and maintains reference customers who co-develop. Scope: a product's field relationship; sales leadership trusts their no.</t>
        </is>
      </c>
      <c r="I34" s="4" t="inlineStr">
        <is>
          <t>Depth: Builds shared field-signal infrastructure across teams - one win/loss taxonomy, one escalation path - so patterns spanning products become visible. Scope: multiple product areas.</t>
        </is>
      </c>
      <c r="J34" s="4" t="inlineStr">
        <is>
          <t>Depth: Designs the org's field-to-product operating loop - councils, SLAs on responses, evidence standards for deal-driven asks. Scope: product org.</t>
        </is>
      </c>
      <c r="K34" s="4" t="inlineStr">
        <is>
          <t>Depth: Keeps the company's biggest customer relationships strategically productive - executive briefing programs and co-innovation loops that inform portfolio bets without hijacking them. Scope: company portfolio.</t>
        </is>
      </c>
    </row>
    <row r="35">
      <c r="A35" s="4" t="inlineStr">
        <is>
          <t>Communication, Influence &amp; Craft Leadership</t>
        </is>
      </c>
      <c r="B35" s="4" t="inlineStr">
        <is>
          <t>Communication</t>
        </is>
      </c>
      <c r="C35" s="4" t="inlineStr">
        <is>
          <t>Product narratives &amp; written communication</t>
        </is>
      </c>
      <c r="D35" s="6" t="inlineStr">
        <is>
          <t>CC-01</t>
        </is>
      </c>
      <c r="E35" s="4" t="inlineStr">
        <is>
          <t>Bryar &amp; Carr, *Working Backwards* (2021)</t>
        </is>
      </c>
      <c r="F35" s="4" t="inlineStr">
        <is>
          <t>Depth: Writes clear, structured updates and one-pagers - one idea per paragraph, conclusion visible early - that readers act on without a follow-up meeting. Scope: their epic's documents.</t>
        </is>
      </c>
      <c r="G35" s="4" t="inlineStr">
        <is>
          <t>Depth: Writes narratives that carry decisions - the six-pager or one-pager that a review reads silently and then debates on substance, not on what the author meant. Scope: their area's decision documents.</t>
        </is>
      </c>
      <c r="H35" s="4" t="inlineStr">
        <is>
          <t>Depth: Writes documents that move people who weren't in the room - strategy narratives forwarded beyond their audience, quoted in others' plans; their edits make colleagues' drafts decision-ready. Scope: a product; their documents are the team's writing exemplars.</t>
        </is>
      </c>
      <c r="I35" s="4" t="inlineStr">
        <is>
          <t>Depth: Raises writing quality across teams through review - narrative standards, document templates, and edit passes that measurably shorten decision cycles. Scope: multiple product areas.</t>
        </is>
      </c>
      <c r="J35" s="4" t="inlineStr">
        <is>
          <t>Depth: Authors the org's canonical documents - the strategy, the operating doc, the annual narrative - that stay accurate enough to be load-bearing. Scope: product org.</t>
        </is>
      </c>
      <c r="K35" s="4" t="inlineStr">
        <is>
          <t>Depth: Writes artifacts with company-level and external reach - vision papers, keynote narratives, published essays - that shape how the market and the company describe the strategy. Scope: company portfolio and industry.</t>
        </is>
      </c>
    </row>
    <row r="36">
      <c r="A36" s="4" t="inlineStr">
        <is>
          <t>Communication, Influence &amp; Craft Leadership</t>
        </is>
      </c>
      <c r="B36" s="4" t="inlineStr">
        <is>
          <t>Communication</t>
        </is>
      </c>
      <c r="C36" s="4" t="inlineStr">
        <is>
          <t>Executive communication</t>
        </is>
      </c>
      <c r="D36" s="6" t="inlineStr">
        <is>
          <t>CC-06</t>
        </is>
      </c>
      <c r="E36" s="4" t="inlineStr">
        <is>
          <t>Minto, *The Pyramid Principle* (1987)</t>
        </is>
      </c>
      <c r="F36" s="4" t="inlineStr">
        <is>
          <t>Depth: Presents their epic's status in three sentences - situation, risk, ask - and answers executive follow-ups with data or an honest "I'll find out" rather than improvising. Scope: their epic in team-level reviews.</t>
        </is>
      </c>
      <c r="G36" s="4" t="inlineStr">
        <is>
          <t>Depth: Runs their own slot in leadership reviews: leads with the decision needed, anticipates the two hardest questions, and follows up in writing on every commitment made. Scope: their product area's reviews.</t>
        </is>
      </c>
      <c r="H36" s="4" t="inlineStr">
        <is>
          <t>Depth: Handles hostile or high-pressure executive sessions without ceding the evidence - corrects a senior leader's wrong premise respectfully in the room, and converts vague executive direction into concrete, confirmable decisions. Scope: their product; leadership asks for them by name when their area is on the agenda.</t>
        </is>
      </c>
      <c r="I36" s="4" t="inlineStr">
        <is>
          <t>Depth: Preps other PMs for executive moments - reviews their materials, red-teams the questions - and represents multi-team positions where no single PM has the full picture. Scope: multiple product areas.</t>
        </is>
      </c>
      <c r="J36" s="4" t="inlineStr">
        <is>
          <t>Depth: Operates as a standing counterpart to the executive team, shaping how product information reaches them and pushing decision authority back down when executives grab it. Scope: product org.</t>
        </is>
      </c>
      <c r="K36" s="4" t="inlineStr">
        <is>
          <t>Depth: Communicates for the company - board sessions, analyst briefings, keynote narratives - with the credibility that the message and the product reality match. Scope: company portfolio.</t>
        </is>
      </c>
    </row>
    <row r="37">
      <c r="A37" s="4" t="inlineStr">
        <is>
          <t>Communication, Influence &amp; Craft Leadership</t>
        </is>
      </c>
      <c r="B37" s="4" t="inlineStr">
        <is>
          <t>Stakeholder Influence</t>
        </is>
      </c>
      <c r="C37" s="4" t="inlineStr">
        <is>
          <t>Stakeholder alignment &amp; expectations</t>
        </is>
      </c>
      <c r="D37" s="6" t="inlineStr">
        <is>
          <t>PM-13</t>
        </is>
      </c>
      <c r="E37" s="4" t="inlineStr">
        <is>
          <t>Cagan, *Empowered* (2020)</t>
        </is>
      </c>
      <c r="F37" s="4" t="inlineStr">
        <is>
          <t>Depth: Keeps their stakeholders current without being chased - status, risks, and changes communicated before anyone has to ask. Scope: their epic's stakeholders.</t>
        </is>
      </c>
      <c r="G37" s="4" t="inlineStr">
        <is>
          <t>Depth: Maps their area's stakeholders and pre-wires decisions - the meeting confirms alignment built one-on-one beforehand; surprises are rare and owned fast. Scope: a product area's stakeholder set.</t>
        </is>
      </c>
      <c r="H37" s="4" t="inlineStr">
        <is>
          <t>Depth: Aligns stakeholders with conflicting interests around decisions that hold - disagreements surfaced early, trade-offs written down, and re-litigation declined by pointing at the record. Scope: a product; executives name them as the PM whose commitments they trust.</t>
        </is>
      </c>
      <c r="I37" s="4" t="inlineStr">
        <is>
          <t>Depth: Brokers alignment across organizational seams - between product areas, or between product and adjacent functions - where no one owns the whole decision. Scope: multiple product areas.</t>
        </is>
      </c>
      <c r="J37" s="4" t="inlineStr">
        <is>
          <t>Depth: Maintains durable trust with the executive stakeholder set - the standing credibility that lets the org make bold moves without escalation storms. Scope: product org.</t>
        </is>
      </c>
      <c r="K37" s="4" t="inlineStr">
        <is>
          <t>Depth: Aligns board-level and cross-company stakeholders on portfolio direction, absorbing and resolving the conflicts that would otherwise fragment strategy. Scope: company portfolio.</t>
        </is>
      </c>
    </row>
    <row r="38">
      <c r="A38" s="4" t="inlineStr">
        <is>
          <t>Communication, Influence &amp; Craft Leadership</t>
        </is>
      </c>
      <c r="B38" s="4" t="inlineStr">
        <is>
          <t>Stakeholder Influence</t>
        </is>
      </c>
      <c r="C38" s="4" t="inlineStr">
        <is>
          <t>Saying no &amp; negotiation</t>
        </is>
      </c>
      <c r="D38" s="6" t="inlineStr">
        <is>
          <t>CC-05</t>
        </is>
      </c>
      <c r="E38" s="4" t="inlineStr">
        <is>
          <t>Perri, *Escaping the Build Trap* (2018)</t>
        </is>
      </c>
      <c r="F38" s="4" t="inlineStr">
        <is>
          <t>Depth: Routes new requests through the team's intake instead of quietly absorbing them, and tells requesters what happens next. Scope: one epic's intake.</t>
        </is>
      </c>
      <c r="G38" s="4" t="inlineStr">
        <is>
          <t>Depth: Declines requests with the reasoning attached - what it competes with, what evidence would reopen it - so a "no" informs rather than deflects. Scope: a product area.</t>
        </is>
      </c>
      <c r="H38" s="4" t="inlineStr">
        <is>
          <t>Depth: Says no to powerful people and keeps the relationship - the exec whose pet feature was declined still sponsors the product - because the strategy behind the no is visible and consistent. Scope: a product's demand boundary.</t>
        </is>
      </c>
      <c r="I38" s="4" t="inlineStr">
        <is>
          <t>Depth: Backs other PMs' hard nos - reinforcing the strategic rationale when a declined stakeholder shops the request elsewhere - and negotiates cross-team conflicts to a resolution both sides execute. Scope: multiple product areas.</t>
        </is>
      </c>
      <c r="J38" s="4" t="inlineStr">
        <is>
          <t>Depth: Sets the org's intake and escalation norms so nos are consistent and appealable through one path, and the org visibly does fewer, bigger things. Scope: product org.</t>
        </is>
      </c>
      <c r="K38" s="4" t="inlineStr">
        <is>
          <t>Depth: Declines whole categories of opportunity at company level - the market not entered - with reasoning the company can repeat. Scope: company portfolio.</t>
        </is>
      </c>
    </row>
    <row r="39">
      <c r="A39" s="4" t="inlineStr">
        <is>
          <t>Communication, Influence &amp; Craft Leadership</t>
        </is>
      </c>
      <c r="B39" s="4" t="inlineStr">
        <is>
          <t>Product Craft Leadership</t>
        </is>
      </c>
      <c r="C39" s="4" t="inlineStr">
        <is>
          <t>Mentoring &amp; coaching PMs</t>
        </is>
      </c>
      <c r="D39" s="6" t="inlineStr">
        <is>
          <t>LI-01</t>
        </is>
      </c>
      <c r="E39" s="4" t="inlineStr">
        <is>
          <t>Cagan, *Empowered* (2020)</t>
        </is>
      </c>
      <c r="F39" s="4" t="inlineStr">
        <is>
          <t>Depth: Seeks feedback concretely and applies it visibly - asks "what would you have done differently," and the next artifact shows the change; helps onboard newer peers with honest "what I wish I'd known" context. Scope: their own growth plus one peer at a time.</t>
        </is>
      </c>
      <c r="G39" s="4" t="inlineStr">
        <is>
          <t>Depth: Mentors an APM or new PM on real work - reviews their docs before meetings, debriefs their calls - improving the mentee's output measurably without doing it for them. Scope: one or two mentees in their orbit.</t>
        </is>
      </c>
      <c r="H39" s="4" t="inlineStr">
        <is>
          <t>Depth: Develops the PMs around them as a working habit - structured feedback on strategy docs, shared interview reps, honest gap conversations - and mentees can name specific skills they got from this person. Scope: PMs on and adjacent to their product; a recognized mentor without any reporting line.</t>
        </is>
      </c>
      <c r="I39" s="4" t="inlineStr">
        <is>
          <t>Depth: Runs deliberate craft development across teams - coaching plans, skill assessments, PM community sessions - and managers route struggling PMs to them for craft coaching. Scope: multiple product areas' PM population.</t>
        </is>
      </c>
      <c r="J39" s="4" t="inlineStr">
        <is>
          <t>Depth: Builds the org's PM development system - competency expectations, onboarding curriculum, senior-PM readiness bar - and personally develops the next generation of craft leaders. Scope: product org.</t>
        </is>
      </c>
      <c r="K39" s="4" t="inlineStr">
        <is>
          <t>Depth: Develops product leaders the industry recognizes, and their coaching frameworks outlive their tenure - used by people they never met. Scope: company portfolio and the external craft community.</t>
        </is>
      </c>
    </row>
    <row r="40">
      <c r="A40" s="4" t="inlineStr">
        <is>
          <t>Communication, Influence &amp; Craft Leadership</t>
        </is>
      </c>
      <c r="B40" s="4" t="inlineStr">
        <is>
          <t>Product Craft Leadership</t>
        </is>
      </c>
      <c r="C40" s="4" t="inlineStr">
        <is>
          <t>Raising the craft bar</t>
        </is>
      </c>
      <c r="D40" s="6" t="inlineStr">
        <is>
          <t>LI-03</t>
        </is>
      </c>
      <c r="E40" s="4" t="inlineStr">
        <is>
          <t>Cagan, *Empowered* (2020); Larson, *Staff Engineer* (2021)</t>
        </is>
      </c>
      <c r="F40" s="4" t="inlineStr">
        <is>
          <t>Depth: Adopts the team's craft standards fast and flags gaps in them - the missing checklist item, the template that confuses - instead of working around them silently. Scope: their own work meets the bar.</t>
        </is>
      </c>
      <c r="G40" s="4" t="inlineStr">
        <is>
          <t>Depth: Contributes reusable craft artifacts - a better interview guide, a sharper spec template - that at least one other PM adopts unprompted. Scope: their team's practice.</t>
        </is>
      </c>
      <c r="H40" s="4" t="inlineStr">
        <is>
          <t>Depth: Sets the local bar by example and review - their discovery notes, specs, and analyses are the ones held up as "this is what good looks like," and their reviews pull others up to it. Scope: a product; the terminal-level craftsperson others calibrate against.</t>
        </is>
      </c>
      <c r="I40" s="4" t="inlineStr">
        <is>
          <t>Depth: Exports practice deliberately across teams - running craft reviews, writing playbooks, and getting discovery or writing standards adopted by teams that don't report anywhere near them. Scope: multiple product areas.</t>
        </is>
      </c>
      <c r="J40" s="4" t="inlineStr">
        <is>
          <t>Depth: Owns the org's product craft agenda - decides which practices to standardize vs. leave local, retires cargo-cult process, and measures whether the bar actually moved. Scope: product org.</t>
        </is>
      </c>
      <c r="K40" s="4" t="inlineStr">
        <is>
          <t>Depth: Defines product craft beyond the company - published methods, talks, and internal canon that other companies borrow; the company's product reputation is partly their work. Scope: company portfolio and industry.</t>
        </is>
      </c>
    </row>
    <row r="41">
      <c r="A41" s="4" t="inlineStr">
        <is>
          <t>Communication, Influence &amp; Craft Leadership</t>
        </is>
      </c>
      <c r="B41" s="4" t="inlineStr">
        <is>
          <t>Product Craft Leadership</t>
        </is>
      </c>
      <c r="C41" s="4" t="inlineStr">
        <is>
          <t>Hiring &amp; interviewing PMs</t>
        </is>
      </c>
      <c r="D41" s="6" t="inlineStr">
        <is>
          <t>LI-02</t>
        </is>
      </c>
      <c r="E41" s="4" t="inlineStr">
        <is>
          <t>Cagan, *Empowered* (2020)</t>
        </is>
      </c>
      <c r="F41" s="4" t="inlineStr">
        <is>
          <t>Depth: Interviews candidates for intern and APM roles with a prepared rubric and writes evidence-based feedback that separates observation from verdict. Scope: interview loops they join.</t>
        </is>
      </c>
      <c r="G41" s="4" t="inlineStr">
        <is>
          <t>Depth: Runs strong interviews for PM roles - probes for craft with real-work questions, calibrates scores against the rubric - and their written feedback is specific enough to be decisive in debriefs. Scope: their area's hiring loops.</t>
        </is>
      </c>
      <c r="H41" s="4" t="inlineStr">
        <is>
          <t>Depth: Anchors PM hiring loops - designs interview questions that expose craft rather than polish, spots coached answers, and their hire/no-hire calls hold up over time. Scope: their product's hiring; hiring managers ask for them on close calls.</t>
        </is>
      </c>
      <c r="I41" s="4" t="inlineStr">
        <is>
          <t>Depth: Calibrates the PM interview bar across teams - trains interviewers, audits question quality, and reworks loops that pass confident performers and fail quiet builders. Scope: multiple product areas' hiring.</t>
        </is>
      </c>
      <c r="J41" s="4" t="inlineStr">
        <is>
          <t>Depth: Designs the org's PM hiring system - competency-based loops, debrief norms, onboarding handoff - and the org's hiring quality is visibly their work. Scope: product org.</t>
        </is>
      </c>
      <c r="K41" s="4" t="inlineStr">
        <is>
          <t>Depth: Sets the company's bar for product talent - the hiring philosophy and craft standards that shape who the company hires and attracts, cited by candidates as why they joined. Scope: company portfolio.</t>
        </is>
      </c>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43"/>
  <sheetViews>
    <sheetView workbookViewId="0">
      <pane ySplit="3" topLeftCell="A4" activePane="bottomLeft" state="frozen"/>
      <selection pane="bottomLeft" activeCell="A1" sqref="A1"/>
    </sheetView>
  </sheetViews>
  <sheetFormatPr baseColWidth="8" defaultRowHeight="15"/>
  <cols>
    <col width="26" customWidth="1" min="1" max="1"/>
    <col width="34" customWidth="1" min="2" max="2"/>
    <col width="9" customWidth="1" min="3" max="3"/>
    <col width="7" customWidth="1" min="4" max="4"/>
    <col width="7" customWidth="1" min="5" max="5"/>
    <col width="9" customWidth="1" min="6" max="6"/>
    <col width="7" customWidth="1" min="7" max="7"/>
    <col width="7" customWidth="1" min="8" max="8"/>
    <col hidden="1" width="13" customWidth="1" min="10" max="10"/>
    <col hidden="1" width="13" customWidth="1" min="11" max="11"/>
    <col hidden="1" width="13" customWidth="1" min="12" max="12"/>
    <col hidden="1" width="13" customWidth="1" min="13" max="13"/>
    <col hidden="1" width="13" customWidth="1" min="14" max="14"/>
    <col hidden="1" width="13" customWidth="1" min="15" max="15"/>
  </cols>
  <sheetData>
    <row r="1">
      <c r="A1" s="1" t="inlineStr">
        <is>
          <t>Target level</t>
        </is>
      </c>
      <c r="B1" s="7" t="inlineStr">
        <is>
          <t>P3</t>
        </is>
      </c>
      <c r="D1" s="2" t="inlineStr">
        <is>
          <t>Enter one of: P1, P2, P3, P4, P5, P6. Blue cells are inputs (1-6, the P number).</t>
        </is>
      </c>
    </row>
    <row r="3">
      <c r="A3" s="1" t="inlineStr">
        <is>
          <t>Key Area</t>
        </is>
      </c>
      <c r="B3" s="1" t="inlineStr">
        <is>
          <t>Competency</t>
        </is>
      </c>
      <c r="C3" s="1" t="inlineStr">
        <is>
          <t>Target P</t>
        </is>
      </c>
      <c r="D3" s="1" t="inlineStr">
        <is>
          <t>Self</t>
        </is>
      </c>
      <c r="E3" s="1" t="inlineStr">
        <is>
          <t>Peer</t>
        </is>
      </c>
      <c r="F3" s="1" t="inlineStr">
        <is>
          <t>Manager</t>
        </is>
      </c>
      <c r="G3" s="1" t="inlineStr">
        <is>
          <t>Avg</t>
        </is>
      </c>
      <c r="H3" s="1" t="inlineStr">
        <is>
          <t>Gap</t>
        </is>
      </c>
      <c r="J3" s="1" t="inlineStr">
        <is>
          <t>P1</t>
        </is>
      </c>
      <c r="K3" s="1" t="inlineStr">
        <is>
          <t>P2</t>
        </is>
      </c>
      <c r="L3" s="1" t="inlineStr">
        <is>
          <t>P3</t>
        </is>
      </c>
      <c r="M3" s="1" t="inlineStr">
        <is>
          <t>P4</t>
        </is>
      </c>
      <c r="N3" s="1" t="inlineStr">
        <is>
          <t>P5</t>
        </is>
      </c>
      <c r="O3" s="1" t="inlineStr">
        <is>
          <t>P6</t>
        </is>
      </c>
    </row>
    <row r="4">
      <c r="A4" s="2" t="inlineStr">
        <is>
          <t>Product Discovery &amp; User Research</t>
        </is>
      </c>
      <c r="B4" s="2" t="inlineStr">
        <is>
          <t>Customer interviewing</t>
        </is>
      </c>
      <c r="C4" s="2">
        <f>IFERROR(INDEX(J4:O4,MATCH($B$1,$J$3:$O$3,0)),"")</f>
        <v/>
      </c>
      <c r="D4" s="7" t="n"/>
      <c r="E4" s="7" t="n"/>
      <c r="F4" s="7" t="n"/>
      <c r="G4" s="2">
        <f>IFERROR(AVERAGE(D4:F4),"")</f>
        <v/>
      </c>
      <c r="H4" s="2">
        <f>IFERROR(G4-C4,"")</f>
        <v/>
      </c>
      <c r="J4" s="2" t="n">
        <v>1</v>
      </c>
      <c r="K4" s="2" t="n">
        <v>2</v>
      </c>
      <c r="L4" s="2" t="n">
        <v>3</v>
      </c>
      <c r="M4" s="2" t="n">
        <v>4</v>
      </c>
      <c r="N4" s="2" t="n">
        <v>5</v>
      </c>
      <c r="O4" s="2" t="n">
        <v>6</v>
      </c>
    </row>
    <row r="5">
      <c r="A5" s="2" t="inlineStr">
        <is>
          <t>Product Discovery &amp; User Research</t>
        </is>
      </c>
      <c r="B5" s="2" t="inlineStr">
        <is>
          <t>Discovery cadence &amp; habits</t>
        </is>
      </c>
      <c r="C5" s="2">
        <f>IFERROR(INDEX(J5:O5,MATCH($B$1,$J$3:$O$3,0)),"")</f>
        <v/>
      </c>
      <c r="D5" s="7" t="n"/>
      <c r="E5" s="7" t="n"/>
      <c r="F5" s="7" t="n"/>
      <c r="G5" s="2">
        <f>IFERROR(AVERAGE(D5:F5),"")</f>
        <v/>
      </c>
      <c r="H5" s="2">
        <f>IFERROR(G5-C5,"")</f>
        <v/>
      </c>
      <c r="J5" s="2" t="n">
        <v>1</v>
      </c>
      <c r="K5" s="2" t="n">
        <v>2</v>
      </c>
      <c r="L5" s="2" t="n">
        <v>3</v>
      </c>
      <c r="M5" s="2" t="n">
        <v>4</v>
      </c>
      <c r="N5" s="2" t="n">
        <v>5</v>
      </c>
      <c r="O5" s="2" t="n">
        <v>6</v>
      </c>
    </row>
    <row r="6">
      <c r="A6" s="2" t="inlineStr">
        <is>
          <t>Product Discovery &amp; User Research</t>
        </is>
      </c>
      <c r="B6" s="2" t="inlineStr">
        <is>
          <t>Opportunity mapping</t>
        </is>
      </c>
      <c r="C6" s="2">
        <f>IFERROR(INDEX(J6:O6,MATCH($B$1,$J$3:$O$3,0)),"")</f>
        <v/>
      </c>
      <c r="D6" s="7" t="n"/>
      <c r="E6" s="7" t="n"/>
      <c r="F6" s="7" t="n"/>
      <c r="G6" s="2">
        <f>IFERROR(AVERAGE(D6:F6),"")</f>
        <v/>
      </c>
      <c r="H6" s="2">
        <f>IFERROR(G6-C6,"")</f>
        <v/>
      </c>
      <c r="J6" s="2" t="n">
        <v>1</v>
      </c>
      <c r="K6" s="2" t="n">
        <v>2</v>
      </c>
      <c r="L6" s="2" t="n">
        <v>3</v>
      </c>
      <c r="M6" s="2" t="n">
        <v>4</v>
      </c>
      <c r="N6" s="2" t="n">
        <v>5</v>
      </c>
      <c r="O6" s="2" t="n">
        <v>6</v>
      </c>
    </row>
    <row r="7">
      <c r="A7" s="2" t="inlineStr">
        <is>
          <t>Product Discovery &amp; User Research</t>
        </is>
      </c>
      <c r="B7" s="2" t="inlineStr">
        <is>
          <t>Research synthesis &amp; insight</t>
        </is>
      </c>
      <c r="C7" s="2">
        <f>IFERROR(INDEX(J7:O7,MATCH($B$1,$J$3:$O$3,0)),"")</f>
        <v/>
      </c>
      <c r="D7" s="7" t="n"/>
      <c r="E7" s="7" t="n"/>
      <c r="F7" s="7" t="n"/>
      <c r="G7" s="2">
        <f>IFERROR(AVERAGE(D7:F7),"")</f>
        <v/>
      </c>
      <c r="H7" s="2">
        <f>IFERROR(G7-C7,"")</f>
        <v/>
      </c>
      <c r="J7" s="2" t="n">
        <v>1</v>
      </c>
      <c r="K7" s="2" t="n">
        <v>2</v>
      </c>
      <c r="L7" s="2" t="n">
        <v>3</v>
      </c>
      <c r="M7" s="2" t="n">
        <v>4</v>
      </c>
      <c r="N7" s="2" t="n">
        <v>5</v>
      </c>
      <c r="O7" s="2" t="n">
        <v>6</v>
      </c>
    </row>
    <row r="8">
      <c r="A8" s="2" t="inlineStr">
        <is>
          <t>Product Discovery &amp; User Research</t>
        </is>
      </c>
      <c r="B8" s="2" t="inlineStr">
        <is>
          <t>Customer segmentation &amp; personas</t>
        </is>
      </c>
      <c r="C8" s="2">
        <f>IFERROR(INDEX(J8:O8,MATCH($B$1,$J$3:$O$3,0)),"")</f>
        <v/>
      </c>
      <c r="D8" s="7" t="n"/>
      <c r="E8" s="7" t="n"/>
      <c r="F8" s="7" t="n"/>
      <c r="G8" s="2">
        <f>IFERROR(AVERAGE(D8:F8),"")</f>
        <v/>
      </c>
      <c r="H8" s="2">
        <f>IFERROR(G8-C8,"")</f>
        <v/>
      </c>
      <c r="J8" s="2" t="n">
        <v>1</v>
      </c>
      <c r="K8" s="2" t="n">
        <v>2</v>
      </c>
      <c r="L8" s="2" t="n">
        <v>3</v>
      </c>
      <c r="M8" s="2" t="n">
        <v>4</v>
      </c>
      <c r="N8" s="2" t="n">
        <v>5</v>
      </c>
      <c r="O8" s="2" t="n">
        <v>6</v>
      </c>
    </row>
    <row r="9">
      <c r="A9" s="2" t="inlineStr">
        <is>
          <t>Problem Definition &amp; Validation</t>
        </is>
      </c>
      <c r="B9" s="2" t="inlineStr">
        <is>
          <t>Problem statements &amp; outcome framing</t>
        </is>
      </c>
      <c r="C9" s="2">
        <f>IFERROR(INDEX(J9:O9,MATCH($B$1,$J$3:$O$3,0)),"")</f>
        <v/>
      </c>
      <c r="D9" s="7" t="n"/>
      <c r="E9" s="7" t="n"/>
      <c r="F9" s="7" t="n"/>
      <c r="G9" s="2">
        <f>IFERROR(AVERAGE(D9:F9),"")</f>
        <v/>
      </c>
      <c r="H9" s="2">
        <f>IFERROR(G9-C9,"")</f>
        <v/>
      </c>
      <c r="J9" s="2" t="n">
        <v>1</v>
      </c>
      <c r="K9" s="2" t="n">
        <v>2</v>
      </c>
      <c r="L9" s="2" t="n">
        <v>3</v>
      </c>
      <c r="M9" s="2" t="n">
        <v>4</v>
      </c>
      <c r="N9" s="2" t="n">
        <v>5</v>
      </c>
      <c r="O9" s="2" t="n">
        <v>6</v>
      </c>
    </row>
    <row r="10">
      <c r="A10" s="2" t="inlineStr">
        <is>
          <t>Problem Definition &amp; Validation</t>
        </is>
      </c>
      <c r="B10" s="2" t="inlineStr">
        <is>
          <t>Jobs-to-be-done framing</t>
        </is>
      </c>
      <c r="C10" s="2">
        <f>IFERROR(INDEX(J10:O10,MATCH($B$1,$J$3:$O$3,0)),"")</f>
        <v/>
      </c>
      <c r="D10" s="7" t="n"/>
      <c r="E10" s="7" t="n"/>
      <c r="F10" s="7" t="n"/>
      <c r="G10" s="2">
        <f>IFERROR(AVERAGE(D10:F10),"")</f>
        <v/>
      </c>
      <c r="H10" s="2">
        <f>IFERROR(G10-C10,"")</f>
        <v/>
      </c>
      <c r="J10" s="2" t="n">
        <v>1</v>
      </c>
      <c r="K10" s="2" t="n">
        <v>2</v>
      </c>
      <c r="L10" s="2" t="n">
        <v>3</v>
      </c>
      <c r="M10" s="2" t="n">
        <v>4</v>
      </c>
      <c r="N10" s="2" t="n">
        <v>5</v>
      </c>
      <c r="O10" s="2" t="n">
        <v>6</v>
      </c>
    </row>
    <row r="11">
      <c r="A11" s="2" t="inlineStr">
        <is>
          <t>Problem Definition &amp; Validation</t>
        </is>
      </c>
      <c r="B11" s="2" t="inlineStr">
        <is>
          <t>Assumption mapping &amp; risk framing</t>
        </is>
      </c>
      <c r="C11" s="2">
        <f>IFERROR(INDEX(J11:O11,MATCH($B$1,$J$3:$O$3,0)),"")</f>
        <v/>
      </c>
      <c r="D11" s="7" t="n"/>
      <c r="E11" s="7" t="n"/>
      <c r="F11" s="7" t="n"/>
      <c r="G11" s="2">
        <f>IFERROR(AVERAGE(D11:F11),"")</f>
        <v/>
      </c>
      <c r="H11" s="2">
        <f>IFERROR(G11-C11,"")</f>
        <v/>
      </c>
      <c r="J11" s="2" t="n">
        <v>1</v>
      </c>
      <c r="K11" s="2" t="n">
        <v>2</v>
      </c>
      <c r="L11" s="2" t="n">
        <v>3</v>
      </c>
      <c r="M11" s="2" t="n">
        <v>4</v>
      </c>
      <c r="N11" s="2" t="n">
        <v>5</v>
      </c>
      <c r="O11" s="2" t="n">
        <v>6</v>
      </c>
    </row>
    <row r="12">
      <c r="A12" s="2" t="inlineStr">
        <is>
          <t>Problem Definition &amp; Validation</t>
        </is>
      </c>
      <c r="B12" s="2" t="inlineStr">
        <is>
          <t>Assumption testing &amp; experiments</t>
        </is>
      </c>
      <c r="C12" s="2">
        <f>IFERROR(INDEX(J12:O12,MATCH($B$1,$J$3:$O$3,0)),"")</f>
        <v/>
      </c>
      <c r="D12" s="7" t="n"/>
      <c r="E12" s="7" t="n"/>
      <c r="F12" s="7" t="n"/>
      <c r="G12" s="2">
        <f>IFERROR(AVERAGE(D12:F12),"")</f>
        <v/>
      </c>
      <c r="H12" s="2">
        <f>IFERROR(G12-C12,"")</f>
        <v/>
      </c>
      <c r="J12" s="2" t="n">
        <v>1</v>
      </c>
      <c r="K12" s="2" t="n">
        <v>2</v>
      </c>
      <c r="L12" s="2" t="n">
        <v>3</v>
      </c>
      <c r="M12" s="2" t="n">
        <v>4</v>
      </c>
      <c r="N12" s="2" t="n">
        <v>5</v>
      </c>
      <c r="O12" s="2" t="n">
        <v>6</v>
      </c>
    </row>
    <row r="13">
      <c r="A13" s="2" t="inlineStr">
        <is>
          <t>Problem Definition &amp; Validation</t>
        </is>
      </c>
      <c r="B13" s="2" t="inlineStr">
        <is>
          <t>Prototype &amp; solution testing</t>
        </is>
      </c>
      <c r="C13" s="2">
        <f>IFERROR(INDEX(J13:O13,MATCH($B$1,$J$3:$O$3,0)),"")</f>
        <v/>
      </c>
      <c r="D13" s="7" t="n"/>
      <c r="E13" s="7" t="n"/>
      <c r="F13" s="7" t="n"/>
      <c r="G13" s="2">
        <f>IFERROR(AVERAGE(D13:F13),"")</f>
        <v/>
      </c>
      <c r="H13" s="2">
        <f>IFERROR(G13-C13,"")</f>
        <v/>
      </c>
      <c r="J13" s="2" t="n">
        <v>1</v>
      </c>
      <c r="K13" s="2" t="n">
        <v>2</v>
      </c>
      <c r="L13" s="2" t="n">
        <v>3</v>
      </c>
      <c r="M13" s="2" t="n">
        <v>4</v>
      </c>
      <c r="N13" s="2" t="n">
        <v>5</v>
      </c>
      <c r="O13" s="2" t="n">
        <v>6</v>
      </c>
    </row>
    <row r="14">
      <c r="A14" s="2" t="inlineStr">
        <is>
          <t>Product Strategy &amp; Vision</t>
        </is>
      </c>
      <c r="B14" s="2" t="inlineStr">
        <is>
          <t>Product strategy formulation</t>
        </is>
      </c>
      <c r="C14" s="2">
        <f>IFERROR(INDEX(J14:O14,MATCH($B$1,$J$3:$O$3,0)),"")</f>
        <v/>
      </c>
      <c r="D14" s="7" t="n"/>
      <c r="E14" s="7" t="n"/>
      <c r="F14" s="7" t="n"/>
      <c r="G14" s="2">
        <f>IFERROR(AVERAGE(D14:F14),"")</f>
        <v/>
      </c>
      <c r="H14" s="2">
        <f>IFERROR(G14-C14,"")</f>
        <v/>
      </c>
      <c r="J14" s="2" t="n">
        <v>1</v>
      </c>
      <c r="K14" s="2" t="n">
        <v>2</v>
      </c>
      <c r="L14" s="2" t="n">
        <v>3</v>
      </c>
      <c r="M14" s="2" t="n">
        <v>4</v>
      </c>
      <c r="N14" s="2" t="n">
        <v>5</v>
      </c>
      <c r="O14" s="2" t="n">
        <v>6</v>
      </c>
    </row>
    <row r="15">
      <c r="A15" s="2" t="inlineStr">
        <is>
          <t>Product Strategy &amp; Vision</t>
        </is>
      </c>
      <c r="B15" s="2" t="inlineStr">
        <is>
          <t>Positioning &amp; differentiation</t>
        </is>
      </c>
      <c r="C15" s="2">
        <f>IFERROR(INDEX(J15:O15,MATCH($B$1,$J$3:$O$3,0)),"")</f>
        <v/>
      </c>
      <c r="D15" s="7" t="n"/>
      <c r="E15" s="7" t="n"/>
      <c r="F15" s="7" t="n"/>
      <c r="G15" s="2">
        <f>IFERROR(AVERAGE(D15:F15),"")</f>
        <v/>
      </c>
      <c r="H15" s="2">
        <f>IFERROR(G15-C15,"")</f>
        <v/>
      </c>
      <c r="J15" s="2" t="n">
        <v>1</v>
      </c>
      <c r="K15" s="2" t="n">
        <v>2</v>
      </c>
      <c r="L15" s="2" t="n">
        <v>3</v>
      </c>
      <c r="M15" s="2" t="n">
        <v>4</v>
      </c>
      <c r="N15" s="2" t="n">
        <v>5</v>
      </c>
      <c r="O15" s="2" t="n">
        <v>6</v>
      </c>
    </row>
    <row r="16">
      <c r="A16" s="2" t="inlineStr">
        <is>
          <t>Product Strategy &amp; Vision</t>
        </is>
      </c>
      <c r="B16" s="2" t="inlineStr">
        <is>
          <t>Product vision narrative</t>
        </is>
      </c>
      <c r="C16" s="2">
        <f>IFERROR(INDEX(J16:O16,MATCH($B$1,$J$3:$O$3,0)),"")</f>
        <v/>
      </c>
      <c r="D16" s="7" t="n"/>
      <c r="E16" s="7" t="n"/>
      <c r="F16" s="7" t="n"/>
      <c r="G16" s="2">
        <f>IFERROR(AVERAGE(D16:F16),"")</f>
        <v/>
      </c>
      <c r="H16" s="2">
        <f>IFERROR(G16-C16,"")</f>
        <v/>
      </c>
      <c r="J16" s="2" t="n">
        <v>1</v>
      </c>
      <c r="K16" s="2" t="n">
        <v>2</v>
      </c>
      <c r="L16" s="2" t="n">
        <v>3</v>
      </c>
      <c r="M16" s="2" t="n">
        <v>4</v>
      </c>
      <c r="N16" s="2" t="n">
        <v>5</v>
      </c>
      <c r="O16" s="2" t="n">
        <v>6</v>
      </c>
    </row>
    <row r="17">
      <c r="A17" s="2" t="inlineStr">
        <is>
          <t>Product Strategy &amp; Vision</t>
        </is>
      </c>
      <c r="B17" s="2" t="inlineStr">
        <is>
          <t>Outcome-based roadmapping</t>
        </is>
      </c>
      <c r="C17" s="2">
        <f>IFERROR(INDEX(J17:O17,MATCH($B$1,$J$3:$O$3,0)),"")</f>
        <v/>
      </c>
      <c r="D17" s="7" t="n"/>
      <c r="E17" s="7" t="n"/>
      <c r="F17" s="7" t="n"/>
      <c r="G17" s="2">
        <f>IFERROR(AVERAGE(D17:F17),"")</f>
        <v/>
      </c>
      <c r="H17" s="2">
        <f>IFERROR(G17-C17,"")</f>
        <v/>
      </c>
      <c r="J17" s="2" t="n">
        <v>1</v>
      </c>
      <c r="K17" s="2" t="n">
        <v>2</v>
      </c>
      <c r="L17" s="2" t="n">
        <v>3</v>
      </c>
      <c r="M17" s="2" t="n">
        <v>4</v>
      </c>
      <c r="N17" s="2" t="n">
        <v>5</v>
      </c>
      <c r="O17" s="2" t="n">
        <v>6</v>
      </c>
    </row>
    <row r="18">
      <c r="A18" s="2" t="inlineStr">
        <is>
          <t>Product Strategy &amp; Vision</t>
        </is>
      </c>
      <c r="B18" s="2" t="inlineStr">
        <is>
          <t>Goal setting &amp; OKRs</t>
        </is>
      </c>
      <c r="C18" s="2">
        <f>IFERROR(INDEX(J18:O18,MATCH($B$1,$J$3:$O$3,0)),"")</f>
        <v/>
      </c>
      <c r="D18" s="7" t="n"/>
      <c r="E18" s="7" t="n"/>
      <c r="F18" s="7" t="n"/>
      <c r="G18" s="2">
        <f>IFERROR(AVERAGE(D18:F18),"")</f>
        <v/>
      </c>
      <c r="H18" s="2">
        <f>IFERROR(G18-C18,"")</f>
        <v/>
      </c>
      <c r="J18" s="2" t="n">
        <v>1</v>
      </c>
      <c r="K18" s="2" t="n">
        <v>2</v>
      </c>
      <c r="L18" s="2" t="n">
        <v>3</v>
      </c>
      <c r="M18" s="2" t="n">
        <v>4</v>
      </c>
      <c r="N18" s="2" t="n">
        <v>5</v>
      </c>
      <c r="O18" s="2" t="n">
        <v>6</v>
      </c>
    </row>
    <row r="19">
      <c r="A19" s="2" t="inlineStr">
        <is>
          <t>Data &amp; Analytics</t>
        </is>
      </c>
      <c r="B19" s="2" t="inlineStr">
        <is>
          <t>Success metrics &amp; KPI design</t>
        </is>
      </c>
      <c r="C19" s="2">
        <f>IFERROR(INDEX(J19:O19,MATCH($B$1,$J$3:$O$3,0)),"")</f>
        <v/>
      </c>
      <c r="D19" s="7" t="n"/>
      <c r="E19" s="7" t="n"/>
      <c r="F19" s="7" t="n"/>
      <c r="G19" s="2">
        <f>IFERROR(AVERAGE(D19:F19),"")</f>
        <v/>
      </c>
      <c r="H19" s="2">
        <f>IFERROR(G19-C19,"")</f>
        <v/>
      </c>
      <c r="J19" s="2" t="n">
        <v>1</v>
      </c>
      <c r="K19" s="2" t="n">
        <v>2</v>
      </c>
      <c r="L19" s="2" t="n">
        <v>3</v>
      </c>
      <c r="M19" s="2" t="n">
        <v>4</v>
      </c>
      <c r="N19" s="2" t="n">
        <v>5</v>
      </c>
      <c r="O19" s="2" t="n">
        <v>6</v>
      </c>
    </row>
    <row r="20">
      <c r="A20" s="2" t="inlineStr">
        <is>
          <t>Data &amp; Analytics</t>
        </is>
      </c>
      <c r="B20" s="2" t="inlineStr">
        <is>
          <t>Funnel &amp; behavioral analysis</t>
        </is>
      </c>
      <c r="C20" s="2">
        <f>IFERROR(INDEX(J20:O20,MATCH($B$1,$J$3:$O$3,0)),"")</f>
        <v/>
      </c>
      <c r="D20" s="7" t="n"/>
      <c r="E20" s="7" t="n"/>
      <c r="F20" s="7" t="n"/>
      <c r="G20" s="2">
        <f>IFERROR(AVERAGE(D20:F20),"")</f>
        <v/>
      </c>
      <c r="H20" s="2">
        <f>IFERROR(G20-C20,"")</f>
        <v/>
      </c>
      <c r="J20" s="2" t="n">
        <v>1</v>
      </c>
      <c r="K20" s="2" t="n">
        <v>2</v>
      </c>
      <c r="L20" s="2" t="n">
        <v>3</v>
      </c>
      <c r="M20" s="2" t="n">
        <v>4</v>
      </c>
      <c r="N20" s="2" t="n">
        <v>5</v>
      </c>
      <c r="O20" s="2" t="n">
        <v>6</v>
      </c>
    </row>
    <row r="21">
      <c r="A21" s="2" t="inlineStr">
        <is>
          <t>Data &amp; Analytics</t>
        </is>
      </c>
      <c r="B21" s="2" t="inlineStr">
        <is>
          <t>A/B test design &amp; analysis</t>
        </is>
      </c>
      <c r="C21" s="2">
        <f>IFERROR(INDEX(J21:O21,MATCH($B$1,$J$3:$O$3,0)),"")</f>
        <v/>
      </c>
      <c r="D21" s="7" t="n"/>
      <c r="E21" s="7" t="n"/>
      <c r="F21" s="7" t="n"/>
      <c r="G21" s="2">
        <f>IFERROR(AVERAGE(D21:F21),"")</f>
        <v/>
      </c>
      <c r="H21" s="2">
        <f>IFERROR(G21-C21,"")</f>
        <v/>
      </c>
      <c r="J21" s="2" t="n">
        <v>1</v>
      </c>
      <c r="K21" s="2" t="n">
        <v>2</v>
      </c>
      <c r="L21" s="2" t="n">
        <v>3</v>
      </c>
      <c r="M21" s="2" t="n">
        <v>4</v>
      </c>
      <c r="N21" s="2" t="n">
        <v>5</v>
      </c>
      <c r="O21" s="2" t="n">
        <v>6</v>
      </c>
    </row>
    <row r="22">
      <c r="A22" s="2" t="inlineStr">
        <is>
          <t>Data &amp; Analytics</t>
        </is>
      </c>
      <c r="B22" s="2" t="inlineStr">
        <is>
          <t>Decision quality under uncertainty</t>
        </is>
      </c>
      <c r="C22" s="2">
        <f>IFERROR(INDEX(J22:O22,MATCH($B$1,$J$3:$O$3,0)),"")</f>
        <v/>
      </c>
      <c r="D22" s="7" t="n"/>
      <c r="E22" s="7" t="n"/>
      <c r="F22" s="7" t="n"/>
      <c r="G22" s="2">
        <f>IFERROR(AVERAGE(D22:F22),"")</f>
        <v/>
      </c>
      <c r="H22" s="2">
        <f>IFERROR(G22-C22,"")</f>
        <v/>
      </c>
      <c r="J22" s="2" t="n">
        <v>1</v>
      </c>
      <c r="K22" s="2" t="n">
        <v>2</v>
      </c>
      <c r="L22" s="2" t="n">
        <v>3</v>
      </c>
      <c r="M22" s="2" t="n">
        <v>4</v>
      </c>
      <c r="N22" s="2" t="n">
        <v>5</v>
      </c>
      <c r="O22" s="2" t="n">
        <v>6</v>
      </c>
    </row>
    <row r="23">
      <c r="A23" s="2" t="inlineStr">
        <is>
          <t>Execution &amp; Delivery</t>
        </is>
      </c>
      <c r="B23" s="2" t="inlineStr">
        <is>
          <t>Prioritization &amp; sequencing</t>
        </is>
      </c>
      <c r="C23" s="2">
        <f>IFERROR(INDEX(J23:O23,MATCH($B$1,$J$3:$O$3,0)),"")</f>
        <v/>
      </c>
      <c r="D23" s="7" t="n"/>
      <c r="E23" s="7" t="n"/>
      <c r="F23" s="7" t="n"/>
      <c r="G23" s="2">
        <f>IFERROR(AVERAGE(D23:F23),"")</f>
        <v/>
      </c>
      <c r="H23" s="2">
        <f>IFERROR(G23-C23,"")</f>
        <v/>
      </c>
      <c r="J23" s="2" t="n">
        <v>1</v>
      </c>
      <c r="K23" s="2" t="n">
        <v>2</v>
      </c>
      <c r="L23" s="2" t="n">
        <v>3</v>
      </c>
      <c r="M23" s="2" t="n">
        <v>4</v>
      </c>
      <c r="N23" s="2" t="n">
        <v>5</v>
      </c>
      <c r="O23" s="2" t="n">
        <v>6</v>
      </c>
    </row>
    <row r="24">
      <c r="A24" s="2" t="inlineStr">
        <is>
          <t>Execution &amp; Delivery</t>
        </is>
      </c>
      <c r="B24" s="2" t="inlineStr">
        <is>
          <t>Scope-cutting &amp; trade-offs</t>
        </is>
      </c>
      <c r="C24" s="2">
        <f>IFERROR(INDEX(J24:O24,MATCH($B$1,$J$3:$O$3,0)),"")</f>
        <v/>
      </c>
      <c r="D24" s="7" t="n"/>
      <c r="E24" s="7" t="n"/>
      <c r="F24" s="7" t="n"/>
      <c r="G24" s="2">
        <f>IFERROR(AVERAGE(D24:F24),"")</f>
        <v/>
      </c>
      <c r="H24" s="2">
        <f>IFERROR(G24-C24,"")</f>
        <v/>
      </c>
      <c r="J24" s="2" t="n">
        <v>1</v>
      </c>
      <c r="K24" s="2" t="n">
        <v>2</v>
      </c>
      <c r="L24" s="2" t="n">
        <v>3</v>
      </c>
      <c r="M24" s="2" t="n">
        <v>4</v>
      </c>
      <c r="N24" s="2" t="n">
        <v>5</v>
      </c>
      <c r="O24" s="2" t="n">
        <v>6</v>
      </c>
    </row>
    <row r="25">
      <c r="A25" s="2" t="inlineStr">
        <is>
          <t>Execution &amp; Delivery</t>
        </is>
      </c>
      <c r="B25" s="2" t="inlineStr">
        <is>
          <t>Product trio partnership</t>
        </is>
      </c>
      <c r="C25" s="2">
        <f>IFERROR(INDEX(J25:O25,MATCH($B$1,$J$3:$O$3,0)),"")</f>
        <v/>
      </c>
      <c r="D25" s="7" t="n"/>
      <c r="E25" s="7" t="n"/>
      <c r="F25" s="7" t="n"/>
      <c r="G25" s="2">
        <f>IFERROR(AVERAGE(D25:F25),"")</f>
        <v/>
      </c>
      <c r="H25" s="2">
        <f>IFERROR(G25-C25,"")</f>
        <v/>
      </c>
      <c r="J25" s="2" t="n">
        <v>1</v>
      </c>
      <c r="K25" s="2" t="n">
        <v>2</v>
      </c>
      <c r="L25" s="2" t="n">
        <v>3</v>
      </c>
      <c r="M25" s="2" t="n">
        <v>4</v>
      </c>
      <c r="N25" s="2" t="n">
        <v>5</v>
      </c>
      <c r="O25" s="2" t="n">
        <v>6</v>
      </c>
    </row>
    <row r="26">
      <c r="A26" s="2" t="inlineStr">
        <is>
          <t>Execution &amp; Delivery</t>
        </is>
      </c>
      <c r="B26" s="2" t="inlineStr">
        <is>
          <t>Requirements, specs &amp; acceptance criteria</t>
        </is>
      </c>
      <c r="C26" s="2">
        <f>IFERROR(INDEX(J26:O26,MATCH($B$1,$J$3:$O$3,0)),"")</f>
        <v/>
      </c>
      <c r="D26" s="7" t="n"/>
      <c r="E26" s="7" t="n"/>
      <c r="F26" s="7" t="n"/>
      <c r="G26" s="2">
        <f>IFERROR(AVERAGE(D26:F26),"")</f>
        <v/>
      </c>
      <c r="H26" s="2">
        <f>IFERROR(G26-C26,"")</f>
        <v/>
      </c>
      <c r="J26" s="2" t="n">
        <v>1</v>
      </c>
      <c r="K26" s="2" t="n">
        <v>2</v>
      </c>
      <c r="L26" s="2" t="n">
        <v>3</v>
      </c>
      <c r="M26" s="2" t="n">
        <v>4</v>
      </c>
      <c r="N26" s="2" t="n">
        <v>5</v>
      </c>
      <c r="O26" s="2" t="n">
        <v>6</v>
      </c>
    </row>
    <row r="27">
      <c r="A27" s="2" t="inlineStr">
        <is>
          <t>Execution &amp; Delivery</t>
        </is>
      </c>
      <c r="B27" s="2" t="inlineStr">
        <is>
          <t>Backlog &amp; delivery flow</t>
        </is>
      </c>
      <c r="C27" s="2">
        <f>IFERROR(INDEX(J27:O27,MATCH($B$1,$J$3:$O$3,0)),"")</f>
        <v/>
      </c>
      <c r="D27" s="7" t="n"/>
      <c r="E27" s="7" t="n"/>
      <c r="F27" s="7" t="n"/>
      <c r="G27" s="2">
        <f>IFERROR(AVERAGE(D27:F27),"")</f>
        <v/>
      </c>
      <c r="H27" s="2">
        <f>IFERROR(G27-C27,"")</f>
        <v/>
      </c>
      <c r="J27" s="2" t="n">
        <v>1</v>
      </c>
      <c r="K27" s="2" t="n">
        <v>2</v>
      </c>
      <c r="L27" s="2" t="n">
        <v>3</v>
      </c>
      <c r="M27" s="2" t="n">
        <v>4</v>
      </c>
      <c r="N27" s="2" t="n">
        <v>5</v>
      </c>
      <c r="O27" s="2" t="n">
        <v>6</v>
      </c>
    </row>
    <row r="28">
      <c r="A28" s="2" t="inlineStr">
        <is>
          <t>Execution &amp; Delivery</t>
        </is>
      </c>
      <c r="B28" s="2" t="inlineStr">
        <is>
          <t>Technical &amp; design fluency</t>
        </is>
      </c>
      <c r="C28" s="2">
        <f>IFERROR(INDEX(J28:O28,MATCH($B$1,$J$3:$O$3,0)),"")</f>
        <v/>
      </c>
      <c r="D28" s="7" t="n"/>
      <c r="E28" s="7" t="n"/>
      <c r="F28" s="7" t="n"/>
      <c r="G28" s="2">
        <f>IFERROR(AVERAGE(D28:F28),"")</f>
        <v/>
      </c>
      <c r="H28" s="2">
        <f>IFERROR(G28-C28,"")</f>
        <v/>
      </c>
      <c r="J28" s="2" t="n">
        <v>1</v>
      </c>
      <c r="K28" s="2" t="n">
        <v>2</v>
      </c>
      <c r="L28" s="2" t="n">
        <v>3</v>
      </c>
      <c r="M28" s="2" t="n">
        <v>3</v>
      </c>
      <c r="N28" s="2" t="n">
        <v>4</v>
      </c>
      <c r="O28" s="2" t="n">
        <v>4</v>
      </c>
    </row>
    <row r="29">
      <c r="A29" s="2" t="inlineStr">
        <is>
          <t>Execution &amp; Delivery</t>
        </is>
      </c>
      <c r="B29" s="2" t="inlineStr">
        <is>
          <t>Launch management &amp; readiness</t>
        </is>
      </c>
      <c r="C29" s="2">
        <f>IFERROR(INDEX(J29:O29,MATCH($B$1,$J$3:$O$3,0)),"")</f>
        <v/>
      </c>
      <c r="D29" s="7" t="n"/>
      <c r="E29" s="7" t="n"/>
      <c r="F29" s="7" t="n"/>
      <c r="G29" s="2">
        <f>IFERROR(AVERAGE(D29:F29),"")</f>
        <v/>
      </c>
      <c r="H29" s="2">
        <f>IFERROR(G29-C29,"")</f>
        <v/>
      </c>
      <c r="J29" s="2" t="n">
        <v>1</v>
      </c>
      <c r="K29" s="2" t="n">
        <v>2</v>
      </c>
      <c r="L29" s="2" t="n">
        <v>3</v>
      </c>
      <c r="M29" s="2" t="n">
        <v>4</v>
      </c>
      <c r="N29" s="2" t="n">
        <v>5</v>
      </c>
      <c r="O29" s="2" t="n">
        <v>6</v>
      </c>
    </row>
    <row r="30">
      <c r="A30" s="2" t="inlineStr">
        <is>
          <t>Execution &amp; Delivery</t>
        </is>
      </c>
      <c r="B30" s="2" t="inlineStr">
        <is>
          <t>Post-launch iteration &amp; lifecycle</t>
        </is>
      </c>
      <c r="C30" s="2">
        <f>IFERROR(INDEX(J30:O30,MATCH($B$1,$J$3:$O$3,0)),"")</f>
        <v/>
      </c>
      <c r="D30" s="7" t="n"/>
      <c r="E30" s="7" t="n"/>
      <c r="F30" s="7" t="n"/>
      <c r="G30" s="2">
        <f>IFERROR(AVERAGE(D30:F30),"")</f>
        <v/>
      </c>
      <c r="H30" s="2">
        <f>IFERROR(G30-C30,"")</f>
        <v/>
      </c>
      <c r="J30" s="2" t="n">
        <v>1</v>
      </c>
      <c r="K30" s="2" t="n">
        <v>2</v>
      </c>
      <c r="L30" s="2" t="n">
        <v>3</v>
      </c>
      <c r="M30" s="2" t="n">
        <v>4</v>
      </c>
      <c r="N30" s="2" t="n">
        <v>5</v>
      </c>
      <c r="O30" s="2" t="n">
        <v>6</v>
      </c>
    </row>
    <row r="31">
      <c r="A31" s="2" t="inlineStr">
        <is>
          <t>Business, Market &amp; Go-to-Market</t>
        </is>
      </c>
      <c r="B31" s="2" t="inlineStr">
        <is>
          <t>Business model &amp; unit economics</t>
        </is>
      </c>
      <c r="C31" s="2">
        <f>IFERROR(INDEX(J31:O31,MATCH($B$1,$J$3:$O$3,0)),"")</f>
        <v/>
      </c>
      <c r="D31" s="7" t="n"/>
      <c r="E31" s="7" t="n"/>
      <c r="F31" s="7" t="n"/>
      <c r="G31" s="2">
        <f>IFERROR(AVERAGE(D31:F31),"")</f>
        <v/>
      </c>
      <c r="H31" s="2">
        <f>IFERROR(G31-C31,"")</f>
        <v/>
      </c>
      <c r="J31" s="2" t="n">
        <v>1</v>
      </c>
      <c r="K31" s="2" t="n">
        <v>2</v>
      </c>
      <c r="L31" s="2" t="n">
        <v>3</v>
      </c>
      <c r="M31" s="2" t="n">
        <v>4</v>
      </c>
      <c r="N31" s="2" t="n">
        <v>5</v>
      </c>
      <c r="O31" s="2" t="n">
        <v>6</v>
      </c>
    </row>
    <row r="32">
      <c r="A32" s="2" t="inlineStr">
        <is>
          <t>Business, Market &amp; Go-to-Market</t>
        </is>
      </c>
      <c r="B32" s="2" t="inlineStr">
        <is>
          <t>Pricing &amp; packaging</t>
        </is>
      </c>
      <c r="C32" s="2">
        <f>IFERROR(INDEX(J32:O32,MATCH($B$1,$J$3:$O$3,0)),"")</f>
        <v/>
      </c>
      <c r="D32" s="7" t="n"/>
      <c r="E32" s="7" t="n"/>
      <c r="F32" s="7" t="n"/>
      <c r="G32" s="2">
        <f>IFERROR(AVERAGE(D32:F32),"")</f>
        <v/>
      </c>
      <c r="H32" s="2">
        <f>IFERROR(G32-C32,"")</f>
        <v/>
      </c>
      <c r="J32" s="2" t="n">
        <v>1</v>
      </c>
      <c r="K32" s="2" t="n">
        <v>2</v>
      </c>
      <c r="L32" s="2" t="n">
        <v>3</v>
      </c>
      <c r="M32" s="2" t="n">
        <v>4</v>
      </c>
      <c r="N32" s="2" t="n">
        <v>5</v>
      </c>
      <c r="O32" s="2" t="n">
        <v>6</v>
      </c>
    </row>
    <row r="33">
      <c r="A33" s="2" t="inlineStr">
        <is>
          <t>Business, Market &amp; Go-to-Market</t>
        </is>
      </c>
      <c r="B33" s="2" t="inlineStr">
        <is>
          <t>Competitive &amp; market analysis</t>
        </is>
      </c>
      <c r="C33" s="2">
        <f>IFERROR(INDEX(J33:O33,MATCH($B$1,$J$3:$O$3,0)),"")</f>
        <v/>
      </c>
      <c r="D33" s="7" t="n"/>
      <c r="E33" s="7" t="n"/>
      <c r="F33" s="7" t="n"/>
      <c r="G33" s="2">
        <f>IFERROR(AVERAGE(D33:F33),"")</f>
        <v/>
      </c>
      <c r="H33" s="2">
        <f>IFERROR(G33-C33,"")</f>
        <v/>
      </c>
      <c r="J33" s="2" t="n">
        <v>1</v>
      </c>
      <c r="K33" s="2" t="n">
        <v>2</v>
      </c>
      <c r="L33" s="2" t="n">
        <v>3</v>
      </c>
      <c r="M33" s="2" t="n">
        <v>4</v>
      </c>
      <c r="N33" s="2" t="n">
        <v>5</v>
      </c>
      <c r="O33" s="2" t="n">
        <v>6</v>
      </c>
    </row>
    <row r="34">
      <c r="A34" s="2" t="inlineStr">
        <is>
          <t>Business, Market &amp; Go-to-Market</t>
        </is>
      </c>
      <c r="B34" s="2" t="inlineStr">
        <is>
          <t>Domain &amp; industry fluency</t>
        </is>
      </c>
      <c r="C34" s="2">
        <f>IFERROR(INDEX(J34:O34,MATCH($B$1,$J$3:$O$3,0)),"")</f>
        <v/>
      </c>
      <c r="D34" s="7" t="n"/>
      <c r="E34" s="7" t="n"/>
      <c r="F34" s="7" t="n"/>
      <c r="G34" s="2">
        <f>IFERROR(AVERAGE(D34:F34),"")</f>
        <v/>
      </c>
      <c r="H34" s="2">
        <f>IFERROR(G34-C34,"")</f>
        <v/>
      </c>
      <c r="J34" s="2" t="n">
        <v>1</v>
      </c>
      <c r="K34" s="2" t="n">
        <v>2</v>
      </c>
      <c r="L34" s="2" t="n">
        <v>3</v>
      </c>
      <c r="M34" s="2" t="n">
        <v>4</v>
      </c>
      <c r="N34" s="2" t="n">
        <v>5</v>
      </c>
      <c r="O34" s="2" t="n">
        <v>6</v>
      </c>
    </row>
    <row r="35">
      <c r="A35" s="2" t="inlineStr">
        <is>
          <t>Business, Market &amp; Go-to-Market</t>
        </is>
      </c>
      <c r="B35" s="2" t="inlineStr">
        <is>
          <t>GTM planning &amp; partnership</t>
        </is>
      </c>
      <c r="C35" s="2">
        <f>IFERROR(INDEX(J35:O35,MATCH($B$1,$J$3:$O$3,0)),"")</f>
        <v/>
      </c>
      <c r="D35" s="7" t="n"/>
      <c r="E35" s="7" t="n"/>
      <c r="F35" s="7" t="n"/>
      <c r="G35" s="2">
        <f>IFERROR(AVERAGE(D35:F35),"")</f>
        <v/>
      </c>
      <c r="H35" s="2">
        <f>IFERROR(G35-C35,"")</f>
        <v/>
      </c>
      <c r="J35" s="2" t="n">
        <v>1</v>
      </c>
      <c r="K35" s="2" t="n">
        <v>2</v>
      </c>
      <c r="L35" s="2" t="n">
        <v>3</v>
      </c>
      <c r="M35" s="2" t="n">
        <v>4</v>
      </c>
      <c r="N35" s="2" t="n">
        <v>5</v>
      </c>
      <c r="O35" s="2" t="n">
        <v>6</v>
      </c>
    </row>
    <row r="36">
      <c r="A36" s="2" t="inlineStr">
        <is>
          <t>Business, Market &amp; Go-to-Market</t>
        </is>
      </c>
      <c r="B36" s="2" t="inlineStr">
        <is>
          <t>Field feedback &amp; enablement</t>
        </is>
      </c>
      <c r="C36" s="2">
        <f>IFERROR(INDEX(J36:O36,MATCH($B$1,$J$3:$O$3,0)),"")</f>
        <v/>
      </c>
      <c r="D36" s="7" t="n"/>
      <c r="E36" s="7" t="n"/>
      <c r="F36" s="7" t="n"/>
      <c r="G36" s="2">
        <f>IFERROR(AVERAGE(D36:F36),"")</f>
        <v/>
      </c>
      <c r="H36" s="2">
        <f>IFERROR(G36-C36,"")</f>
        <v/>
      </c>
      <c r="J36" s="2" t="n">
        <v>1</v>
      </c>
      <c r="K36" s="2" t="n">
        <v>2</v>
      </c>
      <c r="L36" s="2" t="n">
        <v>3</v>
      </c>
      <c r="M36" s="2" t="n">
        <v>4</v>
      </c>
      <c r="N36" s="2" t="n">
        <v>5</v>
      </c>
      <c r="O36" s="2" t="n">
        <v>6</v>
      </c>
    </row>
    <row r="37">
      <c r="A37" s="2" t="inlineStr">
        <is>
          <t>Communication, Influence &amp; Craft Leadership</t>
        </is>
      </c>
      <c r="B37" s="2" t="inlineStr">
        <is>
          <t>Product narratives &amp; written communication</t>
        </is>
      </c>
      <c r="C37" s="2">
        <f>IFERROR(INDEX(J37:O37,MATCH($B$1,$J$3:$O$3,0)),"")</f>
        <v/>
      </c>
      <c r="D37" s="7" t="n"/>
      <c r="E37" s="7" t="n"/>
      <c r="F37" s="7" t="n"/>
      <c r="G37" s="2">
        <f>IFERROR(AVERAGE(D37:F37),"")</f>
        <v/>
      </c>
      <c r="H37" s="2">
        <f>IFERROR(G37-C37,"")</f>
        <v/>
      </c>
      <c r="J37" s="2" t="n">
        <v>1</v>
      </c>
      <c r="K37" s="2" t="n">
        <v>2</v>
      </c>
      <c r="L37" s="2" t="n">
        <v>3</v>
      </c>
      <c r="M37" s="2" t="n">
        <v>4</v>
      </c>
      <c r="N37" s="2" t="n">
        <v>5</v>
      </c>
      <c r="O37" s="2" t="n">
        <v>6</v>
      </c>
    </row>
    <row r="38">
      <c r="A38" s="2" t="inlineStr">
        <is>
          <t>Communication, Influence &amp; Craft Leadership</t>
        </is>
      </c>
      <c r="B38" s="2" t="inlineStr">
        <is>
          <t>Executive communication</t>
        </is>
      </c>
      <c r="C38" s="2">
        <f>IFERROR(INDEX(J38:O38,MATCH($B$1,$J$3:$O$3,0)),"")</f>
        <v/>
      </c>
      <c r="D38" s="7" t="n"/>
      <c r="E38" s="7" t="n"/>
      <c r="F38" s="7" t="n"/>
      <c r="G38" s="2">
        <f>IFERROR(AVERAGE(D38:F38),"")</f>
        <v/>
      </c>
      <c r="H38" s="2">
        <f>IFERROR(G38-C38,"")</f>
        <v/>
      </c>
      <c r="J38" s="2" t="n">
        <v>1</v>
      </c>
      <c r="K38" s="2" t="n">
        <v>2</v>
      </c>
      <c r="L38" s="2" t="n">
        <v>3</v>
      </c>
      <c r="M38" s="2" t="n">
        <v>4</v>
      </c>
      <c r="N38" s="2" t="n">
        <v>5</v>
      </c>
      <c r="O38" s="2" t="n">
        <v>6</v>
      </c>
    </row>
    <row r="39">
      <c r="A39" s="2" t="inlineStr">
        <is>
          <t>Communication, Influence &amp; Craft Leadership</t>
        </is>
      </c>
      <c r="B39" s="2" t="inlineStr">
        <is>
          <t>Stakeholder alignment &amp; expectations</t>
        </is>
      </c>
      <c r="C39" s="2">
        <f>IFERROR(INDEX(J39:O39,MATCH($B$1,$J$3:$O$3,0)),"")</f>
        <v/>
      </c>
      <c r="D39" s="7" t="n"/>
      <c r="E39" s="7" t="n"/>
      <c r="F39" s="7" t="n"/>
      <c r="G39" s="2">
        <f>IFERROR(AVERAGE(D39:F39),"")</f>
        <v/>
      </c>
      <c r="H39" s="2">
        <f>IFERROR(G39-C39,"")</f>
        <v/>
      </c>
      <c r="J39" s="2" t="n">
        <v>1</v>
      </c>
      <c r="K39" s="2" t="n">
        <v>2</v>
      </c>
      <c r="L39" s="2" t="n">
        <v>3</v>
      </c>
      <c r="M39" s="2" t="n">
        <v>4</v>
      </c>
      <c r="N39" s="2" t="n">
        <v>5</v>
      </c>
      <c r="O39" s="2" t="n">
        <v>6</v>
      </c>
    </row>
    <row r="40">
      <c r="A40" s="2" t="inlineStr">
        <is>
          <t>Communication, Influence &amp; Craft Leadership</t>
        </is>
      </c>
      <c r="B40" s="2" t="inlineStr">
        <is>
          <t>Saying no &amp; negotiation</t>
        </is>
      </c>
      <c r="C40" s="2">
        <f>IFERROR(INDEX(J40:O40,MATCH($B$1,$J$3:$O$3,0)),"")</f>
        <v/>
      </c>
      <c r="D40" s="7" t="n"/>
      <c r="E40" s="7" t="n"/>
      <c r="F40" s="7" t="n"/>
      <c r="G40" s="2">
        <f>IFERROR(AVERAGE(D40:F40),"")</f>
        <v/>
      </c>
      <c r="H40" s="2">
        <f>IFERROR(G40-C40,"")</f>
        <v/>
      </c>
      <c r="J40" s="2" t="n">
        <v>1</v>
      </c>
      <c r="K40" s="2" t="n">
        <v>2</v>
      </c>
      <c r="L40" s="2" t="n">
        <v>3</v>
      </c>
      <c r="M40" s="2" t="n">
        <v>4</v>
      </c>
      <c r="N40" s="2" t="n">
        <v>5</v>
      </c>
      <c r="O40" s="2" t="n">
        <v>6</v>
      </c>
    </row>
    <row r="41">
      <c r="A41" s="2" t="inlineStr">
        <is>
          <t>Communication, Influence &amp; Craft Leadership</t>
        </is>
      </c>
      <c r="B41" s="2" t="inlineStr">
        <is>
          <t>Mentoring &amp; coaching PMs</t>
        </is>
      </c>
      <c r="C41" s="2">
        <f>IFERROR(INDEX(J41:O41,MATCH($B$1,$J$3:$O$3,0)),"")</f>
        <v/>
      </c>
      <c r="D41" s="7" t="n"/>
      <c r="E41" s="7" t="n"/>
      <c r="F41" s="7" t="n"/>
      <c r="G41" s="2">
        <f>IFERROR(AVERAGE(D41:F41),"")</f>
        <v/>
      </c>
      <c r="H41" s="2">
        <f>IFERROR(G41-C41,"")</f>
        <v/>
      </c>
      <c r="J41" s="2" t="n">
        <v>1</v>
      </c>
      <c r="K41" s="2" t="n">
        <v>2</v>
      </c>
      <c r="L41" s="2" t="n">
        <v>3</v>
      </c>
      <c r="M41" s="2" t="n">
        <v>4</v>
      </c>
      <c r="N41" s="2" t="n">
        <v>5</v>
      </c>
      <c r="O41" s="2" t="n">
        <v>6</v>
      </c>
    </row>
    <row r="42">
      <c r="A42" s="2" t="inlineStr">
        <is>
          <t>Communication, Influence &amp; Craft Leadership</t>
        </is>
      </c>
      <c r="B42" s="2" t="inlineStr">
        <is>
          <t>Raising the craft bar</t>
        </is>
      </c>
      <c r="C42" s="2">
        <f>IFERROR(INDEX(J42:O42,MATCH($B$1,$J$3:$O$3,0)),"")</f>
        <v/>
      </c>
      <c r="D42" s="7" t="n"/>
      <c r="E42" s="7" t="n"/>
      <c r="F42" s="7" t="n"/>
      <c r="G42" s="2">
        <f>IFERROR(AVERAGE(D42:F42),"")</f>
        <v/>
      </c>
      <c r="H42" s="2">
        <f>IFERROR(G42-C42,"")</f>
        <v/>
      </c>
      <c r="J42" s="2" t="n">
        <v>1</v>
      </c>
      <c r="K42" s="2" t="n">
        <v>2</v>
      </c>
      <c r="L42" s="2" t="n">
        <v>3</v>
      </c>
      <c r="M42" s="2" t="n">
        <v>4</v>
      </c>
      <c r="N42" s="2" t="n">
        <v>5</v>
      </c>
      <c r="O42" s="2" t="n">
        <v>6</v>
      </c>
    </row>
    <row r="43">
      <c r="A43" s="2" t="inlineStr">
        <is>
          <t>Communication, Influence &amp; Craft Leadership</t>
        </is>
      </c>
      <c r="B43" s="2" t="inlineStr">
        <is>
          <t>Hiring &amp; interviewing PMs</t>
        </is>
      </c>
      <c r="C43" s="2">
        <f>IFERROR(INDEX(J43:O43,MATCH($B$1,$J$3:$O$3,0)),"")</f>
        <v/>
      </c>
      <c r="D43" s="7" t="n"/>
      <c r="E43" s="7" t="n"/>
      <c r="F43" s="7" t="n"/>
      <c r="G43" s="2">
        <f>IFERROR(AVERAGE(D43:F43),"")</f>
        <v/>
      </c>
      <c r="H43" s="2">
        <f>IFERROR(G43-C43,"")</f>
        <v/>
      </c>
      <c r="J43" s="2" t="n">
        <v>1</v>
      </c>
      <c r="K43" s="2" t="n">
        <v>2</v>
      </c>
      <c r="L43" s="2" t="n">
        <v>3</v>
      </c>
      <c r="M43" s="2" t="n">
        <v>4</v>
      </c>
      <c r="N43" s="2" t="n">
        <v>5</v>
      </c>
      <c r="O43" s="2" t="n">
        <v>6</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34"/>
  <sheetViews>
    <sheetView workbookViewId="0">
      <pane ySplit="1" topLeftCell="A2" activePane="bottomLeft" state="frozen"/>
      <selection pane="bottomLeft" activeCell="A1" sqref="A1"/>
    </sheetView>
  </sheetViews>
  <sheetFormatPr baseColWidth="8" defaultRowHeight="15"/>
  <cols>
    <col width="110" customWidth="1" min="1" max="1"/>
  </cols>
  <sheetData>
    <row r="1">
      <c r="A1" s="1" t="inlineStr">
        <is>
          <t>Sources</t>
        </is>
      </c>
    </row>
    <row r="2">
      <c r="A2" s="4" t="inlineStr">
        <is>
          <t>Bland, David &amp; Osterwalder, Alexander. *Testing Business Ideas* (2019).</t>
        </is>
      </c>
    </row>
    <row r="3">
      <c r="A3" s="4" t="inlineStr">
        <is>
          <t>Bryar, Colin &amp; Carr, Bill. *Working Backwards* (2021).</t>
        </is>
      </c>
    </row>
    <row r="4">
      <c r="A4" s="4" t="inlineStr">
        <is>
          <t>Cagan, Marty. *Inspired: How to Create Tech Products Customers Love*, 2nd ed. (2018), and SVPG writing (svpg.com).</t>
        </is>
      </c>
    </row>
    <row r="5">
      <c r="A5" s="4" t="inlineStr">
        <is>
          <t>Cagan, Marty. *Empowered: Ordinary People, Extraordinary Products* (2020).</t>
        </is>
      </c>
    </row>
    <row r="6">
      <c r="A6" s="4" t="inlineStr">
        <is>
          <t>Christensen, Clayton. *The Innovator's Dilemma* (1997).</t>
        </is>
      </c>
    </row>
    <row r="7">
      <c r="A7" s="4" t="inlineStr">
        <is>
          <t>Christensen, Clayton; Hall, Taddy; Dillon, Karen; Duncan, David. "Know Your Customers' 'Jobs to Be Done'," *Harvard Business Review* (2016); *Competing Against Luck* (2016).</t>
        </is>
      </c>
    </row>
    <row r="8">
      <c r="A8" s="4" t="inlineStr">
        <is>
          <t>Cooper, Alan. *The Inmates Are Running the Asylum* (1999).</t>
        </is>
      </c>
    </row>
    <row r="9">
      <c r="A9" s="4" t="inlineStr">
        <is>
          <t>Croll, Alistair &amp; Yoskovitz, Benjamin. *Lean Analytics* (2013).</t>
        </is>
      </c>
    </row>
    <row r="10">
      <c r="A10" s="4" t="inlineStr">
        <is>
          <t>Doerr, John. *Measure What Matters* (2018).</t>
        </is>
      </c>
    </row>
    <row r="11">
      <c r="A11" s="4" t="inlineStr">
        <is>
          <t>Duke, Annie. *Thinking in Bets* (2018).</t>
        </is>
      </c>
    </row>
    <row r="12">
      <c r="A12" s="4" t="inlineStr">
        <is>
          <t>Dunford, April. *Obviously Awesome* (2019).</t>
        </is>
      </c>
    </row>
    <row r="13">
      <c r="A13" s="4" t="inlineStr">
        <is>
          <t>Edmondson, Amy. *The Fearless Organization* (2018).</t>
        </is>
      </c>
    </row>
    <row r="14">
      <c r="A14" s="4" t="inlineStr">
        <is>
          <t>Kahneman, Daniel. *Thinking, Fast and Slow* (2011).</t>
        </is>
      </c>
    </row>
    <row r="15">
      <c r="A15" s="4" t="inlineStr">
        <is>
          <t>Kohavi, Ron; Tang, Diane; Xu, Ya. *Trustworthy Online Controlled Experiments* (2020).</t>
        </is>
      </c>
    </row>
    <row r="16">
      <c r="A16" s="4" t="inlineStr">
        <is>
          <t>Larson, Will. *Staff Engineer: Leadership Beyond the Management Track* (2021).</t>
        </is>
      </c>
    </row>
    <row r="17">
      <c r="A17" s="4" t="inlineStr">
        <is>
          <t>Lombardo, C. Todd; McCarthy, Bruce; Ryan, Evan; Connors, Michael. *Product Roadmaps Relaunched* (2017).</t>
        </is>
      </c>
    </row>
    <row r="18">
      <c r="A18" s="4" t="inlineStr">
        <is>
          <t>McClure, Dave. "Startup Metrics for Pirates" (AARRR framework, 2007).</t>
        </is>
      </c>
    </row>
    <row r="19">
      <c r="A19" s="4" t="inlineStr">
        <is>
          <t>McKeown, Greg. *Essentialism* (2014).</t>
        </is>
      </c>
    </row>
    <row r="20">
      <c r="A20" s="4" t="inlineStr">
        <is>
          <t>Minto, Barbara. *The Pyramid Principle* (1987).</t>
        </is>
      </c>
    </row>
    <row r="21">
      <c r="A21" s="4" t="inlineStr">
        <is>
          <t>Moore, Geoffrey. *Crossing the Chasm*, 3rd ed. (2014).</t>
        </is>
      </c>
    </row>
    <row r="22">
      <c r="A22" s="4" t="inlineStr">
        <is>
          <t>Olsen, Dan. *The Lean Product Playbook* (2015).</t>
        </is>
      </c>
    </row>
    <row r="23">
      <c r="A23" s="4" t="inlineStr">
        <is>
          <t>Osterwalder, Alexander &amp; Pigneur, Yves. *Business Model Generation* (2010).</t>
        </is>
      </c>
    </row>
    <row r="24">
      <c r="A24" s="4" t="inlineStr">
        <is>
          <t>Patton, Jeff. *User Story Mapping* (2014).</t>
        </is>
      </c>
    </row>
    <row r="25">
      <c r="A25" s="4" t="inlineStr">
        <is>
          <t>Perri, Melissa. *Escaping the Build Trap* (2018).</t>
        </is>
      </c>
    </row>
    <row r="26">
      <c r="A26" s="4" t="inlineStr">
        <is>
          <t>Portigal, Steve. *Interviewing Users* (2013).</t>
        </is>
      </c>
    </row>
    <row r="27">
      <c r="A27" s="4" t="inlineStr">
        <is>
          <t>Ramanujam, Madhavan &amp; Tacke, Georg. *Monetizing Innovation* (2016).</t>
        </is>
      </c>
    </row>
    <row r="28">
      <c r="A28" s="4" t="inlineStr">
        <is>
          <t>Reinertsen, Donald. *The Principles of Product Development Flow* (2009).</t>
        </is>
      </c>
    </row>
    <row r="29">
      <c r="A29" s="4" t="inlineStr">
        <is>
          <t>Ries, Eric. *The Lean Startup* (2011).</t>
        </is>
      </c>
    </row>
    <row r="30">
      <c r="A30" s="4" t="inlineStr">
        <is>
          <t>Rumelt, Richard. *Good Strategy Bad Strategy* (2011).</t>
        </is>
      </c>
    </row>
    <row r="31">
      <c r="A31" s="4" t="inlineStr">
        <is>
          <t>Singer, Ryan. *Shape Up* (Basecamp, 2019).</t>
        </is>
      </c>
    </row>
    <row r="32">
      <c r="A32" s="4" t="inlineStr">
        <is>
          <t>Torres, Teresa. *Continuous Discovery Habits* (2021).</t>
        </is>
      </c>
    </row>
    <row r="33">
      <c r="A33" s="4" t="inlineStr">
        <is>
          <t>Muller, Markus. "Decoding Product Management - A Skill Matrix" (Medium, 2023) - trusted fifth source; competency territory only, prose rewritten.</t>
        </is>
      </c>
    </row>
    <row r="34">
      <c r="A34" s="4" t="inlineStr">
        <is>
          <t>Real APM -&gt; Principal PM job postings - seniority and scope calibration cross-check (via the source runs).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2026-07-03T05:52:22Z</dcterms:created>
  <dcterms:modified xsi:type="dcterms:W3CDTF">2026-07-03T05:52:22Z</dcterms:modified>
</cp:coreProperties>
</file>